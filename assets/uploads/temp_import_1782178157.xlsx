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Ernesto gregori\Downloads\"/>
    </mc:Choice>
  </mc:AlternateContent>
  <xr:revisionPtr revIDLastSave="0" documentId="8_{E1339CC2-71F4-43AF-868C-EBAFA41A358B}" xr6:coauthVersionLast="47" xr6:coauthVersionMax="47" xr10:uidLastSave="{00000000-0000-0000-0000-000000000000}"/>
  <bookViews>
    <workbookView xWindow="-98" yWindow="-98" windowWidth="20715" windowHeight="13276" firstSheet="1" activeTab="1" xr2:uid="{00000000-000D-0000-FFFF-FFFF00000000}"/>
  </bookViews>
  <sheets>
    <sheet name="RECLUTAMIENTO" sheetId="1" state="hidden" r:id="rId1"/>
    <sheet name="HOJA DE TRABAJO" sheetId="2" r:id="rId2"/>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268" i="1" l="1"/>
  <c r="X268" i="1"/>
  <c r="W268" i="1"/>
  <c r="V268" i="1"/>
  <c r="T268" i="1"/>
  <c r="S268" i="1"/>
  <c r="R268" i="1"/>
  <c r="Q268" i="1"/>
  <c r="P268" i="1"/>
  <c r="O268" i="1"/>
  <c r="N268" i="1"/>
  <c r="M268" i="1"/>
  <c r="L268" i="1"/>
  <c r="K268" i="1"/>
  <c r="J268" i="1"/>
  <c r="I268" i="1"/>
  <c r="H268" i="1"/>
  <c r="G268" i="1"/>
  <c r="F268" i="1"/>
  <c r="E268" i="1"/>
  <c r="D268" i="1"/>
  <c r="C268" i="1"/>
  <c r="A268" i="1"/>
  <c r="Y267" i="1"/>
  <c r="X267" i="1"/>
  <c r="W267" i="1"/>
  <c r="V267" i="1"/>
  <c r="T267" i="1"/>
  <c r="S267" i="1"/>
  <c r="R267" i="1"/>
  <c r="Q267" i="1"/>
  <c r="P267" i="1"/>
  <c r="O267" i="1"/>
  <c r="N267" i="1"/>
  <c r="M267" i="1"/>
  <c r="L267" i="1"/>
  <c r="K267" i="1"/>
  <c r="J267" i="1"/>
  <c r="I267" i="1"/>
  <c r="H267" i="1"/>
  <c r="G267" i="1"/>
  <c r="F267" i="1"/>
  <c r="E267" i="1"/>
  <c r="D267" i="1"/>
  <c r="C267" i="1"/>
  <c r="A267" i="1"/>
  <c r="Y266" i="1"/>
  <c r="X266" i="1"/>
  <c r="W266" i="1"/>
  <c r="V266" i="1"/>
  <c r="T266" i="1"/>
  <c r="S266" i="1"/>
  <c r="R266" i="1"/>
  <c r="Q266" i="1"/>
  <c r="P266" i="1"/>
  <c r="O266" i="1"/>
  <c r="N266" i="1"/>
  <c r="M266" i="1"/>
  <c r="L266" i="1"/>
  <c r="K266" i="1"/>
  <c r="J266" i="1"/>
  <c r="I266" i="1"/>
  <c r="H266" i="1"/>
  <c r="G266" i="1"/>
  <c r="F266" i="1"/>
  <c r="E266" i="1"/>
  <c r="D266" i="1"/>
  <c r="C266" i="1"/>
  <c r="A266" i="1"/>
  <c r="Y265" i="1"/>
  <c r="X265" i="1"/>
  <c r="W265" i="1"/>
  <c r="V265" i="1"/>
  <c r="T265" i="1"/>
  <c r="R265" i="1"/>
  <c r="Q265" i="1"/>
  <c r="P265" i="1"/>
  <c r="O265" i="1"/>
  <c r="N265" i="1"/>
  <c r="M265" i="1"/>
  <c r="L265" i="1"/>
  <c r="K265" i="1"/>
  <c r="J265" i="1"/>
  <c r="I265" i="1"/>
  <c r="H265" i="1"/>
  <c r="G265" i="1"/>
  <c r="F265" i="1"/>
  <c r="E265" i="1"/>
  <c r="D265" i="1"/>
  <c r="C265" i="1"/>
  <c r="A265" i="1"/>
  <c r="Y264" i="1"/>
  <c r="X264" i="1"/>
  <c r="W264" i="1"/>
  <c r="V264" i="1"/>
  <c r="T264" i="1"/>
  <c r="S264" i="1"/>
  <c r="R264" i="1"/>
  <c r="Q264" i="1"/>
  <c r="P264" i="1"/>
  <c r="O264" i="1"/>
  <c r="N264" i="1"/>
  <c r="M264" i="1"/>
  <c r="L264" i="1"/>
  <c r="K264" i="1"/>
  <c r="J264" i="1"/>
  <c r="I264" i="1"/>
  <c r="H264" i="1"/>
  <c r="G264" i="1"/>
  <c r="F264" i="1"/>
  <c r="E264" i="1"/>
  <c r="D264" i="1"/>
  <c r="C264" i="1"/>
  <c r="A264" i="1"/>
  <c r="Y263" i="1"/>
  <c r="X263" i="1"/>
  <c r="W263" i="1"/>
  <c r="V263" i="1"/>
  <c r="T263" i="1"/>
  <c r="S263" i="1"/>
  <c r="R263" i="1"/>
  <c r="Q263" i="1"/>
  <c r="P263" i="1"/>
  <c r="O263" i="1"/>
  <c r="N263" i="1"/>
  <c r="M263" i="1"/>
  <c r="L263" i="1"/>
  <c r="K263" i="1"/>
  <c r="J263" i="1"/>
  <c r="I263" i="1"/>
  <c r="H263" i="1"/>
  <c r="G263" i="1"/>
  <c r="F263" i="1"/>
  <c r="E263" i="1"/>
  <c r="D263" i="1"/>
  <c r="C263" i="1"/>
  <c r="A263" i="1"/>
  <c r="Y262" i="1"/>
  <c r="X262" i="1"/>
  <c r="W262" i="1"/>
  <c r="V262" i="1"/>
  <c r="U262" i="1"/>
  <c r="T262" i="1"/>
  <c r="S262" i="1"/>
  <c r="R262" i="1"/>
  <c r="Q262" i="1"/>
  <c r="P262" i="1"/>
  <c r="O262" i="1"/>
  <c r="N262" i="1"/>
  <c r="M262" i="1"/>
  <c r="L262" i="1"/>
  <c r="K262" i="1"/>
  <c r="J262" i="1"/>
  <c r="I262" i="1"/>
  <c r="H262" i="1"/>
  <c r="G262" i="1"/>
  <c r="F262" i="1"/>
  <c r="E262" i="1"/>
  <c r="D262" i="1"/>
  <c r="C262" i="1"/>
  <c r="A262" i="1"/>
  <c r="Y261" i="1"/>
  <c r="X261" i="1"/>
  <c r="W261" i="1"/>
  <c r="V261" i="1"/>
  <c r="T261" i="1"/>
  <c r="S261" i="1"/>
  <c r="R261" i="1"/>
  <c r="Q261" i="1"/>
  <c r="P261" i="1"/>
  <c r="O261" i="1"/>
  <c r="N261" i="1"/>
  <c r="M261" i="1"/>
  <c r="L261" i="1"/>
  <c r="K261" i="1"/>
  <c r="J261" i="1"/>
  <c r="I261" i="1"/>
  <c r="H261" i="1"/>
  <c r="G261" i="1"/>
  <c r="F261" i="1"/>
  <c r="E261" i="1"/>
  <c r="D261" i="1"/>
  <c r="C261" i="1"/>
  <c r="A261" i="1"/>
  <c r="Y260" i="1"/>
  <c r="X260" i="1"/>
  <c r="W260" i="1"/>
  <c r="V260" i="1"/>
  <c r="T260" i="1"/>
  <c r="S260" i="1"/>
  <c r="R260" i="1"/>
  <c r="Q260" i="1"/>
  <c r="P260" i="1"/>
  <c r="O260" i="1"/>
  <c r="N260" i="1"/>
  <c r="M260" i="1"/>
  <c r="L260" i="1"/>
  <c r="K260" i="1"/>
  <c r="J260" i="1"/>
  <c r="I260" i="1"/>
  <c r="H260" i="1"/>
  <c r="G260" i="1"/>
  <c r="F260" i="1"/>
  <c r="E260" i="1"/>
  <c r="D260" i="1"/>
  <c r="C260" i="1"/>
  <c r="A260" i="1"/>
  <c r="Y259" i="1"/>
  <c r="X259" i="1"/>
  <c r="W259" i="1"/>
  <c r="V259" i="1"/>
  <c r="T259" i="1"/>
  <c r="S259" i="1"/>
  <c r="R259" i="1"/>
  <c r="Q259" i="1"/>
  <c r="P259" i="1"/>
  <c r="O259" i="1"/>
  <c r="N259" i="1"/>
  <c r="M259" i="1"/>
  <c r="L259" i="1"/>
  <c r="K259" i="1"/>
  <c r="J259" i="1"/>
  <c r="I259" i="1"/>
  <c r="H259" i="1"/>
  <c r="G259" i="1"/>
  <c r="F259" i="1"/>
  <c r="E259" i="1"/>
  <c r="D259" i="1"/>
  <c r="C259" i="1"/>
  <c r="A259" i="1"/>
  <c r="Y258" i="1"/>
  <c r="X258" i="1"/>
  <c r="W258" i="1"/>
  <c r="V258" i="1"/>
  <c r="T258" i="1"/>
  <c r="S258" i="1"/>
  <c r="R258" i="1"/>
  <c r="Q258" i="1"/>
  <c r="P258" i="1"/>
  <c r="O258" i="1"/>
  <c r="N258" i="1"/>
  <c r="M258" i="1"/>
  <c r="L258" i="1"/>
  <c r="K258" i="1"/>
  <c r="J258" i="1"/>
  <c r="I258" i="1"/>
  <c r="H258" i="1"/>
  <c r="G258" i="1"/>
  <c r="F258" i="1"/>
  <c r="E258" i="1"/>
  <c r="D258" i="1"/>
  <c r="C258" i="1"/>
  <c r="A258" i="1"/>
  <c r="Y257" i="1"/>
  <c r="X257" i="1"/>
  <c r="W257" i="1"/>
  <c r="V257" i="1"/>
  <c r="T257" i="1"/>
  <c r="S257" i="1"/>
  <c r="R257" i="1"/>
  <c r="Q257" i="1"/>
  <c r="P257" i="1"/>
  <c r="O257" i="1"/>
  <c r="N257" i="1"/>
  <c r="M257" i="1"/>
  <c r="L257" i="1"/>
  <c r="K257" i="1"/>
  <c r="J257" i="1"/>
  <c r="I257" i="1"/>
  <c r="H257" i="1"/>
  <c r="G257" i="1"/>
  <c r="F257" i="1"/>
  <c r="E257" i="1"/>
  <c r="D257" i="1"/>
  <c r="C257" i="1"/>
  <c r="A257" i="1"/>
  <c r="Y256" i="1"/>
  <c r="X256" i="1"/>
  <c r="W256" i="1"/>
  <c r="V256" i="1"/>
  <c r="T256" i="1"/>
  <c r="S256" i="1"/>
  <c r="R256" i="1"/>
  <c r="Q256" i="1"/>
  <c r="P256" i="1"/>
  <c r="O256" i="1"/>
  <c r="N256" i="1"/>
  <c r="M256" i="1"/>
  <c r="L256" i="1"/>
  <c r="K256" i="1"/>
  <c r="J256" i="1"/>
  <c r="I256" i="1"/>
  <c r="H256" i="1"/>
  <c r="G256" i="1"/>
  <c r="F256" i="1"/>
  <c r="E256" i="1"/>
  <c r="D256" i="1"/>
  <c r="C256" i="1"/>
  <c r="A256" i="1"/>
  <c r="Y255" i="1"/>
  <c r="X255" i="1"/>
  <c r="W255" i="1"/>
  <c r="V255" i="1"/>
  <c r="T255" i="1"/>
  <c r="R255" i="1"/>
  <c r="Q255" i="1"/>
  <c r="P255" i="1"/>
  <c r="O255" i="1"/>
  <c r="N255" i="1"/>
  <c r="M255" i="1"/>
  <c r="L255" i="1"/>
  <c r="K255" i="1"/>
  <c r="J255" i="1"/>
  <c r="I255" i="1"/>
  <c r="H255" i="1"/>
  <c r="G255" i="1"/>
  <c r="F255" i="1"/>
  <c r="E255" i="1"/>
  <c r="D255" i="1"/>
  <c r="C255" i="1"/>
  <c r="A255" i="1"/>
  <c r="Y254" i="1"/>
  <c r="X254" i="1"/>
  <c r="W254" i="1"/>
  <c r="V254" i="1"/>
  <c r="T254" i="1"/>
  <c r="S254" i="1"/>
  <c r="R254" i="1"/>
  <c r="Q254" i="1"/>
  <c r="P254" i="1"/>
  <c r="O254" i="1"/>
  <c r="N254" i="1"/>
  <c r="M254" i="1"/>
  <c r="L254" i="1"/>
  <c r="K254" i="1"/>
  <c r="J254" i="1"/>
  <c r="I254" i="1"/>
  <c r="H254" i="1"/>
  <c r="G254" i="1"/>
  <c r="F254" i="1"/>
  <c r="E254" i="1"/>
  <c r="D254" i="1"/>
  <c r="C254" i="1"/>
  <c r="A254" i="1"/>
  <c r="Y253" i="1"/>
  <c r="X253" i="1"/>
  <c r="W253" i="1"/>
  <c r="V253" i="1"/>
  <c r="T253" i="1"/>
  <c r="S253" i="1"/>
  <c r="R253" i="1"/>
  <c r="Q253" i="1"/>
  <c r="P253" i="1"/>
  <c r="O253" i="1"/>
  <c r="N253" i="1"/>
  <c r="M253" i="1"/>
  <c r="L253" i="1"/>
  <c r="K253" i="1"/>
  <c r="J253" i="1"/>
  <c r="I253" i="1"/>
  <c r="H253" i="1"/>
  <c r="G253" i="1"/>
  <c r="F253" i="1"/>
  <c r="E253" i="1"/>
  <c r="D253" i="1"/>
  <c r="C253" i="1"/>
  <c r="A253" i="1"/>
  <c r="Y252" i="1"/>
  <c r="X252" i="1"/>
  <c r="W252" i="1"/>
  <c r="V252" i="1"/>
  <c r="T252" i="1"/>
  <c r="S252" i="1"/>
  <c r="R252" i="1"/>
  <c r="Q252" i="1"/>
  <c r="P252" i="1"/>
  <c r="O252" i="1"/>
  <c r="N252" i="1"/>
  <c r="M252" i="1"/>
  <c r="L252" i="1"/>
  <c r="K252" i="1"/>
  <c r="J252" i="1"/>
  <c r="I252" i="1"/>
  <c r="H252" i="1"/>
  <c r="G252" i="1"/>
  <c r="F252" i="1"/>
  <c r="E252" i="1"/>
  <c r="D252" i="1"/>
  <c r="C252" i="1"/>
  <c r="A252" i="1"/>
  <c r="Y251" i="1"/>
  <c r="X251" i="1"/>
  <c r="W251" i="1"/>
  <c r="V251" i="1"/>
  <c r="T251" i="1"/>
  <c r="R251" i="1"/>
  <c r="Q251" i="1"/>
  <c r="P251" i="1"/>
  <c r="O251" i="1"/>
  <c r="N251" i="1"/>
  <c r="M251" i="1"/>
  <c r="L251" i="1"/>
  <c r="K251" i="1"/>
  <c r="J251" i="1"/>
  <c r="I251" i="1"/>
  <c r="H251" i="1"/>
  <c r="G251" i="1"/>
  <c r="F251" i="1"/>
  <c r="E251" i="1"/>
  <c r="D251" i="1"/>
  <c r="C251" i="1"/>
  <c r="A251" i="1"/>
  <c r="Y250" i="1"/>
  <c r="X250" i="1"/>
  <c r="W250" i="1"/>
  <c r="V250" i="1"/>
  <c r="T250" i="1"/>
  <c r="S250" i="1"/>
  <c r="R250" i="1"/>
  <c r="Q250" i="1"/>
  <c r="P250" i="1"/>
  <c r="O250" i="1"/>
  <c r="N250" i="1"/>
  <c r="M250" i="1"/>
  <c r="L250" i="1"/>
  <c r="K250" i="1"/>
  <c r="J250" i="1"/>
  <c r="I250" i="1"/>
  <c r="H250" i="1"/>
  <c r="G250" i="1"/>
  <c r="F250" i="1"/>
  <c r="E250" i="1"/>
  <c r="D250" i="1"/>
  <c r="C250" i="1"/>
  <c r="A250" i="1"/>
  <c r="Y249" i="1"/>
  <c r="X249" i="1"/>
  <c r="W249" i="1"/>
  <c r="V249" i="1"/>
  <c r="U249" i="1"/>
  <c r="T249" i="1"/>
  <c r="R249" i="1"/>
  <c r="Q249" i="1"/>
  <c r="P249" i="1"/>
  <c r="O249" i="1"/>
  <c r="N249" i="1"/>
  <c r="M249" i="1"/>
  <c r="L249" i="1"/>
  <c r="K249" i="1"/>
  <c r="J249" i="1"/>
  <c r="I249" i="1"/>
  <c r="H249" i="1"/>
  <c r="G249" i="1"/>
  <c r="F249" i="1"/>
  <c r="E249" i="1"/>
  <c r="D249" i="1"/>
  <c r="C249" i="1"/>
  <c r="A249" i="1"/>
  <c r="Y248" i="1"/>
  <c r="X248" i="1"/>
  <c r="W248" i="1"/>
  <c r="V248" i="1"/>
  <c r="T248" i="1"/>
  <c r="S248" i="1"/>
  <c r="R248" i="1"/>
  <c r="Q248" i="1"/>
  <c r="P248" i="1"/>
  <c r="O248" i="1"/>
  <c r="N248" i="1"/>
  <c r="M248" i="1"/>
  <c r="L248" i="1"/>
  <c r="K248" i="1"/>
  <c r="J248" i="1"/>
  <c r="I248" i="1"/>
  <c r="H248" i="1"/>
  <c r="G248" i="1"/>
  <c r="F248" i="1"/>
  <c r="E248" i="1"/>
  <c r="D248" i="1"/>
  <c r="C248" i="1"/>
  <c r="A248" i="1"/>
  <c r="Y247" i="1"/>
  <c r="X247" i="1"/>
  <c r="W247" i="1"/>
  <c r="V247" i="1"/>
  <c r="T247" i="1"/>
  <c r="S247" i="1"/>
  <c r="R247" i="1"/>
  <c r="Q247" i="1"/>
  <c r="P247" i="1"/>
  <c r="O247" i="1"/>
  <c r="N247" i="1"/>
  <c r="M247" i="1"/>
  <c r="L247" i="1"/>
  <c r="K247" i="1"/>
  <c r="J247" i="1"/>
  <c r="I247" i="1"/>
  <c r="H247" i="1"/>
  <c r="G247" i="1"/>
  <c r="F247" i="1"/>
  <c r="E247" i="1"/>
  <c r="D247" i="1"/>
  <c r="C247" i="1"/>
  <c r="A247" i="1"/>
  <c r="Y246" i="1"/>
  <c r="X246" i="1"/>
  <c r="W246" i="1"/>
  <c r="V246" i="1"/>
  <c r="U246" i="1"/>
  <c r="T246" i="1"/>
  <c r="S246" i="1"/>
  <c r="R246" i="1"/>
  <c r="Q246" i="1"/>
  <c r="P246" i="1"/>
  <c r="O246" i="1"/>
  <c r="N246" i="1"/>
  <c r="M246" i="1"/>
  <c r="L246" i="1"/>
  <c r="K246" i="1"/>
  <c r="J246" i="1"/>
  <c r="I246" i="1"/>
  <c r="H246" i="1"/>
  <c r="G246" i="1"/>
  <c r="F246" i="1"/>
  <c r="E246" i="1"/>
  <c r="D246" i="1"/>
  <c r="C246" i="1"/>
  <c r="A246" i="1"/>
  <c r="Y245" i="1"/>
  <c r="X245" i="1"/>
  <c r="W245" i="1"/>
  <c r="V245" i="1"/>
  <c r="T245" i="1"/>
  <c r="R245" i="1"/>
  <c r="Q245" i="1"/>
  <c r="P245" i="1"/>
  <c r="O245" i="1"/>
  <c r="N245" i="1"/>
  <c r="M245" i="1"/>
  <c r="L245" i="1"/>
  <c r="K245" i="1"/>
  <c r="J245" i="1"/>
  <c r="I245" i="1"/>
  <c r="H245" i="1"/>
  <c r="G245" i="1"/>
  <c r="F245" i="1"/>
  <c r="E245" i="1"/>
  <c r="D245" i="1"/>
  <c r="C245" i="1"/>
  <c r="A245" i="1"/>
  <c r="Y244" i="1"/>
  <c r="X244" i="1"/>
  <c r="W244" i="1"/>
  <c r="V244" i="1"/>
  <c r="T244" i="1"/>
  <c r="R244" i="1"/>
  <c r="Q244" i="1"/>
  <c r="P244" i="1"/>
  <c r="O244" i="1"/>
  <c r="N244" i="1"/>
  <c r="M244" i="1"/>
  <c r="L244" i="1"/>
  <c r="K244" i="1"/>
  <c r="J244" i="1"/>
  <c r="I244" i="1"/>
  <c r="H244" i="1"/>
  <c r="G244" i="1"/>
  <c r="F244" i="1"/>
  <c r="E244" i="1"/>
  <c r="D244" i="1"/>
  <c r="C244" i="1"/>
  <c r="A244" i="1"/>
  <c r="Y243" i="1"/>
  <c r="X243" i="1"/>
  <c r="W243" i="1"/>
  <c r="V243" i="1"/>
  <c r="U243" i="1"/>
  <c r="T243" i="1"/>
  <c r="S243" i="1"/>
  <c r="R243" i="1"/>
  <c r="Q243" i="1"/>
  <c r="P243" i="1"/>
  <c r="O243" i="1"/>
  <c r="N243" i="1"/>
  <c r="M243" i="1"/>
  <c r="L243" i="1"/>
  <c r="K243" i="1"/>
  <c r="J243" i="1"/>
  <c r="I243" i="1"/>
  <c r="H243" i="1"/>
  <c r="G243" i="1"/>
  <c r="F243" i="1"/>
  <c r="E243" i="1"/>
  <c r="D243" i="1"/>
  <c r="C243" i="1"/>
  <c r="A243" i="1"/>
  <c r="Y242" i="1"/>
  <c r="X242" i="1"/>
  <c r="W242" i="1"/>
  <c r="V242" i="1"/>
  <c r="U242" i="1"/>
  <c r="T242" i="1"/>
  <c r="S242" i="1"/>
  <c r="R242" i="1"/>
  <c r="Q242" i="1"/>
  <c r="P242" i="1"/>
  <c r="O242" i="1"/>
  <c r="N242" i="1"/>
  <c r="M242" i="1"/>
  <c r="L242" i="1"/>
  <c r="K242" i="1"/>
  <c r="J242" i="1"/>
  <c r="I242" i="1"/>
  <c r="H242" i="1"/>
  <c r="G242" i="1"/>
  <c r="F242" i="1"/>
  <c r="E242" i="1"/>
  <c r="D242" i="1"/>
  <c r="C242" i="1"/>
  <c r="A242" i="1"/>
  <c r="Y241" i="1"/>
  <c r="X241" i="1"/>
  <c r="W241" i="1"/>
  <c r="V241" i="1"/>
  <c r="U241" i="1"/>
  <c r="T241" i="1"/>
  <c r="S241" i="1"/>
  <c r="R241" i="1"/>
  <c r="Q241" i="1"/>
  <c r="P241" i="1"/>
  <c r="O241" i="1"/>
  <c r="N241" i="1"/>
  <c r="M241" i="1"/>
  <c r="L241" i="1"/>
  <c r="K241" i="1"/>
  <c r="J241" i="1"/>
  <c r="I241" i="1"/>
  <c r="H241" i="1"/>
  <c r="G241" i="1"/>
  <c r="F241" i="1"/>
  <c r="E241" i="1"/>
  <c r="D241" i="1"/>
  <c r="C241" i="1"/>
  <c r="A241" i="1"/>
  <c r="Y240" i="1"/>
  <c r="X240" i="1"/>
  <c r="W240" i="1"/>
  <c r="V240" i="1"/>
  <c r="T240" i="1"/>
  <c r="S240" i="1"/>
  <c r="R240" i="1"/>
  <c r="Q240" i="1"/>
  <c r="P240" i="1"/>
  <c r="O240" i="1"/>
  <c r="N240" i="1"/>
  <c r="M240" i="1"/>
  <c r="L240" i="1"/>
  <c r="K240" i="1"/>
  <c r="J240" i="1"/>
  <c r="I240" i="1"/>
  <c r="H240" i="1"/>
  <c r="G240" i="1"/>
  <c r="F240" i="1"/>
  <c r="E240" i="1"/>
  <c r="D240" i="1"/>
  <c r="C240" i="1"/>
  <c r="A240" i="1"/>
  <c r="Y239" i="1"/>
  <c r="X239" i="1"/>
  <c r="W239" i="1"/>
  <c r="V239" i="1"/>
  <c r="T239" i="1"/>
  <c r="S239" i="1"/>
  <c r="R239" i="1"/>
  <c r="Q239" i="1"/>
  <c r="P239" i="1"/>
  <c r="O239" i="1"/>
  <c r="N239" i="1"/>
  <c r="M239" i="1"/>
  <c r="L239" i="1"/>
  <c r="K239" i="1"/>
  <c r="J239" i="1"/>
  <c r="I239" i="1"/>
  <c r="H239" i="1"/>
  <c r="G239" i="1"/>
  <c r="F239" i="1"/>
  <c r="E239" i="1"/>
  <c r="D239" i="1"/>
  <c r="C239" i="1"/>
  <c r="A239" i="1"/>
  <c r="Y238" i="1"/>
  <c r="X238" i="1"/>
  <c r="W238" i="1"/>
  <c r="V238" i="1"/>
  <c r="U238" i="1"/>
  <c r="T238" i="1"/>
  <c r="R238" i="1"/>
  <c r="Q238" i="1"/>
  <c r="P238" i="1"/>
  <c r="O238" i="1"/>
  <c r="N238" i="1"/>
  <c r="M238" i="1"/>
  <c r="L238" i="1"/>
  <c r="K238" i="1"/>
  <c r="J238" i="1"/>
  <c r="I238" i="1"/>
  <c r="H238" i="1"/>
  <c r="G238" i="1"/>
  <c r="F238" i="1"/>
  <c r="E238" i="1"/>
  <c r="D238" i="1"/>
  <c r="C238" i="1"/>
  <c r="A238" i="1"/>
  <c r="Y237" i="1"/>
  <c r="X237" i="1"/>
  <c r="W237" i="1"/>
  <c r="V237" i="1"/>
  <c r="T237" i="1"/>
  <c r="R237" i="1"/>
  <c r="Q237" i="1"/>
  <c r="P237" i="1"/>
  <c r="O237" i="1"/>
  <c r="N237" i="1"/>
  <c r="M237" i="1"/>
  <c r="L237" i="1"/>
  <c r="K237" i="1"/>
  <c r="J237" i="1"/>
  <c r="I237" i="1"/>
  <c r="H237" i="1"/>
  <c r="G237" i="1"/>
  <c r="F237" i="1"/>
  <c r="E237" i="1"/>
  <c r="D237" i="1"/>
  <c r="C237" i="1"/>
  <c r="A237" i="1"/>
  <c r="Y236" i="1"/>
  <c r="X236" i="1"/>
  <c r="W236" i="1"/>
  <c r="V236" i="1"/>
  <c r="U236" i="1"/>
  <c r="T236" i="1"/>
  <c r="S236" i="1"/>
  <c r="R236" i="1"/>
  <c r="Q236" i="1"/>
  <c r="P236" i="1"/>
  <c r="O236" i="1"/>
  <c r="N236" i="1"/>
  <c r="M236" i="1"/>
  <c r="L236" i="1"/>
  <c r="K236" i="1"/>
  <c r="J236" i="1"/>
  <c r="I236" i="1"/>
  <c r="H236" i="1"/>
  <c r="G236" i="1"/>
  <c r="F236" i="1"/>
  <c r="E236" i="1"/>
  <c r="D236" i="1"/>
  <c r="C236" i="1"/>
  <c r="A236" i="1"/>
  <c r="Y235" i="1"/>
  <c r="X235" i="1"/>
  <c r="W235" i="1"/>
  <c r="V235" i="1"/>
  <c r="T235" i="1"/>
  <c r="S235" i="1"/>
  <c r="R235" i="1"/>
  <c r="Q235" i="1"/>
  <c r="P235" i="1"/>
  <c r="O235" i="1"/>
  <c r="N235" i="1"/>
  <c r="M235" i="1"/>
  <c r="L235" i="1"/>
  <c r="K235" i="1"/>
  <c r="J235" i="1"/>
  <c r="I235" i="1"/>
  <c r="H235" i="1"/>
  <c r="G235" i="1"/>
  <c r="F235" i="1"/>
  <c r="E235" i="1"/>
  <c r="D235" i="1"/>
  <c r="C235" i="1"/>
  <c r="A235" i="1"/>
  <c r="Y234" i="1"/>
  <c r="X234" i="1"/>
  <c r="W234" i="1"/>
  <c r="V234" i="1"/>
  <c r="T234" i="1"/>
  <c r="S234" i="1"/>
  <c r="R234" i="1"/>
  <c r="Q234" i="1"/>
  <c r="P234" i="1"/>
  <c r="O234" i="1"/>
  <c r="N234" i="1"/>
  <c r="M234" i="1"/>
  <c r="L234" i="1"/>
  <c r="K234" i="1"/>
  <c r="J234" i="1"/>
  <c r="I234" i="1"/>
  <c r="H234" i="1"/>
  <c r="G234" i="1"/>
  <c r="F234" i="1"/>
  <c r="E234" i="1"/>
  <c r="D234" i="1"/>
  <c r="C234" i="1"/>
  <c r="A234" i="1"/>
  <c r="Y233" i="1"/>
  <c r="X233" i="1"/>
  <c r="W233" i="1"/>
  <c r="V233" i="1"/>
  <c r="T233" i="1"/>
  <c r="R233" i="1"/>
  <c r="Q233" i="1"/>
  <c r="P233" i="1"/>
  <c r="O233" i="1"/>
  <c r="N233" i="1"/>
  <c r="M233" i="1"/>
  <c r="L233" i="1"/>
  <c r="K233" i="1"/>
  <c r="J233" i="1"/>
  <c r="I233" i="1"/>
  <c r="H233" i="1"/>
  <c r="G233" i="1"/>
  <c r="F233" i="1"/>
  <c r="E233" i="1"/>
  <c r="D233" i="1"/>
  <c r="C233" i="1"/>
  <c r="A233" i="1"/>
  <c r="Y232" i="1"/>
  <c r="X232" i="1"/>
  <c r="W232" i="1"/>
  <c r="V232" i="1"/>
  <c r="T232" i="1"/>
  <c r="R232" i="1"/>
  <c r="Q232" i="1"/>
  <c r="P232" i="1"/>
  <c r="O232" i="1"/>
  <c r="N232" i="1"/>
  <c r="M232" i="1"/>
  <c r="L232" i="1"/>
  <c r="K232" i="1"/>
  <c r="J232" i="1"/>
  <c r="I232" i="1"/>
  <c r="H232" i="1"/>
  <c r="G232" i="1"/>
  <c r="F232" i="1"/>
  <c r="E232" i="1"/>
  <c r="D232" i="1"/>
  <c r="C232" i="1"/>
  <c r="A232" i="1"/>
  <c r="Y231" i="1"/>
  <c r="X231" i="1"/>
  <c r="W231" i="1"/>
  <c r="V231" i="1"/>
  <c r="U231" i="1"/>
  <c r="T231" i="1"/>
  <c r="S231" i="1"/>
  <c r="R231" i="1"/>
  <c r="Q231" i="1"/>
  <c r="P231" i="1"/>
  <c r="O231" i="1"/>
  <c r="N231" i="1"/>
  <c r="M231" i="1"/>
  <c r="L231" i="1"/>
  <c r="K231" i="1"/>
  <c r="J231" i="1"/>
  <c r="I231" i="1"/>
  <c r="H231" i="1"/>
  <c r="G231" i="1"/>
  <c r="F231" i="1"/>
  <c r="E231" i="1"/>
  <c r="D231" i="1"/>
  <c r="C231" i="1"/>
  <c r="A231" i="1"/>
  <c r="Y230" i="1"/>
  <c r="X230" i="1"/>
  <c r="W230" i="1"/>
  <c r="V230" i="1"/>
  <c r="T230" i="1"/>
  <c r="S230" i="1"/>
  <c r="R230" i="1"/>
  <c r="Q230" i="1"/>
  <c r="P230" i="1"/>
  <c r="O230" i="1"/>
  <c r="N230" i="1"/>
  <c r="M230" i="1"/>
  <c r="L230" i="1"/>
  <c r="K230" i="1"/>
  <c r="J230" i="1"/>
  <c r="I230" i="1"/>
  <c r="H230" i="1"/>
  <c r="G230" i="1"/>
  <c r="F230" i="1"/>
  <c r="E230" i="1"/>
  <c r="D230" i="1"/>
  <c r="C230" i="1"/>
  <c r="A230" i="1"/>
  <c r="Y229" i="1"/>
  <c r="X229" i="1"/>
  <c r="W229" i="1"/>
  <c r="V229" i="1"/>
  <c r="T229" i="1"/>
  <c r="S229" i="1"/>
  <c r="R229" i="1"/>
  <c r="Q229" i="1"/>
  <c r="P229" i="1"/>
  <c r="O229" i="1"/>
  <c r="N229" i="1"/>
  <c r="M229" i="1"/>
  <c r="L229" i="1"/>
  <c r="K229" i="1"/>
  <c r="J229" i="1"/>
  <c r="I229" i="1"/>
  <c r="H229" i="1"/>
  <c r="G229" i="1"/>
  <c r="F229" i="1"/>
  <c r="E229" i="1"/>
  <c r="D229" i="1"/>
  <c r="C229" i="1"/>
  <c r="A229" i="1"/>
  <c r="Y228" i="1"/>
  <c r="X228" i="1"/>
  <c r="W228" i="1"/>
  <c r="V228" i="1"/>
  <c r="U228" i="1"/>
  <c r="T228" i="1"/>
  <c r="R228" i="1"/>
  <c r="Q228" i="1"/>
  <c r="P228" i="1"/>
  <c r="O228" i="1"/>
  <c r="N228" i="1"/>
  <c r="M228" i="1"/>
  <c r="L228" i="1"/>
  <c r="K228" i="1"/>
  <c r="J228" i="1"/>
  <c r="I228" i="1"/>
  <c r="H228" i="1"/>
  <c r="G228" i="1"/>
  <c r="F228" i="1"/>
  <c r="E228" i="1"/>
  <c r="D228" i="1"/>
  <c r="C228" i="1"/>
  <c r="A228" i="1"/>
  <c r="Y227" i="1"/>
  <c r="X227" i="1"/>
  <c r="W227" i="1"/>
  <c r="V227" i="1"/>
  <c r="U227" i="1"/>
  <c r="T227" i="1"/>
  <c r="S227" i="1"/>
  <c r="R227" i="1"/>
  <c r="Q227" i="1"/>
  <c r="P227" i="1"/>
  <c r="O227" i="1"/>
  <c r="N227" i="1"/>
  <c r="M227" i="1"/>
  <c r="L227" i="1"/>
  <c r="K227" i="1"/>
  <c r="J227" i="1"/>
  <c r="I227" i="1"/>
  <c r="H227" i="1"/>
  <c r="G227" i="1"/>
  <c r="F227" i="1"/>
  <c r="E227" i="1"/>
  <c r="D227" i="1"/>
  <c r="C227" i="1"/>
  <c r="A227" i="1"/>
  <c r="Y226" i="1"/>
  <c r="X226" i="1"/>
  <c r="W226" i="1"/>
  <c r="V226" i="1"/>
  <c r="U226" i="1"/>
  <c r="T226" i="1"/>
  <c r="S226" i="1"/>
  <c r="R226" i="1"/>
  <c r="Q226" i="1"/>
  <c r="P226" i="1"/>
  <c r="O226" i="1"/>
  <c r="N226" i="1"/>
  <c r="M226" i="1"/>
  <c r="L226" i="1"/>
  <c r="K226" i="1"/>
  <c r="J226" i="1"/>
  <c r="I226" i="1"/>
  <c r="H226" i="1"/>
  <c r="G226" i="1"/>
  <c r="F226" i="1"/>
  <c r="E226" i="1"/>
  <c r="D226" i="1"/>
  <c r="C226" i="1"/>
  <c r="A226" i="1"/>
  <c r="Y225" i="1"/>
  <c r="X225" i="1"/>
  <c r="W225" i="1"/>
  <c r="V225" i="1"/>
  <c r="T225" i="1"/>
  <c r="R225" i="1"/>
  <c r="Q225" i="1"/>
  <c r="P225" i="1"/>
  <c r="O225" i="1"/>
  <c r="N225" i="1"/>
  <c r="M225" i="1"/>
  <c r="L225" i="1"/>
  <c r="K225" i="1"/>
  <c r="J225" i="1"/>
  <c r="I225" i="1"/>
  <c r="H225" i="1"/>
  <c r="G225" i="1"/>
  <c r="F225" i="1"/>
  <c r="E225" i="1"/>
  <c r="D225" i="1"/>
  <c r="C225" i="1"/>
  <c r="A225" i="1"/>
  <c r="Y224" i="1"/>
  <c r="X224" i="1"/>
  <c r="W224" i="1"/>
  <c r="V224" i="1"/>
  <c r="U224" i="1"/>
  <c r="T224" i="1"/>
  <c r="S224" i="1"/>
  <c r="R224" i="1"/>
  <c r="Q224" i="1"/>
  <c r="P224" i="1"/>
  <c r="O224" i="1"/>
  <c r="N224" i="1"/>
  <c r="M224" i="1"/>
  <c r="L224" i="1"/>
  <c r="K224" i="1"/>
  <c r="J224" i="1"/>
  <c r="I224" i="1"/>
  <c r="H224" i="1"/>
  <c r="G224" i="1"/>
  <c r="F224" i="1"/>
  <c r="E224" i="1"/>
  <c r="D224" i="1"/>
  <c r="C224" i="1"/>
  <c r="A224" i="1"/>
  <c r="Y223" i="1"/>
  <c r="X223" i="1"/>
  <c r="W223" i="1"/>
  <c r="V223" i="1"/>
  <c r="T223" i="1"/>
  <c r="R223" i="1"/>
  <c r="Q223" i="1"/>
  <c r="P223" i="1"/>
  <c r="O223" i="1"/>
  <c r="N223" i="1"/>
  <c r="M223" i="1"/>
  <c r="L223" i="1"/>
  <c r="K223" i="1"/>
  <c r="J223" i="1"/>
  <c r="I223" i="1"/>
  <c r="H223" i="1"/>
  <c r="G223" i="1"/>
  <c r="F223" i="1"/>
  <c r="E223" i="1"/>
  <c r="D223" i="1"/>
  <c r="C223" i="1"/>
  <c r="A223" i="1"/>
  <c r="Y222" i="1"/>
  <c r="X222" i="1"/>
  <c r="W222" i="1"/>
  <c r="V222" i="1"/>
  <c r="T222" i="1"/>
  <c r="S222" i="1"/>
  <c r="R222" i="1"/>
  <c r="Q222" i="1"/>
  <c r="P222" i="1"/>
  <c r="O222" i="1"/>
  <c r="N222" i="1"/>
  <c r="M222" i="1"/>
  <c r="L222" i="1"/>
  <c r="K222" i="1"/>
  <c r="J222" i="1"/>
  <c r="I222" i="1"/>
  <c r="H222" i="1"/>
  <c r="G222" i="1"/>
  <c r="F222" i="1"/>
  <c r="E222" i="1"/>
  <c r="D222" i="1"/>
  <c r="C222" i="1"/>
  <c r="A222" i="1"/>
  <c r="Y221" i="1"/>
  <c r="X221" i="1"/>
  <c r="W221" i="1"/>
  <c r="V221" i="1"/>
  <c r="T221" i="1"/>
  <c r="R221" i="1"/>
  <c r="Q221" i="1"/>
  <c r="P221" i="1"/>
  <c r="O221" i="1"/>
  <c r="N221" i="1"/>
  <c r="M221" i="1"/>
  <c r="L221" i="1"/>
  <c r="K221" i="1"/>
  <c r="J221" i="1"/>
  <c r="I221" i="1"/>
  <c r="H221" i="1"/>
  <c r="G221" i="1"/>
  <c r="F221" i="1"/>
  <c r="E221" i="1"/>
  <c r="D221" i="1"/>
  <c r="C221" i="1"/>
  <c r="A221" i="1"/>
  <c r="Y220" i="1"/>
  <c r="X220" i="1"/>
  <c r="W220" i="1"/>
  <c r="V220" i="1"/>
  <c r="T220" i="1"/>
  <c r="S220" i="1"/>
  <c r="R220" i="1"/>
  <c r="Q220" i="1"/>
  <c r="P220" i="1"/>
  <c r="O220" i="1"/>
  <c r="N220" i="1"/>
  <c r="M220" i="1"/>
  <c r="L220" i="1"/>
  <c r="K220" i="1"/>
  <c r="J220" i="1"/>
  <c r="I220" i="1"/>
  <c r="H220" i="1"/>
  <c r="G220" i="1"/>
  <c r="F220" i="1"/>
  <c r="E220" i="1"/>
  <c r="D220" i="1"/>
  <c r="C220" i="1"/>
  <c r="A220" i="1"/>
  <c r="Y219" i="1"/>
  <c r="X219" i="1"/>
  <c r="W219" i="1"/>
  <c r="V219" i="1"/>
  <c r="T219" i="1"/>
  <c r="S219" i="1"/>
  <c r="R219" i="1"/>
  <c r="Q219" i="1"/>
  <c r="P219" i="1"/>
  <c r="O219" i="1"/>
  <c r="N219" i="1"/>
  <c r="M219" i="1"/>
  <c r="L219" i="1"/>
  <c r="K219" i="1"/>
  <c r="J219" i="1"/>
  <c r="I219" i="1"/>
  <c r="H219" i="1"/>
  <c r="G219" i="1"/>
  <c r="F219" i="1"/>
  <c r="E219" i="1"/>
  <c r="D219" i="1"/>
  <c r="C219" i="1"/>
  <c r="A219" i="1"/>
  <c r="Y218" i="1"/>
  <c r="X218" i="1"/>
  <c r="W218" i="1"/>
  <c r="V218" i="1"/>
  <c r="T218" i="1"/>
  <c r="S218" i="1"/>
  <c r="R218" i="1"/>
  <c r="Q218" i="1"/>
  <c r="P218" i="1"/>
  <c r="O218" i="1"/>
  <c r="N218" i="1"/>
  <c r="M218" i="1"/>
  <c r="L218" i="1"/>
  <c r="K218" i="1"/>
  <c r="J218" i="1"/>
  <c r="I218" i="1"/>
  <c r="H218" i="1"/>
  <c r="G218" i="1"/>
  <c r="F218" i="1"/>
  <c r="E218" i="1"/>
  <c r="D218" i="1"/>
  <c r="C218" i="1"/>
  <c r="A218" i="1"/>
  <c r="Y217" i="1"/>
  <c r="X217" i="1"/>
  <c r="W217" i="1"/>
  <c r="V217" i="1"/>
  <c r="U217" i="1"/>
  <c r="T217" i="1"/>
  <c r="S217" i="1"/>
  <c r="R217" i="1"/>
  <c r="Q217" i="1"/>
  <c r="P217" i="1"/>
  <c r="O217" i="1"/>
  <c r="N217" i="1"/>
  <c r="M217" i="1"/>
  <c r="L217" i="1"/>
  <c r="K217" i="1"/>
  <c r="J217" i="1"/>
  <c r="I217" i="1"/>
  <c r="H217" i="1"/>
  <c r="G217" i="1"/>
  <c r="F217" i="1"/>
  <c r="E217" i="1"/>
  <c r="D217" i="1"/>
  <c r="C217" i="1"/>
  <c r="A217" i="1"/>
  <c r="Y216" i="1"/>
  <c r="X216" i="1"/>
  <c r="W216" i="1"/>
  <c r="V216" i="1"/>
  <c r="T216" i="1"/>
  <c r="R216" i="1"/>
  <c r="Q216" i="1"/>
  <c r="P216" i="1"/>
  <c r="O216" i="1"/>
  <c r="N216" i="1"/>
  <c r="M216" i="1"/>
  <c r="L216" i="1"/>
  <c r="K216" i="1"/>
  <c r="J216" i="1"/>
  <c r="I216" i="1"/>
  <c r="H216" i="1"/>
  <c r="G216" i="1"/>
  <c r="F216" i="1"/>
  <c r="E216" i="1"/>
  <c r="D216" i="1"/>
  <c r="C216" i="1"/>
  <c r="A216" i="1"/>
  <c r="Y215" i="1"/>
  <c r="X215" i="1"/>
  <c r="W215" i="1"/>
  <c r="V215" i="1"/>
  <c r="U215" i="1"/>
  <c r="T215" i="1"/>
  <c r="R215" i="1"/>
  <c r="Q215" i="1"/>
  <c r="P215" i="1"/>
  <c r="O215" i="1"/>
  <c r="N215" i="1"/>
  <c r="M215" i="1"/>
  <c r="L215" i="1"/>
  <c r="K215" i="1"/>
  <c r="J215" i="1"/>
  <c r="I215" i="1"/>
  <c r="H215" i="1"/>
  <c r="G215" i="1"/>
  <c r="F215" i="1"/>
  <c r="E215" i="1"/>
  <c r="D215" i="1"/>
  <c r="C215" i="1"/>
  <c r="A215" i="1"/>
  <c r="Y214" i="1"/>
  <c r="X214" i="1"/>
  <c r="W214" i="1"/>
  <c r="V214" i="1"/>
  <c r="T214" i="1"/>
  <c r="R214" i="1"/>
  <c r="Q214" i="1"/>
  <c r="P214" i="1"/>
  <c r="O214" i="1"/>
  <c r="N214" i="1"/>
  <c r="M214" i="1"/>
  <c r="L214" i="1"/>
  <c r="K214" i="1"/>
  <c r="J214" i="1"/>
  <c r="I214" i="1"/>
  <c r="H214" i="1"/>
  <c r="G214" i="1"/>
  <c r="F214" i="1"/>
  <c r="E214" i="1"/>
  <c r="D214" i="1"/>
  <c r="C214" i="1"/>
  <c r="A214" i="1"/>
  <c r="Y213" i="1"/>
  <c r="X213" i="1"/>
  <c r="W213" i="1"/>
  <c r="V213" i="1"/>
  <c r="U213" i="1"/>
  <c r="T213" i="1"/>
  <c r="R213" i="1"/>
  <c r="Q213" i="1"/>
  <c r="P213" i="1"/>
  <c r="O213" i="1"/>
  <c r="N213" i="1"/>
  <c r="M213" i="1"/>
  <c r="L213" i="1"/>
  <c r="K213" i="1"/>
  <c r="J213" i="1"/>
  <c r="I213" i="1"/>
  <c r="H213" i="1"/>
  <c r="G213" i="1"/>
  <c r="F213" i="1"/>
  <c r="E213" i="1"/>
  <c r="D213" i="1"/>
  <c r="C213" i="1"/>
  <c r="A213" i="1"/>
  <c r="Y212" i="1"/>
  <c r="X212" i="1"/>
  <c r="W212" i="1"/>
  <c r="V212" i="1"/>
  <c r="U212" i="1"/>
  <c r="T212" i="1"/>
  <c r="S212" i="1"/>
  <c r="R212" i="1"/>
  <c r="Q212" i="1"/>
  <c r="P212" i="1"/>
  <c r="O212" i="1"/>
  <c r="N212" i="1"/>
  <c r="M212" i="1"/>
  <c r="L212" i="1"/>
  <c r="K212" i="1"/>
  <c r="J212" i="1"/>
  <c r="I212" i="1"/>
  <c r="H212" i="1"/>
  <c r="G212" i="1"/>
  <c r="F212" i="1"/>
  <c r="E212" i="1"/>
  <c r="D212" i="1"/>
  <c r="C212" i="1"/>
  <c r="A212" i="1"/>
  <c r="Y211" i="1"/>
  <c r="X211" i="1"/>
  <c r="W211" i="1"/>
  <c r="V211" i="1"/>
  <c r="T211" i="1"/>
  <c r="S211" i="1"/>
  <c r="R211" i="1"/>
  <c r="Q211" i="1"/>
  <c r="P211" i="1"/>
  <c r="O211" i="1"/>
  <c r="N211" i="1"/>
  <c r="M211" i="1"/>
  <c r="L211" i="1"/>
  <c r="K211" i="1"/>
  <c r="J211" i="1"/>
  <c r="I211" i="1"/>
  <c r="H211" i="1"/>
  <c r="G211" i="1"/>
  <c r="F211" i="1"/>
  <c r="E211" i="1"/>
  <c r="D211" i="1"/>
  <c r="C211" i="1"/>
  <c r="A211" i="1"/>
  <c r="Y210" i="1"/>
  <c r="X210" i="1"/>
  <c r="W210" i="1"/>
  <c r="V210" i="1"/>
  <c r="T210" i="1"/>
  <c r="R210" i="1"/>
  <c r="Q210" i="1"/>
  <c r="P210" i="1"/>
  <c r="O210" i="1"/>
  <c r="N210" i="1"/>
  <c r="M210" i="1"/>
  <c r="L210" i="1"/>
  <c r="K210" i="1"/>
  <c r="J210" i="1"/>
  <c r="I210" i="1"/>
  <c r="H210" i="1"/>
  <c r="G210" i="1"/>
  <c r="F210" i="1"/>
  <c r="E210" i="1"/>
  <c r="D210" i="1"/>
  <c r="C210" i="1"/>
  <c r="A210" i="1"/>
  <c r="Y209" i="1"/>
  <c r="X209" i="1"/>
  <c r="W209" i="1"/>
  <c r="V209" i="1"/>
  <c r="U209" i="1"/>
  <c r="T209" i="1"/>
  <c r="R209" i="1"/>
  <c r="Q209" i="1"/>
  <c r="P209" i="1"/>
  <c r="O209" i="1"/>
  <c r="N209" i="1"/>
  <c r="M209" i="1"/>
  <c r="L209" i="1"/>
  <c r="K209" i="1"/>
  <c r="J209" i="1"/>
  <c r="I209" i="1"/>
  <c r="H209" i="1"/>
  <c r="G209" i="1"/>
  <c r="F209" i="1"/>
  <c r="E209" i="1"/>
  <c r="D209" i="1"/>
  <c r="C209" i="1"/>
  <c r="A209" i="1"/>
  <c r="Y208" i="1"/>
  <c r="X208" i="1"/>
  <c r="W208" i="1"/>
  <c r="V208" i="1"/>
  <c r="T208" i="1"/>
  <c r="S208" i="1"/>
  <c r="R208" i="1"/>
  <c r="Q208" i="1"/>
  <c r="P208" i="1"/>
  <c r="O208" i="1"/>
  <c r="N208" i="1"/>
  <c r="M208" i="1"/>
  <c r="L208" i="1"/>
  <c r="K208" i="1"/>
  <c r="J208" i="1"/>
  <c r="I208" i="1"/>
  <c r="H208" i="1"/>
  <c r="G208" i="1"/>
  <c r="F208" i="1"/>
  <c r="E208" i="1"/>
  <c r="D208" i="1"/>
  <c r="C208" i="1"/>
  <c r="A208" i="1"/>
  <c r="Y207" i="1"/>
  <c r="X207" i="1"/>
  <c r="W207" i="1"/>
  <c r="V207" i="1"/>
  <c r="T207" i="1"/>
  <c r="S207" i="1"/>
  <c r="R207" i="1"/>
  <c r="Q207" i="1"/>
  <c r="P207" i="1"/>
  <c r="O207" i="1"/>
  <c r="N207" i="1"/>
  <c r="M207" i="1"/>
  <c r="L207" i="1"/>
  <c r="K207" i="1"/>
  <c r="J207" i="1"/>
  <c r="I207" i="1"/>
  <c r="H207" i="1"/>
  <c r="G207" i="1"/>
  <c r="F207" i="1"/>
  <c r="E207" i="1"/>
  <c r="D207" i="1"/>
  <c r="C207" i="1"/>
  <c r="A207" i="1"/>
  <c r="Y206" i="1"/>
  <c r="X206" i="1"/>
  <c r="W206" i="1"/>
  <c r="V206" i="1"/>
  <c r="U206" i="1"/>
  <c r="T206" i="1"/>
  <c r="R206" i="1"/>
  <c r="Q206" i="1"/>
  <c r="P206" i="1"/>
  <c r="O206" i="1"/>
  <c r="N206" i="1"/>
  <c r="M206" i="1"/>
  <c r="L206" i="1"/>
  <c r="K206" i="1"/>
  <c r="J206" i="1"/>
  <c r="I206" i="1"/>
  <c r="H206" i="1"/>
  <c r="G206" i="1"/>
  <c r="F206" i="1"/>
  <c r="E206" i="1"/>
  <c r="D206" i="1"/>
  <c r="C206" i="1"/>
  <c r="A206" i="1"/>
  <c r="Y205" i="1"/>
  <c r="X205" i="1"/>
  <c r="W205" i="1"/>
  <c r="V205" i="1"/>
  <c r="U205" i="1"/>
  <c r="T205" i="1"/>
  <c r="R205" i="1"/>
  <c r="Q205" i="1"/>
  <c r="P205" i="1"/>
  <c r="O205" i="1"/>
  <c r="N205" i="1"/>
  <c r="M205" i="1"/>
  <c r="L205" i="1"/>
  <c r="K205" i="1"/>
  <c r="J205" i="1"/>
  <c r="I205" i="1"/>
  <c r="H205" i="1"/>
  <c r="G205" i="1"/>
  <c r="F205" i="1"/>
  <c r="E205" i="1"/>
  <c r="D205" i="1"/>
  <c r="C205" i="1"/>
  <c r="A205" i="1"/>
  <c r="Y204" i="1"/>
  <c r="X204" i="1"/>
  <c r="W204" i="1"/>
  <c r="V204" i="1"/>
  <c r="T204" i="1"/>
  <c r="S204" i="1"/>
  <c r="R204" i="1"/>
  <c r="Q204" i="1"/>
  <c r="P204" i="1"/>
  <c r="O204" i="1"/>
  <c r="N204" i="1"/>
  <c r="M204" i="1"/>
  <c r="L204" i="1"/>
  <c r="K204" i="1"/>
  <c r="J204" i="1"/>
  <c r="I204" i="1"/>
  <c r="H204" i="1"/>
  <c r="G204" i="1"/>
  <c r="F204" i="1"/>
  <c r="E204" i="1"/>
  <c r="D204" i="1"/>
  <c r="C204" i="1"/>
  <c r="A204" i="1"/>
  <c r="Y203" i="1"/>
  <c r="X203" i="1"/>
  <c r="W203" i="1"/>
  <c r="V203" i="1"/>
  <c r="T203" i="1"/>
  <c r="R203" i="1"/>
  <c r="Q203" i="1"/>
  <c r="P203" i="1"/>
  <c r="O203" i="1"/>
  <c r="N203" i="1"/>
  <c r="M203" i="1"/>
  <c r="L203" i="1"/>
  <c r="K203" i="1"/>
  <c r="J203" i="1"/>
  <c r="I203" i="1"/>
  <c r="H203" i="1"/>
  <c r="G203" i="1"/>
  <c r="F203" i="1"/>
  <c r="E203" i="1"/>
  <c r="D203" i="1"/>
  <c r="C203" i="1"/>
  <c r="A203" i="1"/>
  <c r="Y202" i="1"/>
  <c r="X202" i="1"/>
  <c r="W202" i="1"/>
  <c r="V202" i="1"/>
  <c r="T202" i="1"/>
  <c r="R202" i="1"/>
  <c r="Q202" i="1"/>
  <c r="P202" i="1"/>
  <c r="O202" i="1"/>
  <c r="N202" i="1"/>
  <c r="M202" i="1"/>
  <c r="L202" i="1"/>
  <c r="K202" i="1"/>
  <c r="J202" i="1"/>
  <c r="I202" i="1"/>
  <c r="H202" i="1"/>
  <c r="G202" i="1"/>
  <c r="F202" i="1"/>
  <c r="E202" i="1"/>
  <c r="D202" i="1"/>
  <c r="C202" i="1"/>
  <c r="A202" i="1"/>
  <c r="Y201" i="1"/>
  <c r="X201" i="1"/>
  <c r="W201" i="1"/>
  <c r="V201" i="1"/>
  <c r="T201" i="1"/>
  <c r="S201" i="1"/>
  <c r="R201" i="1"/>
  <c r="Q201" i="1"/>
  <c r="P201" i="1"/>
  <c r="O201" i="1"/>
  <c r="N201" i="1"/>
  <c r="M201" i="1"/>
  <c r="L201" i="1"/>
  <c r="K201" i="1"/>
  <c r="J201" i="1"/>
  <c r="I201" i="1"/>
  <c r="H201" i="1"/>
  <c r="G201" i="1"/>
  <c r="F201" i="1"/>
  <c r="E201" i="1"/>
  <c r="D201" i="1"/>
  <c r="C201" i="1"/>
  <c r="A201" i="1"/>
  <c r="Y200" i="1"/>
  <c r="X200" i="1"/>
  <c r="W200" i="1"/>
  <c r="V200" i="1"/>
  <c r="T200" i="1"/>
  <c r="S200" i="1"/>
  <c r="R200" i="1"/>
  <c r="Q200" i="1"/>
  <c r="P200" i="1"/>
  <c r="O200" i="1"/>
  <c r="N200" i="1"/>
  <c r="M200" i="1"/>
  <c r="L200" i="1"/>
  <c r="K200" i="1"/>
  <c r="J200" i="1"/>
  <c r="I200" i="1"/>
  <c r="H200" i="1"/>
  <c r="G200" i="1"/>
  <c r="F200" i="1"/>
  <c r="E200" i="1"/>
  <c r="D200" i="1"/>
  <c r="C200" i="1"/>
  <c r="A200" i="1"/>
  <c r="Y199" i="1"/>
  <c r="X199" i="1"/>
  <c r="W199" i="1"/>
  <c r="V199" i="1"/>
  <c r="U199" i="1"/>
  <c r="T199" i="1"/>
  <c r="S199" i="1"/>
  <c r="R199" i="1"/>
  <c r="Q199" i="1"/>
  <c r="P199" i="1"/>
  <c r="O199" i="1"/>
  <c r="N199" i="1"/>
  <c r="M199" i="1"/>
  <c r="L199" i="1"/>
  <c r="K199" i="1"/>
  <c r="J199" i="1"/>
  <c r="I199" i="1"/>
  <c r="H199" i="1"/>
  <c r="G199" i="1"/>
  <c r="F199" i="1"/>
  <c r="E199" i="1"/>
  <c r="D199" i="1"/>
  <c r="C199" i="1"/>
  <c r="A199" i="1"/>
  <c r="Y198" i="1"/>
  <c r="X198" i="1"/>
  <c r="W198" i="1"/>
  <c r="V198" i="1"/>
  <c r="T198" i="1"/>
  <c r="S198" i="1"/>
  <c r="R198" i="1"/>
  <c r="Q198" i="1"/>
  <c r="P198" i="1"/>
  <c r="O198" i="1"/>
  <c r="N198" i="1"/>
  <c r="M198" i="1"/>
  <c r="L198" i="1"/>
  <c r="K198" i="1"/>
  <c r="J198" i="1"/>
  <c r="I198" i="1"/>
  <c r="H198" i="1"/>
  <c r="G198" i="1"/>
  <c r="F198" i="1"/>
  <c r="E198" i="1"/>
  <c r="D198" i="1"/>
  <c r="C198" i="1"/>
  <c r="A198" i="1"/>
  <c r="Y197" i="1"/>
  <c r="X197" i="1"/>
  <c r="W197" i="1"/>
  <c r="V197" i="1"/>
  <c r="T197" i="1"/>
  <c r="S197" i="1"/>
  <c r="R197" i="1"/>
  <c r="Q197" i="1"/>
  <c r="P197" i="1"/>
  <c r="O197" i="1"/>
  <c r="N197" i="1"/>
  <c r="M197" i="1"/>
  <c r="L197" i="1"/>
  <c r="K197" i="1"/>
  <c r="J197" i="1"/>
  <c r="I197" i="1"/>
  <c r="H197" i="1"/>
  <c r="G197" i="1"/>
  <c r="F197" i="1"/>
  <c r="E197" i="1"/>
  <c r="D197" i="1"/>
  <c r="C197" i="1"/>
  <c r="A197" i="1"/>
  <c r="Y196" i="1"/>
  <c r="X196" i="1"/>
  <c r="W196" i="1"/>
  <c r="V196" i="1"/>
  <c r="T196" i="1"/>
  <c r="R196" i="1"/>
  <c r="Q196" i="1"/>
  <c r="P196" i="1"/>
  <c r="O196" i="1"/>
  <c r="N196" i="1"/>
  <c r="M196" i="1"/>
  <c r="L196" i="1"/>
  <c r="K196" i="1"/>
  <c r="J196" i="1"/>
  <c r="I196" i="1"/>
  <c r="H196" i="1"/>
  <c r="G196" i="1"/>
  <c r="F196" i="1"/>
  <c r="E196" i="1"/>
  <c r="D196" i="1"/>
  <c r="C196" i="1"/>
  <c r="A196" i="1"/>
  <c r="Y195" i="1"/>
  <c r="X195" i="1"/>
  <c r="W195" i="1"/>
  <c r="V195" i="1"/>
  <c r="T195" i="1"/>
  <c r="R195" i="1"/>
  <c r="Q195" i="1"/>
  <c r="P195" i="1"/>
  <c r="O195" i="1"/>
  <c r="N195" i="1"/>
  <c r="M195" i="1"/>
  <c r="L195" i="1"/>
  <c r="K195" i="1"/>
  <c r="J195" i="1"/>
  <c r="I195" i="1"/>
  <c r="H195" i="1"/>
  <c r="G195" i="1"/>
  <c r="F195" i="1"/>
  <c r="E195" i="1"/>
  <c r="D195" i="1"/>
  <c r="C195" i="1"/>
  <c r="A195" i="1"/>
  <c r="Y194" i="1"/>
  <c r="X194" i="1"/>
  <c r="W194" i="1"/>
  <c r="V194" i="1"/>
  <c r="T194" i="1"/>
  <c r="S194" i="1"/>
  <c r="R194" i="1"/>
  <c r="Q194" i="1"/>
  <c r="P194" i="1"/>
  <c r="O194" i="1"/>
  <c r="N194" i="1"/>
  <c r="M194" i="1"/>
  <c r="L194" i="1"/>
  <c r="K194" i="1"/>
  <c r="J194" i="1"/>
  <c r="I194" i="1"/>
  <c r="H194" i="1"/>
  <c r="G194" i="1"/>
  <c r="F194" i="1"/>
  <c r="E194" i="1"/>
  <c r="D194" i="1"/>
  <c r="C194" i="1"/>
  <c r="A194" i="1"/>
  <c r="Y193" i="1"/>
  <c r="X193" i="1"/>
  <c r="W193" i="1"/>
  <c r="V193" i="1"/>
  <c r="U193" i="1"/>
  <c r="T193" i="1"/>
  <c r="S193" i="1"/>
  <c r="R193" i="1"/>
  <c r="Q193" i="1"/>
  <c r="P193" i="1"/>
  <c r="O193" i="1"/>
  <c r="N193" i="1"/>
  <c r="M193" i="1"/>
  <c r="L193" i="1"/>
  <c r="K193" i="1"/>
  <c r="J193" i="1"/>
  <c r="I193" i="1"/>
  <c r="H193" i="1"/>
  <c r="G193" i="1"/>
  <c r="F193" i="1"/>
  <c r="E193" i="1"/>
  <c r="D193" i="1"/>
  <c r="C193" i="1"/>
  <c r="A193" i="1"/>
  <c r="Y192" i="1"/>
  <c r="X192" i="1"/>
  <c r="W192" i="1"/>
  <c r="V192" i="1"/>
  <c r="T192" i="1"/>
  <c r="R192" i="1"/>
  <c r="Q192" i="1"/>
  <c r="P192" i="1"/>
  <c r="O192" i="1"/>
  <c r="N192" i="1"/>
  <c r="M192" i="1"/>
  <c r="L192" i="1"/>
  <c r="K192" i="1"/>
  <c r="J192" i="1"/>
  <c r="I192" i="1"/>
  <c r="H192" i="1"/>
  <c r="G192" i="1"/>
  <c r="F192" i="1"/>
  <c r="E192" i="1"/>
  <c r="D192" i="1"/>
  <c r="C192" i="1"/>
  <c r="A192" i="1"/>
  <c r="Y191" i="1"/>
  <c r="X191" i="1"/>
  <c r="W191" i="1"/>
  <c r="V191" i="1"/>
  <c r="T191" i="1"/>
  <c r="S191" i="1"/>
  <c r="R191" i="1"/>
  <c r="Q191" i="1"/>
  <c r="P191" i="1"/>
  <c r="O191" i="1"/>
  <c r="N191" i="1"/>
  <c r="M191" i="1"/>
  <c r="L191" i="1"/>
  <c r="K191" i="1"/>
  <c r="J191" i="1"/>
  <c r="I191" i="1"/>
  <c r="H191" i="1"/>
  <c r="G191" i="1"/>
  <c r="F191" i="1"/>
  <c r="E191" i="1"/>
  <c r="D191" i="1"/>
  <c r="C191" i="1"/>
  <c r="A191" i="1"/>
  <c r="Y190" i="1"/>
  <c r="X190" i="1"/>
  <c r="W190" i="1"/>
  <c r="V190" i="1"/>
  <c r="T190" i="1"/>
  <c r="S190" i="1"/>
  <c r="R190" i="1"/>
  <c r="Q190" i="1"/>
  <c r="P190" i="1"/>
  <c r="O190" i="1"/>
  <c r="N190" i="1"/>
  <c r="M190" i="1"/>
  <c r="L190" i="1"/>
  <c r="K190" i="1"/>
  <c r="J190" i="1"/>
  <c r="I190" i="1"/>
  <c r="H190" i="1"/>
  <c r="G190" i="1"/>
  <c r="F190" i="1"/>
  <c r="E190" i="1"/>
  <c r="D190" i="1"/>
  <c r="C190" i="1"/>
  <c r="A190" i="1"/>
  <c r="Y189" i="1"/>
  <c r="X189" i="1"/>
  <c r="W189" i="1"/>
  <c r="V189" i="1"/>
  <c r="T189" i="1"/>
  <c r="R189" i="1"/>
  <c r="Q189" i="1"/>
  <c r="P189" i="1"/>
  <c r="O189" i="1"/>
  <c r="N189" i="1"/>
  <c r="M189" i="1"/>
  <c r="L189" i="1"/>
  <c r="K189" i="1"/>
  <c r="J189" i="1"/>
  <c r="I189" i="1"/>
  <c r="H189" i="1"/>
  <c r="G189" i="1"/>
  <c r="F189" i="1"/>
  <c r="E189" i="1"/>
  <c r="D189" i="1"/>
  <c r="C189" i="1"/>
  <c r="A189" i="1"/>
  <c r="Y188" i="1"/>
  <c r="X188" i="1"/>
  <c r="W188" i="1"/>
  <c r="V188" i="1"/>
  <c r="T188" i="1"/>
  <c r="R188" i="1"/>
  <c r="Q188" i="1"/>
  <c r="P188" i="1"/>
  <c r="O188" i="1"/>
  <c r="N188" i="1"/>
  <c r="M188" i="1"/>
  <c r="L188" i="1"/>
  <c r="K188" i="1"/>
  <c r="J188" i="1"/>
  <c r="I188" i="1"/>
  <c r="H188" i="1"/>
  <c r="G188" i="1"/>
  <c r="F188" i="1"/>
  <c r="E188" i="1"/>
  <c r="D188" i="1"/>
  <c r="C188" i="1"/>
  <c r="A188" i="1"/>
  <c r="Y187" i="1"/>
  <c r="X187" i="1"/>
  <c r="W187" i="1"/>
  <c r="V187" i="1"/>
  <c r="T187" i="1"/>
  <c r="S187" i="1"/>
  <c r="R187" i="1"/>
  <c r="Q187" i="1"/>
  <c r="P187" i="1"/>
  <c r="O187" i="1"/>
  <c r="N187" i="1"/>
  <c r="M187" i="1"/>
  <c r="L187" i="1"/>
  <c r="K187" i="1"/>
  <c r="J187" i="1"/>
  <c r="I187" i="1"/>
  <c r="H187" i="1"/>
  <c r="G187" i="1"/>
  <c r="F187" i="1"/>
  <c r="E187" i="1"/>
  <c r="D187" i="1"/>
  <c r="C187" i="1"/>
  <c r="A187" i="1"/>
  <c r="Y186" i="1"/>
  <c r="X186" i="1"/>
  <c r="W186" i="1"/>
  <c r="V186" i="1"/>
  <c r="T186" i="1"/>
  <c r="S186" i="1"/>
  <c r="R186" i="1"/>
  <c r="Q186" i="1"/>
  <c r="P186" i="1"/>
  <c r="O186" i="1"/>
  <c r="N186" i="1"/>
  <c r="M186" i="1"/>
  <c r="L186" i="1"/>
  <c r="K186" i="1"/>
  <c r="J186" i="1"/>
  <c r="I186" i="1"/>
  <c r="H186" i="1"/>
  <c r="G186" i="1"/>
  <c r="F186" i="1"/>
  <c r="E186" i="1"/>
  <c r="D186" i="1"/>
  <c r="C186" i="1"/>
  <c r="A186" i="1"/>
  <c r="Y185" i="1"/>
  <c r="X185" i="1"/>
  <c r="W185" i="1"/>
  <c r="V185" i="1"/>
  <c r="T185" i="1"/>
  <c r="S185" i="1"/>
  <c r="R185" i="1"/>
  <c r="Q185" i="1"/>
  <c r="P185" i="1"/>
  <c r="O185" i="1"/>
  <c r="N185" i="1"/>
  <c r="M185" i="1"/>
  <c r="L185" i="1"/>
  <c r="K185" i="1"/>
  <c r="J185" i="1"/>
  <c r="I185" i="1"/>
  <c r="H185" i="1"/>
  <c r="G185" i="1"/>
  <c r="F185" i="1"/>
  <c r="E185" i="1"/>
  <c r="D185" i="1"/>
  <c r="C185" i="1"/>
  <c r="A185" i="1"/>
  <c r="Y184" i="1"/>
  <c r="X184" i="1"/>
  <c r="W184" i="1"/>
  <c r="V184" i="1"/>
  <c r="T184" i="1"/>
  <c r="S184" i="1"/>
  <c r="R184" i="1"/>
  <c r="Q184" i="1"/>
  <c r="P184" i="1"/>
  <c r="O184" i="1"/>
  <c r="N184" i="1"/>
  <c r="M184" i="1"/>
  <c r="L184" i="1"/>
  <c r="K184" i="1"/>
  <c r="J184" i="1"/>
  <c r="I184" i="1"/>
  <c r="H184" i="1"/>
  <c r="G184" i="1"/>
  <c r="F184" i="1"/>
  <c r="E184" i="1"/>
  <c r="D184" i="1"/>
  <c r="C184" i="1"/>
  <c r="A184" i="1"/>
  <c r="Y183" i="1"/>
  <c r="X183" i="1"/>
  <c r="W183" i="1"/>
  <c r="V183" i="1"/>
  <c r="U183" i="1"/>
  <c r="T183" i="1"/>
  <c r="R183" i="1"/>
  <c r="Q183" i="1"/>
  <c r="P183" i="1"/>
  <c r="O183" i="1"/>
  <c r="N183" i="1"/>
  <c r="M183" i="1"/>
  <c r="L183" i="1"/>
  <c r="K183" i="1"/>
  <c r="J183" i="1"/>
  <c r="I183" i="1"/>
  <c r="H183" i="1"/>
  <c r="G183" i="1"/>
  <c r="F183" i="1"/>
  <c r="E183" i="1"/>
  <c r="D183" i="1"/>
  <c r="C183" i="1"/>
  <c r="A183" i="1"/>
  <c r="Y182" i="1"/>
  <c r="X182" i="1"/>
  <c r="W182" i="1"/>
  <c r="V182" i="1"/>
  <c r="T182" i="1"/>
  <c r="S182" i="1"/>
  <c r="R182" i="1"/>
  <c r="Q182" i="1"/>
  <c r="P182" i="1"/>
  <c r="O182" i="1"/>
  <c r="N182" i="1"/>
  <c r="M182" i="1"/>
  <c r="L182" i="1"/>
  <c r="K182" i="1"/>
  <c r="J182" i="1"/>
  <c r="I182" i="1"/>
  <c r="H182" i="1"/>
  <c r="G182" i="1"/>
  <c r="F182" i="1"/>
  <c r="E182" i="1"/>
  <c r="D182" i="1"/>
  <c r="C182" i="1"/>
  <c r="A182" i="1"/>
  <c r="Y181" i="1"/>
  <c r="X181" i="1"/>
  <c r="W181" i="1"/>
  <c r="V181" i="1"/>
  <c r="T181" i="1"/>
  <c r="S181" i="1"/>
  <c r="R181" i="1"/>
  <c r="Q181" i="1"/>
  <c r="P181" i="1"/>
  <c r="O181" i="1"/>
  <c r="N181" i="1"/>
  <c r="M181" i="1"/>
  <c r="L181" i="1"/>
  <c r="K181" i="1"/>
  <c r="J181" i="1"/>
  <c r="I181" i="1"/>
  <c r="H181" i="1"/>
  <c r="G181" i="1"/>
  <c r="F181" i="1"/>
  <c r="E181" i="1"/>
  <c r="D181" i="1"/>
  <c r="C181" i="1"/>
  <c r="A181" i="1"/>
  <c r="Y180" i="1"/>
  <c r="X180" i="1"/>
  <c r="W180" i="1"/>
  <c r="V180" i="1"/>
  <c r="T180" i="1"/>
  <c r="S180" i="1"/>
  <c r="R180" i="1"/>
  <c r="Q180" i="1"/>
  <c r="P180" i="1"/>
  <c r="O180" i="1"/>
  <c r="N180" i="1"/>
  <c r="M180" i="1"/>
  <c r="L180" i="1"/>
  <c r="K180" i="1"/>
  <c r="J180" i="1"/>
  <c r="I180" i="1"/>
  <c r="H180" i="1"/>
  <c r="G180" i="1"/>
  <c r="F180" i="1"/>
  <c r="E180" i="1"/>
  <c r="D180" i="1"/>
  <c r="C180" i="1"/>
  <c r="A180" i="1"/>
  <c r="Y179" i="1"/>
  <c r="X179" i="1"/>
  <c r="W179" i="1"/>
  <c r="V179" i="1"/>
  <c r="U179" i="1"/>
  <c r="T179" i="1"/>
  <c r="S179" i="1"/>
  <c r="R179" i="1"/>
  <c r="Q179" i="1"/>
  <c r="P179" i="1"/>
  <c r="O179" i="1"/>
  <c r="N179" i="1"/>
  <c r="M179" i="1"/>
  <c r="L179" i="1"/>
  <c r="K179" i="1"/>
  <c r="J179" i="1"/>
  <c r="I179" i="1"/>
  <c r="H179" i="1"/>
  <c r="G179" i="1"/>
  <c r="F179" i="1"/>
  <c r="E179" i="1"/>
  <c r="D179" i="1"/>
  <c r="C179" i="1"/>
  <c r="A179" i="1"/>
  <c r="Y178" i="1"/>
  <c r="X178" i="1"/>
  <c r="W178" i="1"/>
  <c r="V178" i="1"/>
  <c r="U178" i="1"/>
  <c r="T178" i="1"/>
  <c r="S178" i="1"/>
  <c r="R178" i="1"/>
  <c r="Q178" i="1"/>
  <c r="P178" i="1"/>
  <c r="O178" i="1"/>
  <c r="N178" i="1"/>
  <c r="M178" i="1"/>
  <c r="L178" i="1"/>
  <c r="K178" i="1"/>
  <c r="J178" i="1"/>
  <c r="I178" i="1"/>
  <c r="H178" i="1"/>
  <c r="G178" i="1"/>
  <c r="F178" i="1"/>
  <c r="E178" i="1"/>
  <c r="D178" i="1"/>
  <c r="C178" i="1"/>
  <c r="A178" i="1"/>
  <c r="Y177" i="1"/>
  <c r="X177" i="1"/>
  <c r="W177" i="1"/>
  <c r="V177" i="1"/>
  <c r="T177" i="1"/>
  <c r="S177" i="1"/>
  <c r="R177" i="1"/>
  <c r="Q177" i="1"/>
  <c r="P177" i="1"/>
  <c r="O177" i="1"/>
  <c r="N177" i="1"/>
  <c r="M177" i="1"/>
  <c r="L177" i="1"/>
  <c r="K177" i="1"/>
  <c r="J177" i="1"/>
  <c r="I177" i="1"/>
  <c r="H177" i="1"/>
  <c r="G177" i="1"/>
  <c r="F177" i="1"/>
  <c r="E177" i="1"/>
  <c r="D177" i="1"/>
  <c r="C177" i="1"/>
  <c r="A177" i="1"/>
  <c r="Y176" i="1"/>
  <c r="X176" i="1"/>
  <c r="W176" i="1"/>
  <c r="V176" i="1"/>
  <c r="T176" i="1"/>
  <c r="R176" i="1"/>
  <c r="Q176" i="1"/>
  <c r="P176" i="1"/>
  <c r="O176" i="1"/>
  <c r="N176" i="1"/>
  <c r="M176" i="1"/>
  <c r="L176" i="1"/>
  <c r="K176" i="1"/>
  <c r="J176" i="1"/>
  <c r="I176" i="1"/>
  <c r="H176" i="1"/>
  <c r="G176" i="1"/>
  <c r="F176" i="1"/>
  <c r="E176" i="1"/>
  <c r="D176" i="1"/>
  <c r="C176" i="1"/>
  <c r="A176" i="1"/>
  <c r="Y175" i="1"/>
  <c r="X175" i="1"/>
  <c r="W175" i="1"/>
  <c r="V175" i="1"/>
  <c r="T175" i="1"/>
  <c r="R175" i="1"/>
  <c r="Q175" i="1"/>
  <c r="P175" i="1"/>
  <c r="O175" i="1"/>
  <c r="N175" i="1"/>
  <c r="M175" i="1"/>
  <c r="L175" i="1"/>
  <c r="K175" i="1"/>
  <c r="J175" i="1"/>
  <c r="I175" i="1"/>
  <c r="H175" i="1"/>
  <c r="G175" i="1"/>
  <c r="F175" i="1"/>
  <c r="E175" i="1"/>
  <c r="D175" i="1"/>
  <c r="C175" i="1"/>
  <c r="A175" i="1"/>
  <c r="Y174" i="1"/>
  <c r="X174" i="1"/>
  <c r="W174" i="1"/>
  <c r="V174" i="1"/>
  <c r="T174" i="1"/>
  <c r="R174" i="1"/>
  <c r="Q174" i="1"/>
  <c r="P174" i="1"/>
  <c r="O174" i="1"/>
  <c r="N174" i="1"/>
  <c r="M174" i="1"/>
  <c r="L174" i="1"/>
  <c r="K174" i="1"/>
  <c r="J174" i="1"/>
  <c r="I174" i="1"/>
  <c r="H174" i="1"/>
  <c r="G174" i="1"/>
  <c r="F174" i="1"/>
  <c r="E174" i="1"/>
  <c r="D174" i="1"/>
  <c r="C174" i="1"/>
  <c r="A174" i="1"/>
  <c r="Y173" i="1"/>
  <c r="X173" i="1"/>
  <c r="W173" i="1"/>
  <c r="V173" i="1"/>
  <c r="T173" i="1"/>
  <c r="S173" i="1"/>
  <c r="R173" i="1"/>
  <c r="Q173" i="1"/>
  <c r="P173" i="1"/>
  <c r="O173" i="1"/>
  <c r="N173" i="1"/>
  <c r="M173" i="1"/>
  <c r="L173" i="1"/>
  <c r="K173" i="1"/>
  <c r="J173" i="1"/>
  <c r="I173" i="1"/>
  <c r="H173" i="1"/>
  <c r="G173" i="1"/>
  <c r="F173" i="1"/>
  <c r="E173" i="1"/>
  <c r="D173" i="1"/>
  <c r="C173" i="1"/>
  <c r="A173" i="1"/>
  <c r="Y172" i="1"/>
  <c r="X172" i="1"/>
  <c r="W172" i="1"/>
  <c r="V172" i="1"/>
  <c r="U172" i="1"/>
  <c r="T172" i="1"/>
  <c r="S172" i="1"/>
  <c r="R172" i="1"/>
  <c r="Q172" i="1"/>
  <c r="P172" i="1"/>
  <c r="O172" i="1"/>
  <c r="N172" i="1"/>
  <c r="M172" i="1"/>
  <c r="L172" i="1"/>
  <c r="K172" i="1"/>
  <c r="J172" i="1"/>
  <c r="I172" i="1"/>
  <c r="H172" i="1"/>
  <c r="G172" i="1"/>
  <c r="F172" i="1"/>
  <c r="E172" i="1"/>
  <c r="D172" i="1"/>
  <c r="C172" i="1"/>
  <c r="A172" i="1"/>
  <c r="Y171" i="1"/>
  <c r="X171" i="1"/>
  <c r="W171" i="1"/>
  <c r="V171" i="1"/>
  <c r="T171" i="1"/>
  <c r="R171" i="1"/>
  <c r="Q171" i="1"/>
  <c r="P171" i="1"/>
  <c r="O171" i="1"/>
  <c r="N171" i="1"/>
  <c r="M171" i="1"/>
  <c r="L171" i="1"/>
  <c r="K171" i="1"/>
  <c r="J171" i="1"/>
  <c r="I171" i="1"/>
  <c r="H171" i="1"/>
  <c r="G171" i="1"/>
  <c r="F171" i="1"/>
  <c r="E171" i="1"/>
  <c r="D171" i="1"/>
  <c r="C171" i="1"/>
  <c r="A171" i="1"/>
  <c r="Y170" i="1"/>
  <c r="X170" i="1"/>
  <c r="W170" i="1"/>
  <c r="V170" i="1"/>
  <c r="T170" i="1"/>
  <c r="R170" i="1"/>
  <c r="Q170" i="1"/>
  <c r="P170" i="1"/>
  <c r="O170" i="1"/>
  <c r="N170" i="1"/>
  <c r="M170" i="1"/>
  <c r="L170" i="1"/>
  <c r="K170" i="1"/>
  <c r="J170" i="1"/>
  <c r="I170" i="1"/>
  <c r="H170" i="1"/>
  <c r="G170" i="1"/>
  <c r="F170" i="1"/>
  <c r="E170" i="1"/>
  <c r="D170" i="1"/>
  <c r="C170" i="1"/>
  <c r="A170" i="1"/>
  <c r="Y169" i="1"/>
  <c r="X169" i="1"/>
  <c r="W169" i="1"/>
  <c r="V169" i="1"/>
  <c r="U169" i="1"/>
  <c r="T169" i="1"/>
  <c r="S169" i="1"/>
  <c r="R169" i="1"/>
  <c r="Q169" i="1"/>
  <c r="P169" i="1"/>
  <c r="O169" i="1"/>
  <c r="N169" i="1"/>
  <c r="M169" i="1"/>
  <c r="L169" i="1"/>
  <c r="K169" i="1"/>
  <c r="J169" i="1"/>
  <c r="I169" i="1"/>
  <c r="H169" i="1"/>
  <c r="G169" i="1"/>
  <c r="F169" i="1"/>
  <c r="E169" i="1"/>
  <c r="D169" i="1"/>
  <c r="C169" i="1"/>
  <c r="A169" i="1"/>
  <c r="Y168" i="1"/>
  <c r="X168" i="1"/>
  <c r="W168" i="1"/>
  <c r="V168" i="1"/>
  <c r="U168" i="1"/>
  <c r="T168" i="1"/>
  <c r="S168" i="1"/>
  <c r="R168" i="1"/>
  <c r="Q168" i="1"/>
  <c r="P168" i="1"/>
  <c r="O168" i="1"/>
  <c r="N168" i="1"/>
  <c r="M168" i="1"/>
  <c r="L168" i="1"/>
  <c r="K168" i="1"/>
  <c r="J168" i="1"/>
  <c r="I168" i="1"/>
  <c r="H168" i="1"/>
  <c r="G168" i="1"/>
  <c r="F168" i="1"/>
  <c r="E168" i="1"/>
  <c r="D168" i="1"/>
  <c r="C168" i="1"/>
  <c r="A168" i="1"/>
  <c r="Y167" i="1"/>
  <c r="X167" i="1"/>
  <c r="W167" i="1"/>
  <c r="V167" i="1"/>
  <c r="T167" i="1"/>
  <c r="S167" i="1"/>
  <c r="R167" i="1"/>
  <c r="Q167" i="1"/>
  <c r="P167" i="1"/>
  <c r="O167" i="1"/>
  <c r="N167" i="1"/>
  <c r="M167" i="1"/>
  <c r="L167" i="1"/>
  <c r="K167" i="1"/>
  <c r="J167" i="1"/>
  <c r="I167" i="1"/>
  <c r="H167" i="1"/>
  <c r="G167" i="1"/>
  <c r="F167" i="1"/>
  <c r="E167" i="1"/>
  <c r="D167" i="1"/>
  <c r="C167" i="1"/>
  <c r="A167" i="1"/>
  <c r="Y166" i="1"/>
  <c r="X166" i="1"/>
  <c r="W166" i="1"/>
  <c r="V166" i="1"/>
  <c r="T166" i="1"/>
  <c r="S166" i="1"/>
  <c r="R166" i="1"/>
  <c r="Q166" i="1"/>
  <c r="P166" i="1"/>
  <c r="O166" i="1"/>
  <c r="N166" i="1"/>
  <c r="M166" i="1"/>
  <c r="L166" i="1"/>
  <c r="K166" i="1"/>
  <c r="J166" i="1"/>
  <c r="I166" i="1"/>
  <c r="H166" i="1"/>
  <c r="G166" i="1"/>
  <c r="F166" i="1"/>
  <c r="E166" i="1"/>
  <c r="D166" i="1"/>
  <c r="C166" i="1"/>
  <c r="A166" i="1"/>
  <c r="Y165" i="1"/>
  <c r="X165" i="1"/>
  <c r="W165" i="1"/>
  <c r="V165" i="1"/>
  <c r="U165" i="1"/>
  <c r="T165" i="1"/>
  <c r="S165" i="1"/>
  <c r="R165" i="1"/>
  <c r="Q165" i="1"/>
  <c r="P165" i="1"/>
  <c r="O165" i="1"/>
  <c r="N165" i="1"/>
  <c r="M165" i="1"/>
  <c r="L165" i="1"/>
  <c r="K165" i="1"/>
  <c r="J165" i="1"/>
  <c r="I165" i="1"/>
  <c r="H165" i="1"/>
  <c r="G165" i="1"/>
  <c r="F165" i="1"/>
  <c r="E165" i="1"/>
  <c r="D165" i="1"/>
  <c r="C165" i="1"/>
  <c r="A165" i="1"/>
  <c r="Y164" i="1"/>
  <c r="X164" i="1"/>
  <c r="W164" i="1"/>
  <c r="V164" i="1"/>
  <c r="U164" i="1"/>
  <c r="T164" i="1"/>
  <c r="R164" i="1"/>
  <c r="Q164" i="1"/>
  <c r="P164" i="1"/>
  <c r="O164" i="1"/>
  <c r="N164" i="1"/>
  <c r="M164" i="1"/>
  <c r="L164" i="1"/>
  <c r="K164" i="1"/>
  <c r="J164" i="1"/>
  <c r="I164" i="1"/>
  <c r="H164" i="1"/>
  <c r="G164" i="1"/>
  <c r="F164" i="1"/>
  <c r="E164" i="1"/>
  <c r="D164" i="1"/>
  <c r="C164" i="1"/>
  <c r="A164" i="1"/>
  <c r="Y163" i="1"/>
  <c r="X163" i="1"/>
  <c r="W163" i="1"/>
  <c r="V163" i="1"/>
  <c r="U163" i="1"/>
  <c r="T163" i="1"/>
  <c r="R163" i="1"/>
  <c r="Q163" i="1"/>
  <c r="P163" i="1"/>
  <c r="O163" i="1"/>
  <c r="N163" i="1"/>
  <c r="M163" i="1"/>
  <c r="L163" i="1"/>
  <c r="K163" i="1"/>
  <c r="J163" i="1"/>
  <c r="I163" i="1"/>
  <c r="H163" i="1"/>
  <c r="G163" i="1"/>
  <c r="F163" i="1"/>
  <c r="E163" i="1"/>
  <c r="D163" i="1"/>
  <c r="C163" i="1"/>
  <c r="A163" i="1"/>
  <c r="Y162" i="1"/>
  <c r="X162" i="1"/>
  <c r="W162" i="1"/>
  <c r="V162" i="1"/>
  <c r="T162" i="1"/>
  <c r="S162" i="1"/>
  <c r="R162" i="1"/>
  <c r="Q162" i="1"/>
  <c r="P162" i="1"/>
  <c r="O162" i="1"/>
  <c r="N162" i="1"/>
  <c r="M162" i="1"/>
  <c r="L162" i="1"/>
  <c r="K162" i="1"/>
  <c r="J162" i="1"/>
  <c r="I162" i="1"/>
  <c r="H162" i="1"/>
  <c r="G162" i="1"/>
  <c r="F162" i="1"/>
  <c r="E162" i="1"/>
  <c r="D162" i="1"/>
  <c r="C162" i="1"/>
  <c r="A162" i="1"/>
  <c r="Y161" i="1"/>
  <c r="X161" i="1"/>
  <c r="W161" i="1"/>
  <c r="V161" i="1"/>
  <c r="T161" i="1"/>
  <c r="S161" i="1"/>
  <c r="R161" i="1"/>
  <c r="Q161" i="1"/>
  <c r="P161" i="1"/>
  <c r="O161" i="1"/>
  <c r="N161" i="1"/>
  <c r="M161" i="1"/>
  <c r="L161" i="1"/>
  <c r="K161" i="1"/>
  <c r="J161" i="1"/>
  <c r="I161" i="1"/>
  <c r="H161" i="1"/>
  <c r="G161" i="1"/>
  <c r="F161" i="1"/>
  <c r="E161" i="1"/>
  <c r="D161" i="1"/>
  <c r="C161" i="1"/>
  <c r="A161" i="1"/>
  <c r="Y160" i="1"/>
  <c r="X160" i="1"/>
  <c r="W160" i="1"/>
  <c r="V160" i="1"/>
  <c r="U160" i="1"/>
  <c r="T160" i="1"/>
  <c r="R160" i="1"/>
  <c r="Q160" i="1"/>
  <c r="P160" i="1"/>
  <c r="O160" i="1"/>
  <c r="N160" i="1"/>
  <c r="M160" i="1"/>
  <c r="L160" i="1"/>
  <c r="K160" i="1"/>
  <c r="J160" i="1"/>
  <c r="I160" i="1"/>
  <c r="H160" i="1"/>
  <c r="G160" i="1"/>
  <c r="F160" i="1"/>
  <c r="E160" i="1"/>
  <c r="D160" i="1"/>
  <c r="C160" i="1"/>
  <c r="A160" i="1"/>
  <c r="Y159" i="1"/>
  <c r="X159" i="1"/>
  <c r="W159" i="1"/>
  <c r="V159" i="1"/>
  <c r="U159" i="1"/>
  <c r="T159" i="1"/>
  <c r="R159" i="1"/>
  <c r="Q159" i="1"/>
  <c r="P159" i="1"/>
  <c r="O159" i="1"/>
  <c r="N159" i="1"/>
  <c r="M159" i="1"/>
  <c r="L159" i="1"/>
  <c r="K159" i="1"/>
  <c r="J159" i="1"/>
  <c r="I159" i="1"/>
  <c r="H159" i="1"/>
  <c r="G159" i="1"/>
  <c r="F159" i="1"/>
  <c r="E159" i="1"/>
  <c r="D159" i="1"/>
  <c r="C159" i="1"/>
  <c r="A159" i="1"/>
  <c r="Y158" i="1"/>
  <c r="X158" i="1"/>
  <c r="W158" i="1"/>
  <c r="V158" i="1"/>
  <c r="T158" i="1"/>
  <c r="R158" i="1"/>
  <c r="Q158" i="1"/>
  <c r="P158" i="1"/>
  <c r="O158" i="1"/>
  <c r="N158" i="1"/>
  <c r="M158" i="1"/>
  <c r="L158" i="1"/>
  <c r="K158" i="1"/>
  <c r="J158" i="1"/>
  <c r="I158" i="1"/>
  <c r="H158" i="1"/>
  <c r="G158" i="1"/>
  <c r="F158" i="1"/>
  <c r="E158" i="1"/>
  <c r="D158" i="1"/>
  <c r="C158" i="1"/>
  <c r="A158" i="1"/>
  <c r="Y157" i="1"/>
  <c r="X157" i="1"/>
  <c r="W157" i="1"/>
  <c r="V157" i="1"/>
  <c r="T157" i="1"/>
  <c r="S157" i="1"/>
  <c r="R157" i="1"/>
  <c r="Q157" i="1"/>
  <c r="P157" i="1"/>
  <c r="O157" i="1"/>
  <c r="N157" i="1"/>
  <c r="M157" i="1"/>
  <c r="L157" i="1"/>
  <c r="K157" i="1"/>
  <c r="J157" i="1"/>
  <c r="I157" i="1"/>
  <c r="H157" i="1"/>
  <c r="G157" i="1"/>
  <c r="F157" i="1"/>
  <c r="E157" i="1"/>
  <c r="D157" i="1"/>
  <c r="C157" i="1"/>
  <c r="A157" i="1"/>
  <c r="Y156" i="1"/>
  <c r="X156" i="1"/>
  <c r="W156" i="1"/>
  <c r="V156" i="1"/>
  <c r="T156" i="1"/>
  <c r="S156" i="1"/>
  <c r="R156" i="1"/>
  <c r="Q156" i="1"/>
  <c r="P156" i="1"/>
  <c r="O156" i="1"/>
  <c r="N156" i="1"/>
  <c r="M156" i="1"/>
  <c r="L156" i="1"/>
  <c r="K156" i="1"/>
  <c r="J156" i="1"/>
  <c r="I156" i="1"/>
  <c r="H156" i="1"/>
  <c r="G156" i="1"/>
  <c r="F156" i="1"/>
  <c r="E156" i="1"/>
  <c r="D156" i="1"/>
  <c r="C156" i="1"/>
  <c r="A156" i="1"/>
  <c r="Y155" i="1"/>
  <c r="X155" i="1"/>
  <c r="W155" i="1"/>
  <c r="V155" i="1"/>
  <c r="U155" i="1"/>
  <c r="T155" i="1"/>
  <c r="S155" i="1"/>
  <c r="R155" i="1"/>
  <c r="Q155" i="1"/>
  <c r="P155" i="1"/>
  <c r="O155" i="1"/>
  <c r="N155" i="1"/>
  <c r="M155" i="1"/>
  <c r="L155" i="1"/>
  <c r="K155" i="1"/>
  <c r="J155" i="1"/>
  <c r="I155" i="1"/>
  <c r="H155" i="1"/>
  <c r="G155" i="1"/>
  <c r="F155" i="1"/>
  <c r="E155" i="1"/>
  <c r="D155" i="1"/>
  <c r="C155" i="1"/>
  <c r="A155" i="1"/>
  <c r="Y154" i="1"/>
  <c r="X154" i="1"/>
  <c r="W154" i="1"/>
  <c r="V154" i="1"/>
  <c r="T154" i="1"/>
  <c r="R154" i="1"/>
  <c r="Q154" i="1"/>
  <c r="P154" i="1"/>
  <c r="O154" i="1"/>
  <c r="N154" i="1"/>
  <c r="M154" i="1"/>
  <c r="L154" i="1"/>
  <c r="K154" i="1"/>
  <c r="J154" i="1"/>
  <c r="I154" i="1"/>
  <c r="H154" i="1"/>
  <c r="G154" i="1"/>
  <c r="F154" i="1"/>
  <c r="E154" i="1"/>
  <c r="D154" i="1"/>
  <c r="C154" i="1"/>
  <c r="A154" i="1"/>
  <c r="Y153" i="1"/>
  <c r="X153" i="1"/>
  <c r="W153" i="1"/>
  <c r="V153" i="1"/>
  <c r="T153" i="1"/>
  <c r="S153" i="1"/>
  <c r="R153" i="1"/>
  <c r="Q153" i="1"/>
  <c r="P153" i="1"/>
  <c r="O153" i="1"/>
  <c r="N153" i="1"/>
  <c r="M153" i="1"/>
  <c r="L153" i="1"/>
  <c r="K153" i="1"/>
  <c r="J153" i="1"/>
  <c r="I153" i="1"/>
  <c r="H153" i="1"/>
  <c r="G153" i="1"/>
  <c r="F153" i="1"/>
  <c r="E153" i="1"/>
  <c r="D153" i="1"/>
  <c r="C153" i="1"/>
  <c r="A153" i="1"/>
  <c r="Y152" i="1"/>
  <c r="X152" i="1"/>
  <c r="W152" i="1"/>
  <c r="V152" i="1"/>
  <c r="T152" i="1"/>
  <c r="R152" i="1"/>
  <c r="Q152" i="1"/>
  <c r="P152" i="1"/>
  <c r="O152" i="1"/>
  <c r="N152" i="1"/>
  <c r="M152" i="1"/>
  <c r="L152" i="1"/>
  <c r="K152" i="1"/>
  <c r="J152" i="1"/>
  <c r="I152" i="1"/>
  <c r="H152" i="1"/>
  <c r="G152" i="1"/>
  <c r="F152" i="1"/>
  <c r="E152" i="1"/>
  <c r="D152" i="1"/>
  <c r="C152" i="1"/>
  <c r="A152" i="1"/>
  <c r="Y151" i="1"/>
  <c r="X151" i="1"/>
  <c r="W151" i="1"/>
  <c r="V151" i="1"/>
  <c r="T151" i="1"/>
  <c r="S151" i="1"/>
  <c r="R151" i="1"/>
  <c r="Q151" i="1"/>
  <c r="P151" i="1"/>
  <c r="O151" i="1"/>
  <c r="N151" i="1"/>
  <c r="M151" i="1"/>
  <c r="L151" i="1"/>
  <c r="K151" i="1"/>
  <c r="J151" i="1"/>
  <c r="I151" i="1"/>
  <c r="H151" i="1"/>
  <c r="G151" i="1"/>
  <c r="F151" i="1"/>
  <c r="E151" i="1"/>
  <c r="D151" i="1"/>
  <c r="C151" i="1"/>
  <c r="A151" i="1"/>
  <c r="Y150" i="1"/>
  <c r="X150" i="1"/>
  <c r="W150" i="1"/>
  <c r="V150" i="1"/>
  <c r="T150" i="1"/>
  <c r="S150" i="1"/>
  <c r="R150" i="1"/>
  <c r="Q150" i="1"/>
  <c r="P150" i="1"/>
  <c r="O150" i="1"/>
  <c r="N150" i="1"/>
  <c r="M150" i="1"/>
  <c r="L150" i="1"/>
  <c r="K150" i="1"/>
  <c r="J150" i="1"/>
  <c r="I150" i="1"/>
  <c r="H150" i="1"/>
  <c r="G150" i="1"/>
  <c r="F150" i="1"/>
  <c r="E150" i="1"/>
  <c r="D150" i="1"/>
  <c r="C150" i="1"/>
  <c r="A150" i="1"/>
  <c r="Y149" i="1"/>
  <c r="X149" i="1"/>
  <c r="W149" i="1"/>
  <c r="V149" i="1"/>
  <c r="U149" i="1"/>
  <c r="T149" i="1"/>
  <c r="S149" i="1"/>
  <c r="R149" i="1"/>
  <c r="Q149" i="1"/>
  <c r="P149" i="1"/>
  <c r="O149" i="1"/>
  <c r="N149" i="1"/>
  <c r="M149" i="1"/>
  <c r="L149" i="1"/>
  <c r="K149" i="1"/>
  <c r="J149" i="1"/>
  <c r="I149" i="1"/>
  <c r="H149" i="1"/>
  <c r="G149" i="1"/>
  <c r="F149" i="1"/>
  <c r="E149" i="1"/>
  <c r="D149" i="1"/>
  <c r="C149" i="1"/>
  <c r="A149" i="1"/>
  <c r="Y148" i="1"/>
  <c r="X148" i="1"/>
  <c r="W148" i="1"/>
  <c r="V148" i="1"/>
  <c r="T148" i="1"/>
  <c r="S148" i="1"/>
  <c r="R148" i="1"/>
  <c r="Q148" i="1"/>
  <c r="P148" i="1"/>
  <c r="O148" i="1"/>
  <c r="N148" i="1"/>
  <c r="M148" i="1"/>
  <c r="L148" i="1"/>
  <c r="K148" i="1"/>
  <c r="J148" i="1"/>
  <c r="I148" i="1"/>
  <c r="H148" i="1"/>
  <c r="G148" i="1"/>
  <c r="F148" i="1"/>
  <c r="E148" i="1"/>
  <c r="D148" i="1"/>
  <c r="C148" i="1"/>
  <c r="A148" i="1"/>
  <c r="Y147" i="1"/>
  <c r="X147" i="1"/>
  <c r="W147" i="1"/>
  <c r="V147" i="1"/>
  <c r="U147" i="1"/>
  <c r="T147" i="1"/>
  <c r="S147" i="1"/>
  <c r="R147" i="1"/>
  <c r="Q147" i="1"/>
  <c r="P147" i="1"/>
  <c r="O147" i="1"/>
  <c r="N147" i="1"/>
  <c r="M147" i="1"/>
  <c r="L147" i="1"/>
  <c r="K147" i="1"/>
  <c r="J147" i="1"/>
  <c r="I147" i="1"/>
  <c r="H147" i="1"/>
  <c r="G147" i="1"/>
  <c r="F147" i="1"/>
  <c r="E147" i="1"/>
  <c r="D147" i="1"/>
  <c r="C147" i="1"/>
  <c r="A147" i="1"/>
  <c r="Y146" i="1"/>
  <c r="X146" i="1"/>
  <c r="W146" i="1"/>
  <c r="V146" i="1"/>
  <c r="T146" i="1"/>
  <c r="S146" i="1"/>
  <c r="R146" i="1"/>
  <c r="Q146" i="1"/>
  <c r="P146" i="1"/>
  <c r="O146" i="1"/>
  <c r="N146" i="1"/>
  <c r="M146" i="1"/>
  <c r="L146" i="1"/>
  <c r="K146" i="1"/>
  <c r="J146" i="1"/>
  <c r="I146" i="1"/>
  <c r="H146" i="1"/>
  <c r="G146" i="1"/>
  <c r="F146" i="1"/>
  <c r="E146" i="1"/>
  <c r="D146" i="1"/>
  <c r="C146" i="1"/>
  <c r="A146" i="1"/>
  <c r="Y145" i="1"/>
  <c r="X145" i="1"/>
  <c r="W145" i="1"/>
  <c r="V145" i="1"/>
  <c r="T145" i="1"/>
  <c r="R145" i="1"/>
  <c r="Q145" i="1"/>
  <c r="P145" i="1"/>
  <c r="O145" i="1"/>
  <c r="N145" i="1"/>
  <c r="M145" i="1"/>
  <c r="L145" i="1"/>
  <c r="K145" i="1"/>
  <c r="J145" i="1"/>
  <c r="I145" i="1"/>
  <c r="H145" i="1"/>
  <c r="G145" i="1"/>
  <c r="F145" i="1"/>
  <c r="E145" i="1"/>
  <c r="D145" i="1"/>
  <c r="C145" i="1"/>
  <c r="A145" i="1"/>
  <c r="Y144" i="1"/>
  <c r="X144" i="1"/>
  <c r="W144" i="1"/>
  <c r="V144" i="1"/>
  <c r="T144" i="1"/>
  <c r="R144" i="1"/>
  <c r="Q144" i="1"/>
  <c r="P144" i="1"/>
  <c r="O144" i="1"/>
  <c r="N144" i="1"/>
  <c r="M144" i="1"/>
  <c r="L144" i="1"/>
  <c r="K144" i="1"/>
  <c r="J144" i="1"/>
  <c r="I144" i="1"/>
  <c r="H144" i="1"/>
  <c r="G144" i="1"/>
  <c r="F144" i="1"/>
  <c r="E144" i="1"/>
  <c r="D144" i="1"/>
  <c r="C144" i="1"/>
  <c r="A144" i="1"/>
  <c r="Y143" i="1"/>
  <c r="X143" i="1"/>
  <c r="W143" i="1"/>
  <c r="V143" i="1"/>
  <c r="U143" i="1"/>
  <c r="T143" i="1"/>
  <c r="S143" i="1"/>
  <c r="R143" i="1"/>
  <c r="Q143" i="1"/>
  <c r="P143" i="1"/>
  <c r="O143" i="1"/>
  <c r="N143" i="1"/>
  <c r="M143" i="1"/>
  <c r="L143" i="1"/>
  <c r="K143" i="1"/>
  <c r="J143" i="1"/>
  <c r="I143" i="1"/>
  <c r="H143" i="1"/>
  <c r="G143" i="1"/>
  <c r="F143" i="1"/>
  <c r="E143" i="1"/>
  <c r="D143" i="1"/>
  <c r="C143" i="1"/>
  <c r="A143" i="1"/>
  <c r="Y142" i="1"/>
  <c r="X142" i="1"/>
  <c r="W142" i="1"/>
  <c r="V142" i="1"/>
  <c r="T142" i="1"/>
  <c r="S142" i="1"/>
  <c r="R142" i="1"/>
  <c r="Q142" i="1"/>
  <c r="P142" i="1"/>
  <c r="O142" i="1"/>
  <c r="N142" i="1"/>
  <c r="M142" i="1"/>
  <c r="L142" i="1"/>
  <c r="K142" i="1"/>
  <c r="J142" i="1"/>
  <c r="I142" i="1"/>
  <c r="H142" i="1"/>
  <c r="G142" i="1"/>
  <c r="F142" i="1"/>
  <c r="E142" i="1"/>
  <c r="D142" i="1"/>
  <c r="C142" i="1"/>
  <c r="A142" i="1"/>
  <c r="Y141" i="1"/>
  <c r="X141" i="1"/>
  <c r="W141" i="1"/>
  <c r="V141" i="1"/>
  <c r="T141" i="1"/>
  <c r="R141" i="1"/>
  <c r="Q141" i="1"/>
  <c r="P141" i="1"/>
  <c r="O141" i="1"/>
  <c r="N141" i="1"/>
  <c r="M141" i="1"/>
  <c r="L141" i="1"/>
  <c r="K141" i="1"/>
  <c r="J141" i="1"/>
  <c r="I141" i="1"/>
  <c r="H141" i="1"/>
  <c r="G141" i="1"/>
  <c r="F141" i="1"/>
  <c r="E141" i="1"/>
  <c r="D141" i="1"/>
  <c r="C141" i="1"/>
  <c r="A141" i="1"/>
  <c r="Y140" i="1"/>
  <c r="X140" i="1"/>
  <c r="W140" i="1"/>
  <c r="V140" i="1"/>
  <c r="T140" i="1"/>
  <c r="R140" i="1"/>
  <c r="Q140" i="1"/>
  <c r="P140" i="1"/>
  <c r="O140" i="1"/>
  <c r="N140" i="1"/>
  <c r="M140" i="1"/>
  <c r="L140" i="1"/>
  <c r="K140" i="1"/>
  <c r="J140" i="1"/>
  <c r="I140" i="1"/>
  <c r="H140" i="1"/>
  <c r="G140" i="1"/>
  <c r="F140" i="1"/>
  <c r="E140" i="1"/>
  <c r="D140" i="1"/>
  <c r="C140" i="1"/>
  <c r="A140" i="1"/>
  <c r="Y139" i="1"/>
  <c r="X139" i="1"/>
  <c r="W139" i="1"/>
  <c r="V139" i="1"/>
  <c r="U139" i="1"/>
  <c r="T139" i="1"/>
  <c r="R139" i="1"/>
  <c r="Q139" i="1"/>
  <c r="P139" i="1"/>
  <c r="O139" i="1"/>
  <c r="N139" i="1"/>
  <c r="M139" i="1"/>
  <c r="L139" i="1"/>
  <c r="K139" i="1"/>
  <c r="J139" i="1"/>
  <c r="I139" i="1"/>
  <c r="H139" i="1"/>
  <c r="G139" i="1"/>
  <c r="F139" i="1"/>
  <c r="E139" i="1"/>
  <c r="D139" i="1"/>
  <c r="C139" i="1"/>
  <c r="A139" i="1"/>
  <c r="Y138" i="1"/>
  <c r="X138" i="1"/>
  <c r="W138" i="1"/>
  <c r="V138" i="1"/>
  <c r="U138" i="1"/>
  <c r="T138" i="1"/>
  <c r="R138" i="1"/>
  <c r="Q138" i="1"/>
  <c r="P138" i="1"/>
  <c r="O138" i="1"/>
  <c r="N138" i="1"/>
  <c r="M138" i="1"/>
  <c r="L138" i="1"/>
  <c r="K138" i="1"/>
  <c r="J138" i="1"/>
  <c r="I138" i="1"/>
  <c r="H138" i="1"/>
  <c r="G138" i="1"/>
  <c r="F138" i="1"/>
  <c r="E138" i="1"/>
  <c r="D138" i="1"/>
  <c r="C138" i="1"/>
  <c r="A138" i="1"/>
  <c r="Y137" i="1"/>
  <c r="X137" i="1"/>
  <c r="W137" i="1"/>
  <c r="V137" i="1"/>
  <c r="T137" i="1"/>
  <c r="S137" i="1"/>
  <c r="R137" i="1"/>
  <c r="Q137" i="1"/>
  <c r="P137" i="1"/>
  <c r="O137" i="1"/>
  <c r="N137" i="1"/>
  <c r="M137" i="1"/>
  <c r="L137" i="1"/>
  <c r="K137" i="1"/>
  <c r="J137" i="1"/>
  <c r="I137" i="1"/>
  <c r="H137" i="1"/>
  <c r="G137" i="1"/>
  <c r="F137" i="1"/>
  <c r="E137" i="1"/>
  <c r="D137" i="1"/>
  <c r="C137" i="1"/>
  <c r="A137" i="1"/>
  <c r="Y136" i="1"/>
  <c r="X136" i="1"/>
  <c r="W136" i="1"/>
  <c r="V136" i="1"/>
  <c r="T136" i="1"/>
  <c r="R136" i="1"/>
  <c r="Q136" i="1"/>
  <c r="P136" i="1"/>
  <c r="O136" i="1"/>
  <c r="N136" i="1"/>
  <c r="M136" i="1"/>
  <c r="L136" i="1"/>
  <c r="K136" i="1"/>
  <c r="J136" i="1"/>
  <c r="I136" i="1"/>
  <c r="H136" i="1"/>
  <c r="G136" i="1"/>
  <c r="F136" i="1"/>
  <c r="E136" i="1"/>
  <c r="D136" i="1"/>
  <c r="C136" i="1"/>
  <c r="A136" i="1"/>
  <c r="Y135" i="1"/>
  <c r="X135" i="1"/>
  <c r="W135" i="1"/>
  <c r="V135" i="1"/>
  <c r="T135" i="1"/>
  <c r="R135" i="1"/>
  <c r="Q135" i="1"/>
  <c r="P135" i="1"/>
  <c r="O135" i="1"/>
  <c r="N135" i="1"/>
  <c r="M135" i="1"/>
  <c r="L135" i="1"/>
  <c r="K135" i="1"/>
  <c r="J135" i="1"/>
  <c r="I135" i="1"/>
  <c r="H135" i="1"/>
  <c r="G135" i="1"/>
  <c r="F135" i="1"/>
  <c r="E135" i="1"/>
  <c r="D135" i="1"/>
  <c r="C135" i="1"/>
  <c r="A135" i="1"/>
  <c r="Y134" i="1"/>
  <c r="X134" i="1"/>
  <c r="W134" i="1"/>
  <c r="V134" i="1"/>
  <c r="U134" i="1"/>
  <c r="T134" i="1"/>
  <c r="S134" i="1"/>
  <c r="R134" i="1"/>
  <c r="Q134" i="1"/>
  <c r="P134" i="1"/>
  <c r="O134" i="1"/>
  <c r="N134" i="1"/>
  <c r="M134" i="1"/>
  <c r="L134" i="1"/>
  <c r="K134" i="1"/>
  <c r="J134" i="1"/>
  <c r="I134" i="1"/>
  <c r="H134" i="1"/>
  <c r="G134" i="1"/>
  <c r="F134" i="1"/>
  <c r="E134" i="1"/>
  <c r="D134" i="1"/>
  <c r="C134" i="1"/>
  <c r="A134" i="1"/>
  <c r="Y133" i="1"/>
  <c r="X133" i="1"/>
  <c r="W133" i="1"/>
  <c r="V133" i="1"/>
  <c r="T133" i="1"/>
  <c r="S133" i="1"/>
  <c r="R133" i="1"/>
  <c r="Q133" i="1"/>
  <c r="P133" i="1"/>
  <c r="O133" i="1"/>
  <c r="N133" i="1"/>
  <c r="M133" i="1"/>
  <c r="L133" i="1"/>
  <c r="K133" i="1"/>
  <c r="J133" i="1"/>
  <c r="I133" i="1"/>
  <c r="H133" i="1"/>
  <c r="G133" i="1"/>
  <c r="F133" i="1"/>
  <c r="E133" i="1"/>
  <c r="D133" i="1"/>
  <c r="C133" i="1"/>
  <c r="A133" i="1"/>
  <c r="Y132" i="1"/>
  <c r="X132" i="1"/>
  <c r="W132" i="1"/>
  <c r="V132" i="1"/>
  <c r="U132" i="1"/>
  <c r="T132" i="1"/>
  <c r="S132" i="1"/>
  <c r="R132" i="1"/>
  <c r="Q132" i="1"/>
  <c r="P132" i="1"/>
  <c r="O132" i="1"/>
  <c r="N132" i="1"/>
  <c r="M132" i="1"/>
  <c r="L132" i="1"/>
  <c r="K132" i="1"/>
  <c r="J132" i="1"/>
  <c r="I132" i="1"/>
  <c r="H132" i="1"/>
  <c r="G132" i="1"/>
  <c r="F132" i="1"/>
  <c r="E132" i="1"/>
  <c r="D132" i="1"/>
  <c r="C132" i="1"/>
  <c r="A132" i="1"/>
  <c r="Y131" i="1"/>
  <c r="X131" i="1"/>
  <c r="W131" i="1"/>
  <c r="V131" i="1"/>
  <c r="T131" i="1"/>
  <c r="R131" i="1"/>
  <c r="Q131" i="1"/>
  <c r="P131" i="1"/>
  <c r="O131" i="1"/>
  <c r="N131" i="1"/>
  <c r="M131" i="1"/>
  <c r="L131" i="1"/>
  <c r="K131" i="1"/>
  <c r="J131" i="1"/>
  <c r="I131" i="1"/>
  <c r="H131" i="1"/>
  <c r="G131" i="1"/>
  <c r="F131" i="1"/>
  <c r="E131" i="1"/>
  <c r="D131" i="1"/>
  <c r="C131" i="1"/>
  <c r="A131" i="1"/>
  <c r="Y130" i="1"/>
  <c r="X130" i="1"/>
  <c r="W130" i="1"/>
  <c r="V130" i="1"/>
  <c r="T130" i="1"/>
  <c r="R130" i="1"/>
  <c r="Q130" i="1"/>
  <c r="P130" i="1"/>
  <c r="O130" i="1"/>
  <c r="N130" i="1"/>
  <c r="M130" i="1"/>
  <c r="L130" i="1"/>
  <c r="K130" i="1"/>
  <c r="J130" i="1"/>
  <c r="I130" i="1"/>
  <c r="H130" i="1"/>
  <c r="G130" i="1"/>
  <c r="F130" i="1"/>
  <c r="E130" i="1"/>
  <c r="D130" i="1"/>
  <c r="C130" i="1"/>
  <c r="A130" i="1"/>
  <c r="Y129" i="1"/>
  <c r="X129" i="1"/>
  <c r="W129" i="1"/>
  <c r="V129" i="1"/>
  <c r="T129" i="1"/>
  <c r="R129" i="1"/>
  <c r="Q129" i="1"/>
  <c r="P129" i="1"/>
  <c r="O129" i="1"/>
  <c r="N129" i="1"/>
  <c r="M129" i="1"/>
  <c r="L129" i="1"/>
  <c r="K129" i="1"/>
  <c r="J129" i="1"/>
  <c r="I129" i="1"/>
  <c r="H129" i="1"/>
  <c r="G129" i="1"/>
  <c r="F129" i="1"/>
  <c r="E129" i="1"/>
  <c r="D129" i="1"/>
  <c r="C129" i="1"/>
  <c r="A129" i="1"/>
  <c r="Y128" i="1"/>
  <c r="X128" i="1"/>
  <c r="W128" i="1"/>
  <c r="V128" i="1"/>
  <c r="T128" i="1"/>
  <c r="R128" i="1"/>
  <c r="Q128" i="1"/>
  <c r="P128" i="1"/>
  <c r="O128" i="1"/>
  <c r="N128" i="1"/>
  <c r="M128" i="1"/>
  <c r="L128" i="1"/>
  <c r="K128" i="1"/>
  <c r="J128" i="1"/>
  <c r="I128" i="1"/>
  <c r="H128" i="1"/>
  <c r="G128" i="1"/>
  <c r="F128" i="1"/>
  <c r="E128" i="1"/>
  <c r="D128" i="1"/>
  <c r="C128" i="1"/>
  <c r="A128" i="1"/>
  <c r="Y127" i="1"/>
  <c r="X127" i="1"/>
  <c r="W127" i="1"/>
  <c r="V127" i="1"/>
  <c r="U127" i="1"/>
  <c r="T127" i="1"/>
  <c r="S127" i="1"/>
  <c r="R127" i="1"/>
  <c r="Q127" i="1"/>
  <c r="P127" i="1"/>
  <c r="O127" i="1"/>
  <c r="N127" i="1"/>
  <c r="M127" i="1"/>
  <c r="L127" i="1"/>
  <c r="K127" i="1"/>
  <c r="J127" i="1"/>
  <c r="I127" i="1"/>
  <c r="H127" i="1"/>
  <c r="G127" i="1"/>
  <c r="F127" i="1"/>
  <c r="E127" i="1"/>
  <c r="D127" i="1"/>
  <c r="C127" i="1"/>
  <c r="A127" i="1"/>
  <c r="Y126" i="1"/>
  <c r="X126" i="1"/>
  <c r="W126" i="1"/>
  <c r="V126" i="1"/>
  <c r="T126" i="1"/>
  <c r="S126" i="1"/>
  <c r="R126" i="1"/>
  <c r="Q126" i="1"/>
  <c r="P126" i="1"/>
  <c r="O126" i="1"/>
  <c r="N126" i="1"/>
  <c r="M126" i="1"/>
  <c r="L126" i="1"/>
  <c r="K126" i="1"/>
  <c r="J126" i="1"/>
  <c r="I126" i="1"/>
  <c r="H126" i="1"/>
  <c r="G126" i="1"/>
  <c r="F126" i="1"/>
  <c r="E126" i="1"/>
  <c r="D126" i="1"/>
  <c r="C126" i="1"/>
  <c r="A126" i="1"/>
  <c r="Y125" i="1"/>
  <c r="X125" i="1"/>
  <c r="W125" i="1"/>
  <c r="V125" i="1"/>
  <c r="T125" i="1"/>
  <c r="S125" i="1"/>
  <c r="R125" i="1"/>
  <c r="Q125" i="1"/>
  <c r="P125" i="1"/>
  <c r="O125" i="1"/>
  <c r="N125" i="1"/>
  <c r="M125" i="1"/>
  <c r="L125" i="1"/>
  <c r="K125" i="1"/>
  <c r="J125" i="1"/>
  <c r="I125" i="1"/>
  <c r="H125" i="1"/>
  <c r="G125" i="1"/>
  <c r="F125" i="1"/>
  <c r="E125" i="1"/>
  <c r="D125" i="1"/>
  <c r="C125" i="1"/>
  <c r="A125" i="1"/>
  <c r="Y124" i="1"/>
  <c r="X124" i="1"/>
  <c r="W124" i="1"/>
  <c r="V124" i="1"/>
  <c r="T124" i="1"/>
  <c r="R124" i="1"/>
  <c r="Q124" i="1"/>
  <c r="P124" i="1"/>
  <c r="O124" i="1"/>
  <c r="N124" i="1"/>
  <c r="M124" i="1"/>
  <c r="L124" i="1"/>
  <c r="K124" i="1"/>
  <c r="J124" i="1"/>
  <c r="I124" i="1"/>
  <c r="H124" i="1"/>
  <c r="G124" i="1"/>
  <c r="F124" i="1"/>
  <c r="E124" i="1"/>
  <c r="D124" i="1"/>
  <c r="C124" i="1"/>
  <c r="A124" i="1"/>
  <c r="Y123" i="1"/>
  <c r="X123" i="1"/>
  <c r="W123" i="1"/>
  <c r="V123" i="1"/>
  <c r="U123" i="1"/>
  <c r="T123" i="1"/>
  <c r="S123" i="1"/>
  <c r="R123" i="1"/>
  <c r="Q123" i="1"/>
  <c r="P123" i="1"/>
  <c r="O123" i="1"/>
  <c r="N123" i="1"/>
  <c r="M123" i="1"/>
  <c r="L123" i="1"/>
  <c r="K123" i="1"/>
  <c r="J123" i="1"/>
  <c r="I123" i="1"/>
  <c r="H123" i="1"/>
  <c r="G123" i="1"/>
  <c r="F123" i="1"/>
  <c r="E123" i="1"/>
  <c r="D123" i="1"/>
  <c r="C123" i="1"/>
  <c r="A123" i="1"/>
  <c r="Y122" i="1"/>
  <c r="X122" i="1"/>
  <c r="W122" i="1"/>
  <c r="V122" i="1"/>
  <c r="U122" i="1"/>
  <c r="T122" i="1"/>
  <c r="R122" i="1"/>
  <c r="Q122" i="1"/>
  <c r="P122" i="1"/>
  <c r="O122" i="1"/>
  <c r="N122" i="1"/>
  <c r="M122" i="1"/>
  <c r="L122" i="1"/>
  <c r="K122" i="1"/>
  <c r="J122" i="1"/>
  <c r="I122" i="1"/>
  <c r="H122" i="1"/>
  <c r="G122" i="1"/>
  <c r="F122" i="1"/>
  <c r="E122" i="1"/>
  <c r="D122" i="1"/>
  <c r="C122" i="1"/>
  <c r="A122" i="1"/>
  <c r="Y121" i="1"/>
  <c r="X121" i="1"/>
  <c r="W121" i="1"/>
  <c r="V121" i="1"/>
  <c r="U121" i="1"/>
  <c r="T121" i="1"/>
  <c r="R121" i="1"/>
  <c r="Q121" i="1"/>
  <c r="P121" i="1"/>
  <c r="O121" i="1"/>
  <c r="N121" i="1"/>
  <c r="M121" i="1"/>
  <c r="L121" i="1"/>
  <c r="K121" i="1"/>
  <c r="J121" i="1"/>
  <c r="I121" i="1"/>
  <c r="H121" i="1"/>
  <c r="G121" i="1"/>
  <c r="F121" i="1"/>
  <c r="E121" i="1"/>
  <c r="D121" i="1"/>
  <c r="C121" i="1"/>
  <c r="A121" i="1"/>
  <c r="Y120" i="1"/>
  <c r="X120" i="1"/>
  <c r="W120" i="1"/>
  <c r="V120" i="1"/>
  <c r="T120" i="1"/>
  <c r="S120" i="1"/>
  <c r="R120" i="1"/>
  <c r="Q120" i="1"/>
  <c r="P120" i="1"/>
  <c r="O120" i="1"/>
  <c r="N120" i="1"/>
  <c r="M120" i="1"/>
  <c r="L120" i="1"/>
  <c r="K120" i="1"/>
  <c r="J120" i="1"/>
  <c r="I120" i="1"/>
  <c r="H120" i="1"/>
  <c r="G120" i="1"/>
  <c r="F120" i="1"/>
  <c r="E120" i="1"/>
  <c r="D120" i="1"/>
  <c r="C120" i="1"/>
  <c r="A120" i="1"/>
  <c r="Y119" i="1"/>
  <c r="X119" i="1"/>
  <c r="W119" i="1"/>
  <c r="V119" i="1"/>
  <c r="U119" i="1"/>
  <c r="T119" i="1"/>
  <c r="S119" i="1"/>
  <c r="R119" i="1"/>
  <c r="Q119" i="1"/>
  <c r="P119" i="1"/>
  <c r="O119" i="1"/>
  <c r="N119" i="1"/>
  <c r="M119" i="1"/>
  <c r="L119" i="1"/>
  <c r="K119" i="1"/>
  <c r="J119" i="1"/>
  <c r="I119" i="1"/>
  <c r="H119" i="1"/>
  <c r="G119" i="1"/>
  <c r="F119" i="1"/>
  <c r="E119" i="1"/>
  <c r="D119" i="1"/>
  <c r="C119" i="1"/>
  <c r="A119" i="1"/>
  <c r="Y118" i="1"/>
  <c r="X118" i="1"/>
  <c r="W118" i="1"/>
  <c r="V118" i="1"/>
  <c r="T118" i="1"/>
  <c r="S118" i="1"/>
  <c r="R118" i="1"/>
  <c r="Q118" i="1"/>
  <c r="P118" i="1"/>
  <c r="O118" i="1"/>
  <c r="N118" i="1"/>
  <c r="M118" i="1"/>
  <c r="L118" i="1"/>
  <c r="K118" i="1"/>
  <c r="J118" i="1"/>
  <c r="I118" i="1"/>
  <c r="H118" i="1"/>
  <c r="G118" i="1"/>
  <c r="F118" i="1"/>
  <c r="E118" i="1"/>
  <c r="D118" i="1"/>
  <c r="C118" i="1"/>
  <c r="A118" i="1"/>
  <c r="Y117" i="1"/>
  <c r="X117" i="1"/>
  <c r="W117" i="1"/>
  <c r="V117" i="1"/>
  <c r="T117" i="1"/>
  <c r="S117" i="1"/>
  <c r="R117" i="1"/>
  <c r="Q117" i="1"/>
  <c r="P117" i="1"/>
  <c r="O117" i="1"/>
  <c r="N117" i="1"/>
  <c r="M117" i="1"/>
  <c r="L117" i="1"/>
  <c r="K117" i="1"/>
  <c r="J117" i="1"/>
  <c r="I117" i="1"/>
  <c r="H117" i="1"/>
  <c r="G117" i="1"/>
  <c r="F117" i="1"/>
  <c r="E117" i="1"/>
  <c r="D117" i="1"/>
  <c r="C117" i="1"/>
  <c r="A117" i="1"/>
  <c r="Y116" i="1"/>
  <c r="X116" i="1"/>
  <c r="W116" i="1"/>
  <c r="V116" i="1"/>
  <c r="T116" i="1"/>
  <c r="S116" i="1"/>
  <c r="R116" i="1"/>
  <c r="Q116" i="1"/>
  <c r="P116" i="1"/>
  <c r="O116" i="1"/>
  <c r="N116" i="1"/>
  <c r="M116" i="1"/>
  <c r="L116" i="1"/>
  <c r="K116" i="1"/>
  <c r="J116" i="1"/>
  <c r="I116" i="1"/>
  <c r="H116" i="1"/>
  <c r="G116" i="1"/>
  <c r="F116" i="1"/>
  <c r="E116" i="1"/>
  <c r="D116" i="1"/>
  <c r="C116" i="1"/>
  <c r="A116" i="1"/>
  <c r="Y115" i="1"/>
  <c r="X115" i="1"/>
  <c r="W115" i="1"/>
  <c r="V115" i="1"/>
  <c r="U115" i="1"/>
  <c r="T115" i="1"/>
  <c r="S115" i="1"/>
  <c r="R115" i="1"/>
  <c r="Q115" i="1"/>
  <c r="P115" i="1"/>
  <c r="O115" i="1"/>
  <c r="N115" i="1"/>
  <c r="M115" i="1"/>
  <c r="L115" i="1"/>
  <c r="K115" i="1"/>
  <c r="J115" i="1"/>
  <c r="I115" i="1"/>
  <c r="H115" i="1"/>
  <c r="G115" i="1"/>
  <c r="F115" i="1"/>
  <c r="E115" i="1"/>
  <c r="D115" i="1"/>
  <c r="C115" i="1"/>
  <c r="A115" i="1"/>
  <c r="Y114" i="1"/>
  <c r="X114" i="1"/>
  <c r="W114" i="1"/>
  <c r="V114" i="1"/>
  <c r="U114" i="1"/>
  <c r="T114" i="1"/>
  <c r="R114" i="1"/>
  <c r="Q114" i="1"/>
  <c r="P114" i="1"/>
  <c r="O114" i="1"/>
  <c r="N114" i="1"/>
  <c r="M114" i="1"/>
  <c r="L114" i="1"/>
  <c r="K114" i="1"/>
  <c r="J114" i="1"/>
  <c r="I114" i="1"/>
  <c r="H114" i="1"/>
  <c r="G114" i="1"/>
  <c r="F114" i="1"/>
  <c r="E114" i="1"/>
  <c r="D114" i="1"/>
  <c r="C114" i="1"/>
  <c r="A114" i="1"/>
  <c r="Y113" i="1"/>
  <c r="X113" i="1"/>
  <c r="W113" i="1"/>
  <c r="V113" i="1"/>
  <c r="T113" i="1"/>
  <c r="S113" i="1"/>
  <c r="R113" i="1"/>
  <c r="Q113" i="1"/>
  <c r="P113" i="1"/>
  <c r="O113" i="1"/>
  <c r="N113" i="1"/>
  <c r="M113" i="1"/>
  <c r="L113" i="1"/>
  <c r="K113" i="1"/>
  <c r="J113" i="1"/>
  <c r="I113" i="1"/>
  <c r="H113" i="1"/>
  <c r="G113" i="1"/>
  <c r="F113" i="1"/>
  <c r="E113" i="1"/>
  <c r="D113" i="1"/>
  <c r="C113" i="1"/>
  <c r="A113" i="1"/>
  <c r="Y112" i="1"/>
  <c r="X112" i="1"/>
  <c r="W112" i="1"/>
  <c r="V112" i="1"/>
  <c r="T112" i="1"/>
  <c r="S112" i="1"/>
  <c r="R112" i="1"/>
  <c r="Q112" i="1"/>
  <c r="P112" i="1"/>
  <c r="O112" i="1"/>
  <c r="N112" i="1"/>
  <c r="M112" i="1"/>
  <c r="L112" i="1"/>
  <c r="K112" i="1"/>
  <c r="J112" i="1"/>
  <c r="I112" i="1"/>
  <c r="H112" i="1"/>
  <c r="G112" i="1"/>
  <c r="F112" i="1"/>
  <c r="E112" i="1"/>
  <c r="D112" i="1"/>
  <c r="C112" i="1"/>
  <c r="A112" i="1"/>
  <c r="Y111" i="1"/>
  <c r="X111" i="1"/>
  <c r="W111" i="1"/>
  <c r="V111" i="1"/>
  <c r="U111" i="1"/>
  <c r="T111" i="1"/>
  <c r="S111" i="1"/>
  <c r="R111" i="1"/>
  <c r="Q111" i="1"/>
  <c r="P111" i="1"/>
  <c r="O111" i="1"/>
  <c r="N111" i="1"/>
  <c r="M111" i="1"/>
  <c r="L111" i="1"/>
  <c r="K111" i="1"/>
  <c r="J111" i="1"/>
  <c r="I111" i="1"/>
  <c r="H111" i="1"/>
  <c r="G111" i="1"/>
  <c r="F111" i="1"/>
  <c r="E111" i="1"/>
  <c r="D111" i="1"/>
  <c r="C111" i="1"/>
  <c r="A111" i="1"/>
  <c r="Y110" i="1"/>
  <c r="X110" i="1"/>
  <c r="W110" i="1"/>
  <c r="V110" i="1"/>
  <c r="T110" i="1"/>
  <c r="S110" i="1"/>
  <c r="R110" i="1"/>
  <c r="Q110" i="1"/>
  <c r="P110" i="1"/>
  <c r="O110" i="1"/>
  <c r="N110" i="1"/>
  <c r="M110" i="1"/>
  <c r="L110" i="1"/>
  <c r="K110" i="1"/>
  <c r="J110" i="1"/>
  <c r="I110" i="1"/>
  <c r="H110" i="1"/>
  <c r="G110" i="1"/>
  <c r="F110" i="1"/>
  <c r="E110" i="1"/>
  <c r="D110" i="1"/>
  <c r="C110" i="1"/>
  <c r="A110" i="1"/>
  <c r="Y109" i="1"/>
  <c r="X109" i="1"/>
  <c r="W109" i="1"/>
  <c r="V109" i="1"/>
  <c r="U109" i="1"/>
  <c r="T109" i="1"/>
  <c r="S109" i="1"/>
  <c r="R109" i="1"/>
  <c r="Q109" i="1"/>
  <c r="P109" i="1"/>
  <c r="O109" i="1"/>
  <c r="N109" i="1"/>
  <c r="M109" i="1"/>
  <c r="L109" i="1"/>
  <c r="K109" i="1"/>
  <c r="J109" i="1"/>
  <c r="I109" i="1"/>
  <c r="H109" i="1"/>
  <c r="G109" i="1"/>
  <c r="F109" i="1"/>
  <c r="E109" i="1"/>
  <c r="D109" i="1"/>
  <c r="C109" i="1"/>
  <c r="A109" i="1"/>
  <c r="Y108" i="1"/>
  <c r="X108" i="1"/>
  <c r="W108" i="1"/>
  <c r="V108" i="1"/>
  <c r="U108" i="1"/>
  <c r="T108" i="1"/>
  <c r="S108" i="1"/>
  <c r="R108" i="1"/>
  <c r="Q108" i="1"/>
  <c r="P108" i="1"/>
  <c r="O108" i="1"/>
  <c r="N108" i="1"/>
  <c r="M108" i="1"/>
  <c r="L108" i="1"/>
  <c r="K108" i="1"/>
  <c r="J108" i="1"/>
  <c r="I108" i="1"/>
  <c r="H108" i="1"/>
  <c r="G108" i="1"/>
  <c r="F108" i="1"/>
  <c r="E108" i="1"/>
  <c r="D108" i="1"/>
  <c r="C108" i="1"/>
  <c r="A108" i="1"/>
  <c r="Y107" i="1"/>
  <c r="X107" i="1"/>
  <c r="W107" i="1"/>
  <c r="V107" i="1"/>
  <c r="T107" i="1"/>
  <c r="R107" i="1"/>
  <c r="Q107" i="1"/>
  <c r="P107" i="1"/>
  <c r="O107" i="1"/>
  <c r="N107" i="1"/>
  <c r="M107" i="1"/>
  <c r="L107" i="1"/>
  <c r="K107" i="1"/>
  <c r="J107" i="1"/>
  <c r="I107" i="1"/>
  <c r="H107" i="1"/>
  <c r="G107" i="1"/>
  <c r="F107" i="1"/>
  <c r="E107" i="1"/>
  <c r="D107" i="1"/>
  <c r="C107" i="1"/>
  <c r="A107" i="1"/>
  <c r="Y106" i="1"/>
  <c r="X106" i="1"/>
  <c r="W106" i="1"/>
  <c r="V106" i="1"/>
  <c r="T106" i="1"/>
  <c r="R106" i="1"/>
  <c r="Q106" i="1"/>
  <c r="P106" i="1"/>
  <c r="O106" i="1"/>
  <c r="N106" i="1"/>
  <c r="M106" i="1"/>
  <c r="L106" i="1"/>
  <c r="K106" i="1"/>
  <c r="J106" i="1"/>
  <c r="I106" i="1"/>
  <c r="H106" i="1"/>
  <c r="G106" i="1"/>
  <c r="F106" i="1"/>
  <c r="E106" i="1"/>
  <c r="D106" i="1"/>
  <c r="C106" i="1"/>
  <c r="A106" i="1"/>
  <c r="Y105" i="1"/>
  <c r="X105" i="1"/>
  <c r="W105" i="1"/>
  <c r="V105" i="1"/>
  <c r="T105" i="1"/>
  <c r="S105" i="1"/>
  <c r="R105" i="1"/>
  <c r="Q105" i="1"/>
  <c r="P105" i="1"/>
  <c r="O105" i="1"/>
  <c r="N105" i="1"/>
  <c r="M105" i="1"/>
  <c r="L105" i="1"/>
  <c r="K105" i="1"/>
  <c r="J105" i="1"/>
  <c r="I105" i="1"/>
  <c r="H105" i="1"/>
  <c r="G105" i="1"/>
  <c r="F105" i="1"/>
  <c r="E105" i="1"/>
  <c r="D105" i="1"/>
  <c r="C105" i="1"/>
  <c r="A105" i="1"/>
  <c r="Y104" i="1"/>
  <c r="X104" i="1"/>
  <c r="W104" i="1"/>
  <c r="V104" i="1"/>
  <c r="T104" i="1"/>
  <c r="R104" i="1"/>
  <c r="Q104" i="1"/>
  <c r="P104" i="1"/>
  <c r="O104" i="1"/>
  <c r="N104" i="1"/>
  <c r="M104" i="1"/>
  <c r="L104" i="1"/>
  <c r="K104" i="1"/>
  <c r="J104" i="1"/>
  <c r="I104" i="1"/>
  <c r="H104" i="1"/>
  <c r="G104" i="1"/>
  <c r="F104" i="1"/>
  <c r="E104" i="1"/>
  <c r="D104" i="1"/>
  <c r="C104" i="1"/>
  <c r="A104" i="1"/>
  <c r="Y103" i="1"/>
  <c r="X103" i="1"/>
  <c r="W103" i="1"/>
  <c r="V103" i="1"/>
  <c r="T103" i="1"/>
  <c r="R103" i="1"/>
  <c r="Q103" i="1"/>
  <c r="P103" i="1"/>
  <c r="O103" i="1"/>
  <c r="N103" i="1"/>
  <c r="M103" i="1"/>
  <c r="L103" i="1"/>
  <c r="K103" i="1"/>
  <c r="J103" i="1"/>
  <c r="I103" i="1"/>
  <c r="H103" i="1"/>
  <c r="G103" i="1"/>
  <c r="F103" i="1"/>
  <c r="E103" i="1"/>
  <c r="D103" i="1"/>
  <c r="C103" i="1"/>
  <c r="A103" i="1"/>
  <c r="Y102" i="1"/>
  <c r="X102" i="1"/>
  <c r="W102" i="1"/>
  <c r="V102" i="1"/>
  <c r="T102" i="1"/>
  <c r="R102" i="1"/>
  <c r="Q102" i="1"/>
  <c r="P102" i="1"/>
  <c r="O102" i="1"/>
  <c r="N102" i="1"/>
  <c r="M102" i="1"/>
  <c r="L102" i="1"/>
  <c r="K102" i="1"/>
  <c r="J102" i="1"/>
  <c r="I102" i="1"/>
  <c r="H102" i="1"/>
  <c r="G102" i="1"/>
  <c r="F102" i="1"/>
  <c r="E102" i="1"/>
  <c r="D102" i="1"/>
  <c r="C102" i="1"/>
  <c r="A102" i="1"/>
  <c r="Y101" i="1"/>
  <c r="X101" i="1"/>
  <c r="W101" i="1"/>
  <c r="V101" i="1"/>
  <c r="U101" i="1"/>
  <c r="T101" i="1"/>
  <c r="R101" i="1"/>
  <c r="Q101" i="1"/>
  <c r="P101" i="1"/>
  <c r="O101" i="1"/>
  <c r="N101" i="1"/>
  <c r="M101" i="1"/>
  <c r="L101" i="1"/>
  <c r="K101" i="1"/>
  <c r="J101" i="1"/>
  <c r="I101" i="1"/>
  <c r="H101" i="1"/>
  <c r="G101" i="1"/>
  <c r="F101" i="1"/>
  <c r="E101" i="1"/>
  <c r="D101" i="1"/>
  <c r="C101" i="1"/>
  <c r="A101" i="1"/>
  <c r="Y100" i="1"/>
  <c r="X100" i="1"/>
  <c r="W100" i="1"/>
  <c r="V100" i="1"/>
  <c r="T100" i="1"/>
  <c r="S100" i="1"/>
  <c r="R100" i="1"/>
  <c r="Q100" i="1"/>
  <c r="P100" i="1"/>
  <c r="O100" i="1"/>
  <c r="N100" i="1"/>
  <c r="M100" i="1"/>
  <c r="L100" i="1"/>
  <c r="K100" i="1"/>
  <c r="J100" i="1"/>
  <c r="I100" i="1"/>
  <c r="H100" i="1"/>
  <c r="G100" i="1"/>
  <c r="F100" i="1"/>
  <c r="E100" i="1"/>
  <c r="D100" i="1"/>
  <c r="C100" i="1"/>
  <c r="A100" i="1"/>
  <c r="Y99" i="1"/>
  <c r="X99" i="1"/>
  <c r="W99" i="1"/>
  <c r="V99" i="1"/>
  <c r="T99" i="1"/>
  <c r="R99" i="1"/>
  <c r="Q99" i="1"/>
  <c r="P99" i="1"/>
  <c r="O99" i="1"/>
  <c r="N99" i="1"/>
  <c r="M99" i="1"/>
  <c r="L99" i="1"/>
  <c r="K99" i="1"/>
  <c r="J99" i="1"/>
  <c r="I99" i="1"/>
  <c r="H99" i="1"/>
  <c r="G99" i="1"/>
  <c r="F99" i="1"/>
  <c r="E99" i="1"/>
  <c r="D99" i="1"/>
  <c r="C99" i="1"/>
  <c r="A99" i="1"/>
  <c r="Y98" i="1"/>
  <c r="X98" i="1"/>
  <c r="W98" i="1"/>
  <c r="V98" i="1"/>
  <c r="T98" i="1"/>
  <c r="S98" i="1"/>
  <c r="R98" i="1"/>
  <c r="Q98" i="1"/>
  <c r="P98" i="1"/>
  <c r="O98" i="1"/>
  <c r="N98" i="1"/>
  <c r="M98" i="1"/>
  <c r="L98" i="1"/>
  <c r="K98" i="1"/>
  <c r="J98" i="1"/>
  <c r="I98" i="1"/>
  <c r="H98" i="1"/>
  <c r="G98" i="1"/>
  <c r="F98" i="1"/>
  <c r="E98" i="1"/>
  <c r="D98" i="1"/>
  <c r="C98" i="1"/>
  <c r="A98" i="1"/>
  <c r="Y97" i="1"/>
  <c r="X97" i="1"/>
  <c r="W97" i="1"/>
  <c r="V97" i="1"/>
  <c r="T97" i="1"/>
  <c r="R97" i="1"/>
  <c r="Q97" i="1"/>
  <c r="P97" i="1"/>
  <c r="O97" i="1"/>
  <c r="N97" i="1"/>
  <c r="M97" i="1"/>
  <c r="L97" i="1"/>
  <c r="K97" i="1"/>
  <c r="J97" i="1"/>
  <c r="I97" i="1"/>
  <c r="H97" i="1"/>
  <c r="G97" i="1"/>
  <c r="F97" i="1"/>
  <c r="E97" i="1"/>
  <c r="D97" i="1"/>
  <c r="C97" i="1"/>
  <c r="A97" i="1"/>
  <c r="Y96" i="1"/>
  <c r="X96" i="1"/>
  <c r="W96" i="1"/>
  <c r="V96" i="1"/>
  <c r="U96" i="1"/>
  <c r="T96" i="1"/>
  <c r="S96" i="1"/>
  <c r="R96" i="1"/>
  <c r="Q96" i="1"/>
  <c r="P96" i="1"/>
  <c r="O96" i="1"/>
  <c r="N96" i="1"/>
  <c r="M96" i="1"/>
  <c r="L96" i="1"/>
  <c r="K96" i="1"/>
  <c r="J96" i="1"/>
  <c r="I96" i="1"/>
  <c r="H96" i="1"/>
  <c r="G96" i="1"/>
  <c r="F96" i="1"/>
  <c r="E96" i="1"/>
  <c r="D96" i="1"/>
  <c r="C96" i="1"/>
  <c r="A96" i="1"/>
  <c r="Y95" i="1"/>
  <c r="X95" i="1"/>
  <c r="W95" i="1"/>
  <c r="V95" i="1"/>
  <c r="T95" i="1"/>
  <c r="S95" i="1"/>
  <c r="R95" i="1"/>
  <c r="Q95" i="1"/>
  <c r="P95" i="1"/>
  <c r="O95" i="1"/>
  <c r="N95" i="1"/>
  <c r="M95" i="1"/>
  <c r="L95" i="1"/>
  <c r="K95" i="1"/>
  <c r="J95" i="1"/>
  <c r="I95" i="1"/>
  <c r="H95" i="1"/>
  <c r="G95" i="1"/>
  <c r="F95" i="1"/>
  <c r="E95" i="1"/>
  <c r="D95" i="1"/>
  <c r="C95" i="1"/>
  <c r="A95" i="1"/>
  <c r="Y94" i="1"/>
  <c r="X94" i="1"/>
  <c r="W94" i="1"/>
  <c r="V94" i="1"/>
  <c r="T94" i="1"/>
  <c r="S94" i="1"/>
  <c r="R94" i="1"/>
  <c r="Q94" i="1"/>
  <c r="P94" i="1"/>
  <c r="O94" i="1"/>
  <c r="N94" i="1"/>
  <c r="M94" i="1"/>
  <c r="L94" i="1"/>
  <c r="K94" i="1"/>
  <c r="J94" i="1"/>
  <c r="I94" i="1"/>
  <c r="H94" i="1"/>
  <c r="G94" i="1"/>
  <c r="F94" i="1"/>
  <c r="E94" i="1"/>
  <c r="D94" i="1"/>
  <c r="C94" i="1"/>
  <c r="A94" i="1"/>
  <c r="Y93" i="1"/>
  <c r="X93" i="1"/>
  <c r="W93" i="1"/>
  <c r="V93" i="1"/>
  <c r="U93" i="1"/>
  <c r="T93" i="1"/>
  <c r="S93" i="1"/>
  <c r="R93" i="1"/>
  <c r="Q93" i="1"/>
  <c r="P93" i="1"/>
  <c r="O93" i="1"/>
  <c r="N93" i="1"/>
  <c r="M93" i="1"/>
  <c r="L93" i="1"/>
  <c r="K93" i="1"/>
  <c r="J93" i="1"/>
  <c r="I93" i="1"/>
  <c r="H93" i="1"/>
  <c r="G93" i="1"/>
  <c r="F93" i="1"/>
  <c r="E93" i="1"/>
  <c r="D93" i="1"/>
  <c r="C93" i="1"/>
  <c r="A93" i="1"/>
  <c r="Y92" i="1"/>
  <c r="X92" i="1"/>
  <c r="W92" i="1"/>
  <c r="V92" i="1"/>
  <c r="U92" i="1"/>
  <c r="T92" i="1"/>
  <c r="S92" i="1"/>
  <c r="R92" i="1"/>
  <c r="Q92" i="1"/>
  <c r="P92" i="1"/>
  <c r="O92" i="1"/>
  <c r="N92" i="1"/>
  <c r="M92" i="1"/>
  <c r="L92" i="1"/>
  <c r="K92" i="1"/>
  <c r="J92" i="1"/>
  <c r="I92" i="1"/>
  <c r="H92" i="1"/>
  <c r="G92" i="1"/>
  <c r="F92" i="1"/>
  <c r="E92" i="1"/>
  <c r="D92" i="1"/>
  <c r="C92" i="1"/>
  <c r="A92" i="1"/>
  <c r="Y91" i="1"/>
  <c r="X91" i="1"/>
  <c r="W91" i="1"/>
  <c r="V91" i="1"/>
  <c r="U91" i="1"/>
  <c r="T91" i="1"/>
  <c r="S91" i="1"/>
  <c r="R91" i="1"/>
  <c r="Q91" i="1"/>
  <c r="P91" i="1"/>
  <c r="O91" i="1"/>
  <c r="N91" i="1"/>
  <c r="M91" i="1"/>
  <c r="L91" i="1"/>
  <c r="K91" i="1"/>
  <c r="J91" i="1"/>
  <c r="I91" i="1"/>
  <c r="H91" i="1"/>
  <c r="G91" i="1"/>
  <c r="F91" i="1"/>
  <c r="E91" i="1"/>
  <c r="D91" i="1"/>
  <c r="C91" i="1"/>
  <c r="A91" i="1"/>
  <c r="Y90" i="1"/>
  <c r="X90" i="1"/>
  <c r="W90" i="1"/>
  <c r="V90" i="1"/>
  <c r="T90" i="1"/>
  <c r="S90" i="1"/>
  <c r="R90" i="1"/>
  <c r="Q90" i="1"/>
  <c r="P90" i="1"/>
  <c r="O90" i="1"/>
  <c r="N90" i="1"/>
  <c r="M90" i="1"/>
  <c r="L90" i="1"/>
  <c r="K90" i="1"/>
  <c r="J90" i="1"/>
  <c r="I90" i="1"/>
  <c r="H90" i="1"/>
  <c r="G90" i="1"/>
  <c r="F90" i="1"/>
  <c r="E90" i="1"/>
  <c r="D90" i="1"/>
  <c r="C90" i="1"/>
  <c r="A90" i="1"/>
  <c r="Y89" i="1"/>
  <c r="X89" i="1"/>
  <c r="W89" i="1"/>
  <c r="V89" i="1"/>
  <c r="T89" i="1"/>
  <c r="R89" i="1"/>
  <c r="Q89" i="1"/>
  <c r="P89" i="1"/>
  <c r="O89" i="1"/>
  <c r="N89" i="1"/>
  <c r="M89" i="1"/>
  <c r="L89" i="1"/>
  <c r="K89" i="1"/>
  <c r="J89" i="1"/>
  <c r="I89" i="1"/>
  <c r="H89" i="1"/>
  <c r="G89" i="1"/>
  <c r="F89" i="1"/>
  <c r="E89" i="1"/>
  <c r="D89" i="1"/>
  <c r="C89" i="1"/>
  <c r="A89" i="1"/>
  <c r="Y88" i="1"/>
  <c r="X88" i="1"/>
  <c r="W88" i="1"/>
  <c r="V88" i="1"/>
  <c r="T88" i="1"/>
  <c r="S88" i="1"/>
  <c r="R88" i="1"/>
  <c r="Q88" i="1"/>
  <c r="P88" i="1"/>
  <c r="O88" i="1"/>
  <c r="N88" i="1"/>
  <c r="M88" i="1"/>
  <c r="L88" i="1"/>
  <c r="K88" i="1"/>
  <c r="J88" i="1"/>
  <c r="I88" i="1"/>
  <c r="H88" i="1"/>
  <c r="G88" i="1"/>
  <c r="F88" i="1"/>
  <c r="E88" i="1"/>
  <c r="D88" i="1"/>
  <c r="C88" i="1"/>
  <c r="A88" i="1"/>
  <c r="Y87" i="1"/>
  <c r="X87" i="1"/>
  <c r="W87" i="1"/>
  <c r="V87" i="1"/>
  <c r="U87" i="1"/>
  <c r="T87" i="1"/>
  <c r="R87" i="1"/>
  <c r="Q87" i="1"/>
  <c r="P87" i="1"/>
  <c r="O87" i="1"/>
  <c r="N87" i="1"/>
  <c r="M87" i="1"/>
  <c r="L87" i="1"/>
  <c r="K87" i="1"/>
  <c r="J87" i="1"/>
  <c r="I87" i="1"/>
  <c r="H87" i="1"/>
  <c r="G87" i="1"/>
  <c r="F87" i="1"/>
  <c r="E87" i="1"/>
  <c r="D87" i="1"/>
  <c r="C87" i="1"/>
  <c r="A87" i="1"/>
  <c r="Y86" i="1"/>
  <c r="X86" i="1"/>
  <c r="W86" i="1"/>
  <c r="V86" i="1"/>
  <c r="T86" i="1"/>
  <c r="R86" i="1"/>
  <c r="Q86" i="1"/>
  <c r="P86" i="1"/>
  <c r="O86" i="1"/>
  <c r="N86" i="1"/>
  <c r="M86" i="1"/>
  <c r="L86" i="1"/>
  <c r="K86" i="1"/>
  <c r="J86" i="1"/>
  <c r="I86" i="1"/>
  <c r="H86" i="1"/>
  <c r="G86" i="1"/>
  <c r="F86" i="1"/>
  <c r="E86" i="1"/>
  <c r="D86" i="1"/>
  <c r="C86" i="1"/>
  <c r="A86" i="1"/>
  <c r="Y85" i="1"/>
  <c r="X85" i="1"/>
  <c r="W85" i="1"/>
  <c r="V85" i="1"/>
  <c r="T85" i="1"/>
  <c r="R85" i="1"/>
  <c r="Q85" i="1"/>
  <c r="P85" i="1"/>
  <c r="O85" i="1"/>
  <c r="N85" i="1"/>
  <c r="M85" i="1"/>
  <c r="L85" i="1"/>
  <c r="K85" i="1"/>
  <c r="J85" i="1"/>
  <c r="I85" i="1"/>
  <c r="H85" i="1"/>
  <c r="G85" i="1"/>
  <c r="F85" i="1"/>
  <c r="E85" i="1"/>
  <c r="D85" i="1"/>
  <c r="C85" i="1"/>
  <c r="A85" i="1"/>
  <c r="Y84" i="1"/>
  <c r="X84" i="1"/>
  <c r="W84" i="1"/>
  <c r="V84" i="1"/>
  <c r="U84" i="1"/>
  <c r="T84" i="1"/>
  <c r="S84" i="1"/>
  <c r="R84" i="1"/>
  <c r="Q84" i="1"/>
  <c r="P84" i="1"/>
  <c r="O84" i="1"/>
  <c r="N84" i="1"/>
  <c r="M84" i="1"/>
  <c r="L84" i="1"/>
  <c r="K84" i="1"/>
  <c r="J84" i="1"/>
  <c r="I84" i="1"/>
  <c r="H84" i="1"/>
  <c r="G84" i="1"/>
  <c r="F84" i="1"/>
  <c r="E84" i="1"/>
  <c r="D84" i="1"/>
  <c r="C84" i="1"/>
  <c r="A84" i="1"/>
  <c r="Y83" i="1"/>
  <c r="X83" i="1"/>
  <c r="W83" i="1"/>
  <c r="V83" i="1"/>
  <c r="T83" i="1"/>
  <c r="S83" i="1"/>
  <c r="R83" i="1"/>
  <c r="Q83" i="1"/>
  <c r="P83" i="1"/>
  <c r="O83" i="1"/>
  <c r="N83" i="1"/>
  <c r="M83" i="1"/>
  <c r="L83" i="1"/>
  <c r="K83" i="1"/>
  <c r="J83" i="1"/>
  <c r="I83" i="1"/>
  <c r="H83" i="1"/>
  <c r="G83" i="1"/>
  <c r="F83" i="1"/>
  <c r="E83" i="1"/>
  <c r="D83" i="1"/>
  <c r="C83" i="1"/>
  <c r="A83" i="1"/>
  <c r="Y82" i="1"/>
  <c r="X82" i="1"/>
  <c r="W82" i="1"/>
  <c r="V82" i="1"/>
  <c r="T82" i="1"/>
  <c r="S82" i="1"/>
  <c r="R82" i="1"/>
  <c r="Q82" i="1"/>
  <c r="P82" i="1"/>
  <c r="O82" i="1"/>
  <c r="N82" i="1"/>
  <c r="M82" i="1"/>
  <c r="L82" i="1"/>
  <c r="K82" i="1"/>
  <c r="J82" i="1"/>
  <c r="I82" i="1"/>
  <c r="H82" i="1"/>
  <c r="G82" i="1"/>
  <c r="F82" i="1"/>
  <c r="E82" i="1"/>
  <c r="D82" i="1"/>
  <c r="C82" i="1"/>
  <c r="A82" i="1"/>
  <c r="Y81" i="1"/>
  <c r="X81" i="1"/>
  <c r="W81" i="1"/>
  <c r="V81" i="1"/>
  <c r="U81" i="1"/>
  <c r="T81" i="1"/>
  <c r="S81" i="1"/>
  <c r="R81" i="1"/>
  <c r="Q81" i="1"/>
  <c r="P81" i="1"/>
  <c r="O81" i="1"/>
  <c r="N81" i="1"/>
  <c r="M81" i="1"/>
  <c r="L81" i="1"/>
  <c r="K81" i="1"/>
  <c r="J81" i="1"/>
  <c r="I81" i="1"/>
  <c r="H81" i="1"/>
  <c r="G81" i="1"/>
  <c r="F81" i="1"/>
  <c r="E81" i="1"/>
  <c r="D81" i="1"/>
  <c r="C81" i="1"/>
  <c r="A81" i="1"/>
  <c r="Y80" i="1"/>
  <c r="X80" i="1"/>
  <c r="W80" i="1"/>
  <c r="V80" i="1"/>
  <c r="T80" i="1"/>
  <c r="S80" i="1"/>
  <c r="R80" i="1"/>
  <c r="Q80" i="1"/>
  <c r="P80" i="1"/>
  <c r="O80" i="1"/>
  <c r="N80" i="1"/>
  <c r="M80" i="1"/>
  <c r="L80" i="1"/>
  <c r="K80" i="1"/>
  <c r="J80" i="1"/>
  <c r="I80" i="1"/>
  <c r="H80" i="1"/>
  <c r="G80" i="1"/>
  <c r="F80" i="1"/>
  <c r="E80" i="1"/>
  <c r="D80" i="1"/>
  <c r="C80" i="1"/>
  <c r="A80" i="1"/>
  <c r="Y79" i="1"/>
  <c r="X79" i="1"/>
  <c r="W79" i="1"/>
  <c r="V79" i="1"/>
  <c r="T79" i="1"/>
  <c r="S79" i="1"/>
  <c r="R79" i="1"/>
  <c r="Q79" i="1"/>
  <c r="P79" i="1"/>
  <c r="O79" i="1"/>
  <c r="N79" i="1"/>
  <c r="M79" i="1"/>
  <c r="L79" i="1"/>
  <c r="K79" i="1"/>
  <c r="J79" i="1"/>
  <c r="I79" i="1"/>
  <c r="H79" i="1"/>
  <c r="G79" i="1"/>
  <c r="F79" i="1"/>
  <c r="E79" i="1"/>
  <c r="D79" i="1"/>
  <c r="C79" i="1"/>
  <c r="A79" i="1"/>
  <c r="Y78" i="1"/>
  <c r="X78" i="1"/>
  <c r="W78" i="1"/>
  <c r="V78" i="1"/>
  <c r="T78" i="1"/>
  <c r="R78" i="1"/>
  <c r="Q78" i="1"/>
  <c r="P78" i="1"/>
  <c r="O78" i="1"/>
  <c r="N78" i="1"/>
  <c r="M78" i="1"/>
  <c r="L78" i="1"/>
  <c r="K78" i="1"/>
  <c r="J78" i="1"/>
  <c r="I78" i="1"/>
  <c r="H78" i="1"/>
  <c r="G78" i="1"/>
  <c r="F78" i="1"/>
  <c r="E78" i="1"/>
  <c r="D78" i="1"/>
  <c r="C78" i="1"/>
  <c r="A78" i="1"/>
  <c r="Y77" i="1"/>
  <c r="X77" i="1"/>
  <c r="W77" i="1"/>
  <c r="V77" i="1"/>
  <c r="T77" i="1"/>
  <c r="R77" i="1"/>
  <c r="Q77" i="1"/>
  <c r="P77" i="1"/>
  <c r="O77" i="1"/>
  <c r="N77" i="1"/>
  <c r="M77" i="1"/>
  <c r="L77" i="1"/>
  <c r="K77" i="1"/>
  <c r="J77" i="1"/>
  <c r="I77" i="1"/>
  <c r="H77" i="1"/>
  <c r="G77" i="1"/>
  <c r="F77" i="1"/>
  <c r="E77" i="1"/>
  <c r="D77" i="1"/>
  <c r="C77" i="1"/>
  <c r="A77" i="1"/>
  <c r="Y76" i="1"/>
  <c r="X76" i="1"/>
  <c r="W76" i="1"/>
  <c r="V76" i="1"/>
  <c r="T76" i="1"/>
  <c r="R76" i="1"/>
  <c r="Q76" i="1"/>
  <c r="P76" i="1"/>
  <c r="O76" i="1"/>
  <c r="N76" i="1"/>
  <c r="M76" i="1"/>
  <c r="L76" i="1"/>
  <c r="K76" i="1"/>
  <c r="J76" i="1"/>
  <c r="I76" i="1"/>
  <c r="H76" i="1"/>
  <c r="G76" i="1"/>
  <c r="F76" i="1"/>
  <c r="E76" i="1"/>
  <c r="D76" i="1"/>
  <c r="C76" i="1"/>
  <c r="A76" i="1"/>
  <c r="Y75" i="1"/>
  <c r="X75" i="1"/>
  <c r="W75" i="1"/>
  <c r="V75" i="1"/>
  <c r="T75" i="1"/>
  <c r="R75" i="1"/>
  <c r="Q75" i="1"/>
  <c r="P75" i="1"/>
  <c r="O75" i="1"/>
  <c r="N75" i="1"/>
  <c r="M75" i="1"/>
  <c r="L75" i="1"/>
  <c r="K75" i="1"/>
  <c r="J75" i="1"/>
  <c r="I75" i="1"/>
  <c r="H75" i="1"/>
  <c r="G75" i="1"/>
  <c r="F75" i="1"/>
  <c r="E75" i="1"/>
  <c r="D75" i="1"/>
  <c r="C75" i="1"/>
  <c r="A75" i="1"/>
  <c r="Y74" i="1"/>
  <c r="X74" i="1"/>
  <c r="W74" i="1"/>
  <c r="V74" i="1"/>
  <c r="U74" i="1"/>
  <c r="T74" i="1"/>
  <c r="S74" i="1"/>
  <c r="R74" i="1"/>
  <c r="Q74" i="1"/>
  <c r="P74" i="1"/>
  <c r="O74" i="1"/>
  <c r="N74" i="1"/>
  <c r="M74" i="1"/>
  <c r="L74" i="1"/>
  <c r="K74" i="1"/>
  <c r="J74" i="1"/>
  <c r="I74" i="1"/>
  <c r="H74" i="1"/>
  <c r="G74" i="1"/>
  <c r="F74" i="1"/>
  <c r="E74" i="1"/>
  <c r="D74" i="1"/>
  <c r="C74" i="1"/>
  <c r="A74" i="1"/>
  <c r="Y73" i="1"/>
  <c r="X73" i="1"/>
  <c r="W73" i="1"/>
  <c r="V73" i="1"/>
  <c r="T73" i="1"/>
  <c r="S73" i="1"/>
  <c r="R73" i="1"/>
  <c r="Q73" i="1"/>
  <c r="P73" i="1"/>
  <c r="O73" i="1"/>
  <c r="N73" i="1"/>
  <c r="M73" i="1"/>
  <c r="L73" i="1"/>
  <c r="K73" i="1"/>
  <c r="J73" i="1"/>
  <c r="I73" i="1"/>
  <c r="H73" i="1"/>
  <c r="G73" i="1"/>
  <c r="F73" i="1"/>
  <c r="E73" i="1"/>
  <c r="D73" i="1"/>
  <c r="C73" i="1"/>
  <c r="A73" i="1"/>
  <c r="Y72" i="1"/>
  <c r="X72" i="1"/>
  <c r="W72" i="1"/>
  <c r="V72" i="1"/>
  <c r="U72" i="1"/>
  <c r="T72" i="1"/>
  <c r="S72" i="1"/>
  <c r="R72" i="1"/>
  <c r="Q72" i="1"/>
  <c r="P72" i="1"/>
  <c r="O72" i="1"/>
  <c r="N72" i="1"/>
  <c r="M72" i="1"/>
  <c r="L72" i="1"/>
  <c r="K72" i="1"/>
  <c r="J72" i="1"/>
  <c r="I72" i="1"/>
  <c r="H72" i="1"/>
  <c r="G72" i="1"/>
  <c r="F72" i="1"/>
  <c r="E72" i="1"/>
  <c r="D72" i="1"/>
  <c r="C72" i="1"/>
  <c r="A72" i="1"/>
  <c r="Y71" i="1"/>
  <c r="X71" i="1"/>
  <c r="W71" i="1"/>
  <c r="V71" i="1"/>
  <c r="T71" i="1"/>
  <c r="S71" i="1"/>
  <c r="R71" i="1"/>
  <c r="Q71" i="1"/>
  <c r="P71" i="1"/>
  <c r="O71" i="1"/>
  <c r="N71" i="1"/>
  <c r="M71" i="1"/>
  <c r="L71" i="1"/>
  <c r="K71" i="1"/>
  <c r="J71" i="1"/>
  <c r="I71" i="1"/>
  <c r="H71" i="1"/>
  <c r="G71" i="1"/>
  <c r="F71" i="1"/>
  <c r="E71" i="1"/>
  <c r="D71" i="1"/>
  <c r="C71" i="1"/>
  <c r="A71" i="1"/>
  <c r="Y70" i="1"/>
  <c r="X70" i="1"/>
  <c r="W70" i="1"/>
  <c r="V70" i="1"/>
  <c r="T70" i="1"/>
  <c r="S70" i="1"/>
  <c r="R70" i="1"/>
  <c r="Q70" i="1"/>
  <c r="P70" i="1"/>
  <c r="O70" i="1"/>
  <c r="N70" i="1"/>
  <c r="M70" i="1"/>
  <c r="L70" i="1"/>
  <c r="K70" i="1"/>
  <c r="J70" i="1"/>
  <c r="I70" i="1"/>
  <c r="H70" i="1"/>
  <c r="G70" i="1"/>
  <c r="F70" i="1"/>
  <c r="E70" i="1"/>
  <c r="D70" i="1"/>
  <c r="C70" i="1"/>
  <c r="A70" i="1"/>
  <c r="Y69" i="1"/>
  <c r="X69" i="1"/>
  <c r="W69" i="1"/>
  <c r="V69" i="1"/>
  <c r="U69" i="1"/>
  <c r="T69" i="1"/>
  <c r="S69" i="1"/>
  <c r="R69" i="1"/>
  <c r="Q69" i="1"/>
  <c r="P69" i="1"/>
  <c r="O69" i="1"/>
  <c r="N69" i="1"/>
  <c r="M69" i="1"/>
  <c r="L69" i="1"/>
  <c r="K69" i="1"/>
  <c r="J69" i="1"/>
  <c r="I69" i="1"/>
  <c r="H69" i="1"/>
  <c r="G69" i="1"/>
  <c r="F69" i="1"/>
  <c r="E69" i="1"/>
  <c r="D69" i="1"/>
  <c r="C69" i="1"/>
  <c r="A69" i="1"/>
  <c r="Y68" i="1"/>
  <c r="X68" i="1"/>
  <c r="W68" i="1"/>
  <c r="V68" i="1"/>
  <c r="U68" i="1"/>
  <c r="T68" i="1"/>
  <c r="R68" i="1"/>
  <c r="Q68" i="1"/>
  <c r="P68" i="1"/>
  <c r="O68" i="1"/>
  <c r="N68" i="1"/>
  <c r="M68" i="1"/>
  <c r="L68" i="1"/>
  <c r="K68" i="1"/>
  <c r="J68" i="1"/>
  <c r="I68" i="1"/>
  <c r="H68" i="1"/>
  <c r="G68" i="1"/>
  <c r="F68" i="1"/>
  <c r="E68" i="1"/>
  <c r="D68" i="1"/>
  <c r="C68" i="1"/>
  <c r="A68" i="1"/>
  <c r="Y67" i="1"/>
  <c r="X67" i="1"/>
  <c r="W67" i="1"/>
  <c r="V67" i="1"/>
  <c r="T67" i="1"/>
  <c r="S67" i="1"/>
  <c r="R67" i="1"/>
  <c r="Q67" i="1"/>
  <c r="P67" i="1"/>
  <c r="O67" i="1"/>
  <c r="N67" i="1"/>
  <c r="M67" i="1"/>
  <c r="L67" i="1"/>
  <c r="K67" i="1"/>
  <c r="J67" i="1"/>
  <c r="I67" i="1"/>
  <c r="H67" i="1"/>
  <c r="G67" i="1"/>
  <c r="F67" i="1"/>
  <c r="E67" i="1"/>
  <c r="D67" i="1"/>
  <c r="C67" i="1"/>
  <c r="A67" i="1"/>
  <c r="Y66" i="1"/>
  <c r="X66" i="1"/>
  <c r="W66" i="1"/>
  <c r="V66" i="1"/>
  <c r="T66" i="1"/>
  <c r="R66" i="1"/>
  <c r="Q66" i="1"/>
  <c r="P66" i="1"/>
  <c r="O66" i="1"/>
  <c r="N66" i="1"/>
  <c r="M66" i="1"/>
  <c r="L66" i="1"/>
  <c r="K66" i="1"/>
  <c r="J66" i="1"/>
  <c r="I66" i="1"/>
  <c r="H66" i="1"/>
  <c r="G66" i="1"/>
  <c r="F66" i="1"/>
  <c r="E66" i="1"/>
  <c r="D66" i="1"/>
  <c r="C66" i="1"/>
  <c r="A66" i="1"/>
  <c r="Y65" i="1"/>
  <c r="X65" i="1"/>
  <c r="W65" i="1"/>
  <c r="V65" i="1"/>
  <c r="T65" i="1"/>
  <c r="S65" i="1"/>
  <c r="R65" i="1"/>
  <c r="Q65" i="1"/>
  <c r="P65" i="1"/>
  <c r="O65" i="1"/>
  <c r="N65" i="1"/>
  <c r="M65" i="1"/>
  <c r="L65" i="1"/>
  <c r="K65" i="1"/>
  <c r="J65" i="1"/>
  <c r="I65" i="1"/>
  <c r="H65" i="1"/>
  <c r="G65" i="1"/>
  <c r="F65" i="1"/>
  <c r="E65" i="1"/>
  <c r="D65" i="1"/>
  <c r="C65" i="1"/>
  <c r="A65" i="1"/>
  <c r="Y64" i="1"/>
  <c r="X64" i="1"/>
  <c r="W64" i="1"/>
  <c r="V64" i="1"/>
  <c r="T64" i="1"/>
  <c r="S64" i="1"/>
  <c r="R64" i="1"/>
  <c r="Q64" i="1"/>
  <c r="P64" i="1"/>
  <c r="O64" i="1"/>
  <c r="N64" i="1"/>
  <c r="M64" i="1"/>
  <c r="L64" i="1"/>
  <c r="K64" i="1"/>
  <c r="J64" i="1"/>
  <c r="I64" i="1"/>
  <c r="H64" i="1"/>
  <c r="G64" i="1"/>
  <c r="F64" i="1"/>
  <c r="E64" i="1"/>
  <c r="D64" i="1"/>
  <c r="C64" i="1"/>
  <c r="A64" i="1"/>
  <c r="Y63" i="1"/>
  <c r="X63" i="1"/>
  <c r="W63" i="1"/>
  <c r="V63" i="1"/>
  <c r="T63" i="1"/>
  <c r="S63" i="1"/>
  <c r="R63" i="1"/>
  <c r="Q63" i="1"/>
  <c r="P63" i="1"/>
  <c r="O63" i="1"/>
  <c r="N63" i="1"/>
  <c r="M63" i="1"/>
  <c r="L63" i="1"/>
  <c r="K63" i="1"/>
  <c r="J63" i="1"/>
  <c r="I63" i="1"/>
  <c r="H63" i="1"/>
  <c r="G63" i="1"/>
  <c r="F63" i="1"/>
  <c r="E63" i="1"/>
  <c r="D63" i="1"/>
  <c r="C63" i="1"/>
  <c r="A63" i="1"/>
  <c r="Y62" i="1"/>
  <c r="X62" i="1"/>
  <c r="W62" i="1"/>
  <c r="V62" i="1"/>
  <c r="T62" i="1"/>
  <c r="R62" i="1"/>
  <c r="Q62" i="1"/>
  <c r="P62" i="1"/>
  <c r="O62" i="1"/>
  <c r="N62" i="1"/>
  <c r="M62" i="1"/>
  <c r="L62" i="1"/>
  <c r="K62" i="1"/>
  <c r="J62" i="1"/>
  <c r="I62" i="1"/>
  <c r="H62" i="1"/>
  <c r="G62" i="1"/>
  <c r="F62" i="1"/>
  <c r="E62" i="1"/>
  <c r="D62" i="1"/>
  <c r="C62" i="1"/>
  <c r="A62" i="1"/>
  <c r="Y61" i="1"/>
  <c r="X61" i="1"/>
  <c r="W61" i="1"/>
  <c r="V61" i="1"/>
  <c r="U61" i="1"/>
  <c r="T61" i="1"/>
  <c r="S61" i="1"/>
  <c r="R61" i="1"/>
  <c r="Q61" i="1"/>
  <c r="P61" i="1"/>
  <c r="O61" i="1"/>
  <c r="N61" i="1"/>
  <c r="M61" i="1"/>
  <c r="L61" i="1"/>
  <c r="K61" i="1"/>
  <c r="J61" i="1"/>
  <c r="I61" i="1"/>
  <c r="H61" i="1"/>
  <c r="G61" i="1"/>
  <c r="F61" i="1"/>
  <c r="E61" i="1"/>
  <c r="D61" i="1"/>
  <c r="C61" i="1"/>
  <c r="A61" i="1"/>
  <c r="Y60" i="1"/>
  <c r="X60" i="1"/>
  <c r="W60" i="1"/>
  <c r="V60" i="1"/>
  <c r="T60" i="1"/>
  <c r="S60" i="1"/>
  <c r="R60" i="1"/>
  <c r="Q60" i="1"/>
  <c r="P60" i="1"/>
  <c r="O60" i="1"/>
  <c r="N60" i="1"/>
  <c r="M60" i="1"/>
  <c r="L60" i="1"/>
  <c r="K60" i="1"/>
  <c r="J60" i="1"/>
  <c r="I60" i="1"/>
  <c r="H60" i="1"/>
  <c r="G60" i="1"/>
  <c r="F60" i="1"/>
  <c r="E60" i="1"/>
  <c r="D60" i="1"/>
  <c r="C60" i="1"/>
  <c r="A60" i="1"/>
  <c r="Y59" i="1"/>
  <c r="X59" i="1"/>
  <c r="W59" i="1"/>
  <c r="V59" i="1"/>
  <c r="U59" i="1"/>
  <c r="T59" i="1"/>
  <c r="R59" i="1"/>
  <c r="Q59" i="1"/>
  <c r="P59" i="1"/>
  <c r="O59" i="1"/>
  <c r="N59" i="1"/>
  <c r="M59" i="1"/>
  <c r="L59" i="1"/>
  <c r="K59" i="1"/>
  <c r="J59" i="1"/>
  <c r="I59" i="1"/>
  <c r="H59" i="1"/>
  <c r="G59" i="1"/>
  <c r="F59" i="1"/>
  <c r="E59" i="1"/>
  <c r="D59" i="1"/>
  <c r="C59" i="1"/>
  <c r="A59" i="1"/>
  <c r="Y58" i="1"/>
  <c r="X58" i="1"/>
  <c r="W58" i="1"/>
  <c r="V58" i="1"/>
  <c r="T58" i="1"/>
  <c r="S58" i="1"/>
  <c r="R58" i="1"/>
  <c r="Q58" i="1"/>
  <c r="P58" i="1"/>
  <c r="O58" i="1"/>
  <c r="N58" i="1"/>
  <c r="M58" i="1"/>
  <c r="L58" i="1"/>
  <c r="K58" i="1"/>
  <c r="J58" i="1"/>
  <c r="I58" i="1"/>
  <c r="H58" i="1"/>
  <c r="G58" i="1"/>
  <c r="F58" i="1"/>
  <c r="E58" i="1"/>
  <c r="D58" i="1"/>
  <c r="C58" i="1"/>
  <c r="A58" i="1"/>
  <c r="Y57" i="1"/>
  <c r="X57" i="1"/>
  <c r="W57" i="1"/>
  <c r="V57" i="1"/>
  <c r="U57" i="1"/>
  <c r="T57" i="1"/>
  <c r="R57" i="1"/>
  <c r="Q57" i="1"/>
  <c r="P57" i="1"/>
  <c r="O57" i="1"/>
  <c r="N57" i="1"/>
  <c r="M57" i="1"/>
  <c r="L57" i="1"/>
  <c r="K57" i="1"/>
  <c r="J57" i="1"/>
  <c r="I57" i="1"/>
  <c r="H57" i="1"/>
  <c r="G57" i="1"/>
  <c r="F57" i="1"/>
  <c r="E57" i="1"/>
  <c r="D57" i="1"/>
  <c r="C57" i="1"/>
  <c r="A57" i="1"/>
  <c r="Y56" i="1"/>
  <c r="X56" i="1"/>
  <c r="W56" i="1"/>
  <c r="V56" i="1"/>
  <c r="U56" i="1"/>
  <c r="T56" i="1"/>
  <c r="R56" i="1"/>
  <c r="Q56" i="1"/>
  <c r="P56" i="1"/>
  <c r="O56" i="1"/>
  <c r="N56" i="1"/>
  <c r="M56" i="1"/>
  <c r="L56" i="1"/>
  <c r="K56" i="1"/>
  <c r="J56" i="1"/>
  <c r="I56" i="1"/>
  <c r="H56" i="1"/>
  <c r="G56" i="1"/>
  <c r="F56" i="1"/>
  <c r="E56" i="1"/>
  <c r="D56" i="1"/>
  <c r="C56" i="1"/>
  <c r="A56" i="1"/>
  <c r="Y55" i="1"/>
  <c r="X55" i="1"/>
  <c r="W55" i="1"/>
  <c r="V55" i="1"/>
  <c r="U55" i="1"/>
  <c r="T55" i="1"/>
  <c r="S55" i="1"/>
  <c r="R55" i="1"/>
  <c r="Q55" i="1"/>
  <c r="P55" i="1"/>
  <c r="O55" i="1"/>
  <c r="N55" i="1"/>
  <c r="M55" i="1"/>
  <c r="L55" i="1"/>
  <c r="K55" i="1"/>
  <c r="J55" i="1"/>
  <c r="I55" i="1"/>
  <c r="H55" i="1"/>
  <c r="G55" i="1"/>
  <c r="F55" i="1"/>
  <c r="E55" i="1"/>
  <c r="D55" i="1"/>
  <c r="C55" i="1"/>
  <c r="A55" i="1"/>
  <c r="Y54" i="1"/>
  <c r="X54" i="1"/>
  <c r="W54" i="1"/>
  <c r="V54" i="1"/>
  <c r="T54" i="1"/>
  <c r="S54" i="1"/>
  <c r="R54" i="1"/>
  <c r="Q54" i="1"/>
  <c r="P54" i="1"/>
  <c r="O54" i="1"/>
  <c r="N54" i="1"/>
  <c r="M54" i="1"/>
  <c r="L54" i="1"/>
  <c r="K54" i="1"/>
  <c r="J54" i="1"/>
  <c r="I54" i="1"/>
  <c r="H54" i="1"/>
  <c r="G54" i="1"/>
  <c r="F54" i="1"/>
  <c r="E54" i="1"/>
  <c r="D54" i="1"/>
  <c r="C54" i="1"/>
  <c r="A54" i="1"/>
  <c r="Y53" i="1"/>
  <c r="X53" i="1"/>
  <c r="W53" i="1"/>
  <c r="V53" i="1"/>
  <c r="T53" i="1"/>
  <c r="R53" i="1"/>
  <c r="Q53" i="1"/>
  <c r="P53" i="1"/>
  <c r="O53" i="1"/>
  <c r="N53" i="1"/>
  <c r="M53" i="1"/>
  <c r="L53" i="1"/>
  <c r="K53" i="1"/>
  <c r="J53" i="1"/>
  <c r="I53" i="1"/>
  <c r="H53" i="1"/>
  <c r="G53" i="1"/>
  <c r="F53" i="1"/>
  <c r="E53" i="1"/>
  <c r="D53" i="1"/>
  <c r="C53" i="1"/>
  <c r="A53" i="1"/>
  <c r="Y52" i="1"/>
  <c r="X52" i="1"/>
  <c r="W52" i="1"/>
  <c r="V52" i="1"/>
  <c r="T52" i="1"/>
  <c r="S52" i="1"/>
  <c r="R52" i="1"/>
  <c r="Q52" i="1"/>
  <c r="P52" i="1"/>
  <c r="O52" i="1"/>
  <c r="N52" i="1"/>
  <c r="M52" i="1"/>
  <c r="L52" i="1"/>
  <c r="K52" i="1"/>
  <c r="J52" i="1"/>
  <c r="I52" i="1"/>
  <c r="H52" i="1"/>
  <c r="G52" i="1"/>
  <c r="F52" i="1"/>
  <c r="E52" i="1"/>
  <c r="D52" i="1"/>
  <c r="C52" i="1"/>
  <c r="A52" i="1"/>
  <c r="Y51" i="1"/>
  <c r="X51" i="1"/>
  <c r="W51" i="1"/>
  <c r="V51" i="1"/>
  <c r="T51" i="1"/>
  <c r="S51" i="1"/>
  <c r="R51" i="1"/>
  <c r="Q51" i="1"/>
  <c r="P51" i="1"/>
  <c r="O51" i="1"/>
  <c r="N51" i="1"/>
  <c r="M51" i="1"/>
  <c r="L51" i="1"/>
  <c r="K51" i="1"/>
  <c r="J51" i="1"/>
  <c r="I51" i="1"/>
  <c r="H51" i="1"/>
  <c r="G51" i="1"/>
  <c r="F51" i="1"/>
  <c r="E51" i="1"/>
  <c r="D51" i="1"/>
  <c r="C51" i="1"/>
  <c r="A51" i="1"/>
  <c r="Y50" i="1"/>
  <c r="X50" i="1"/>
  <c r="W50" i="1"/>
  <c r="V50" i="1"/>
  <c r="U50" i="1"/>
  <c r="T50" i="1"/>
  <c r="S50" i="1"/>
  <c r="R50" i="1"/>
  <c r="Q50" i="1"/>
  <c r="P50" i="1"/>
  <c r="O50" i="1"/>
  <c r="N50" i="1"/>
  <c r="M50" i="1"/>
  <c r="L50" i="1"/>
  <c r="K50" i="1"/>
  <c r="J50" i="1"/>
  <c r="I50" i="1"/>
  <c r="H50" i="1"/>
  <c r="G50" i="1"/>
  <c r="F50" i="1"/>
  <c r="E50" i="1"/>
  <c r="D50" i="1"/>
  <c r="C50" i="1"/>
  <c r="A50" i="1"/>
  <c r="Y49" i="1"/>
  <c r="X49" i="1"/>
  <c r="W49" i="1"/>
  <c r="V49" i="1"/>
  <c r="T49" i="1"/>
  <c r="R49" i="1"/>
  <c r="Q49" i="1"/>
  <c r="P49" i="1"/>
  <c r="O49" i="1"/>
  <c r="N49" i="1"/>
  <c r="M49" i="1"/>
  <c r="L49" i="1"/>
  <c r="K49" i="1"/>
  <c r="J49" i="1"/>
  <c r="I49" i="1"/>
  <c r="H49" i="1"/>
  <c r="G49" i="1"/>
  <c r="F49" i="1"/>
  <c r="E49" i="1"/>
  <c r="D49" i="1"/>
  <c r="C49" i="1"/>
  <c r="A49" i="1"/>
  <c r="Y48" i="1"/>
  <c r="X48" i="1"/>
  <c r="W48" i="1"/>
  <c r="V48" i="1"/>
  <c r="U48" i="1"/>
  <c r="T48" i="1"/>
  <c r="S48" i="1"/>
  <c r="R48" i="1"/>
  <c r="Q48" i="1"/>
  <c r="P48" i="1"/>
  <c r="O48" i="1"/>
  <c r="N48" i="1"/>
  <c r="M48" i="1"/>
  <c r="L48" i="1"/>
  <c r="K48" i="1"/>
  <c r="J48" i="1"/>
  <c r="I48" i="1"/>
  <c r="H48" i="1"/>
  <c r="G48" i="1"/>
  <c r="F48" i="1"/>
  <c r="E48" i="1"/>
  <c r="D48" i="1"/>
  <c r="C48" i="1"/>
  <c r="A48" i="1"/>
  <c r="Y47" i="1"/>
  <c r="X47" i="1"/>
  <c r="W47" i="1"/>
  <c r="V47" i="1"/>
  <c r="T47" i="1"/>
  <c r="S47" i="1"/>
  <c r="R47" i="1"/>
  <c r="Q47" i="1"/>
  <c r="P47" i="1"/>
  <c r="O47" i="1"/>
  <c r="N47" i="1"/>
  <c r="M47" i="1"/>
  <c r="L47" i="1"/>
  <c r="K47" i="1"/>
  <c r="J47" i="1"/>
  <c r="I47" i="1"/>
  <c r="H47" i="1"/>
  <c r="G47" i="1"/>
  <c r="F47" i="1"/>
  <c r="E47" i="1"/>
  <c r="D47" i="1"/>
  <c r="C47" i="1"/>
  <c r="A47" i="1"/>
  <c r="Y46" i="1"/>
  <c r="X46" i="1"/>
  <c r="W46" i="1"/>
  <c r="V46" i="1"/>
  <c r="T46" i="1"/>
  <c r="S46" i="1"/>
  <c r="R46" i="1"/>
  <c r="Q46" i="1"/>
  <c r="P46" i="1"/>
  <c r="O46" i="1"/>
  <c r="N46" i="1"/>
  <c r="M46" i="1"/>
  <c r="L46" i="1"/>
  <c r="K46" i="1"/>
  <c r="J46" i="1"/>
  <c r="I46" i="1"/>
  <c r="H46" i="1"/>
  <c r="G46" i="1"/>
  <c r="F46" i="1"/>
  <c r="E46" i="1"/>
  <c r="D46" i="1"/>
  <c r="C46" i="1"/>
  <c r="A46" i="1"/>
  <c r="Y45" i="1"/>
  <c r="X45" i="1"/>
  <c r="W45" i="1"/>
  <c r="V45" i="1"/>
  <c r="U45" i="1"/>
  <c r="T45" i="1"/>
  <c r="R45" i="1"/>
  <c r="Q45" i="1"/>
  <c r="P45" i="1"/>
  <c r="O45" i="1"/>
  <c r="N45" i="1"/>
  <c r="M45" i="1"/>
  <c r="L45" i="1"/>
  <c r="K45" i="1"/>
  <c r="J45" i="1"/>
  <c r="I45" i="1"/>
  <c r="H45" i="1"/>
  <c r="G45" i="1"/>
  <c r="F45" i="1"/>
  <c r="E45" i="1"/>
  <c r="D45" i="1"/>
  <c r="C45" i="1"/>
  <c r="A45" i="1"/>
  <c r="Y44" i="1"/>
  <c r="X44" i="1"/>
  <c r="W44" i="1"/>
  <c r="V44" i="1"/>
  <c r="T44" i="1"/>
  <c r="R44" i="1"/>
  <c r="Q44" i="1"/>
  <c r="P44" i="1"/>
  <c r="O44" i="1"/>
  <c r="N44" i="1"/>
  <c r="M44" i="1"/>
  <c r="L44" i="1"/>
  <c r="K44" i="1"/>
  <c r="J44" i="1"/>
  <c r="I44" i="1"/>
  <c r="H44" i="1"/>
  <c r="G44" i="1"/>
  <c r="F44" i="1"/>
  <c r="E44" i="1"/>
  <c r="D44" i="1"/>
  <c r="C44" i="1"/>
  <c r="A44" i="1"/>
  <c r="Y43" i="1"/>
  <c r="X43" i="1"/>
  <c r="W43" i="1"/>
  <c r="V43" i="1"/>
  <c r="T43" i="1"/>
  <c r="R43" i="1"/>
  <c r="Q43" i="1"/>
  <c r="P43" i="1"/>
  <c r="O43" i="1"/>
  <c r="N43" i="1"/>
  <c r="M43" i="1"/>
  <c r="L43" i="1"/>
  <c r="K43" i="1"/>
  <c r="J43" i="1"/>
  <c r="I43" i="1"/>
  <c r="H43" i="1"/>
  <c r="G43" i="1"/>
  <c r="F43" i="1"/>
  <c r="E43" i="1"/>
  <c r="D43" i="1"/>
  <c r="C43" i="1"/>
  <c r="A43" i="1"/>
  <c r="Y42" i="1"/>
  <c r="X42" i="1"/>
  <c r="W42" i="1"/>
  <c r="V42" i="1"/>
  <c r="T42" i="1"/>
  <c r="S42" i="1"/>
  <c r="R42" i="1"/>
  <c r="Q42" i="1"/>
  <c r="P42" i="1"/>
  <c r="O42" i="1"/>
  <c r="N42" i="1"/>
  <c r="M42" i="1"/>
  <c r="L42" i="1"/>
  <c r="K42" i="1"/>
  <c r="J42" i="1"/>
  <c r="I42" i="1"/>
  <c r="H42" i="1"/>
  <c r="G42" i="1"/>
  <c r="F42" i="1"/>
  <c r="E42" i="1"/>
  <c r="D42" i="1"/>
  <c r="C42" i="1"/>
  <c r="A42" i="1"/>
  <c r="Y41" i="1"/>
  <c r="X41" i="1"/>
  <c r="W41" i="1"/>
  <c r="V41" i="1"/>
  <c r="T41" i="1"/>
  <c r="S41" i="1"/>
  <c r="R41" i="1"/>
  <c r="Q41" i="1"/>
  <c r="P41" i="1"/>
  <c r="O41" i="1"/>
  <c r="N41" i="1"/>
  <c r="M41" i="1"/>
  <c r="L41" i="1"/>
  <c r="K41" i="1"/>
  <c r="J41" i="1"/>
  <c r="I41" i="1"/>
  <c r="H41" i="1"/>
  <c r="G41" i="1"/>
  <c r="F41" i="1"/>
  <c r="E41" i="1"/>
  <c r="D41" i="1"/>
  <c r="C41" i="1"/>
  <c r="A41" i="1"/>
  <c r="Y40" i="1"/>
  <c r="X40" i="1"/>
  <c r="W40" i="1"/>
  <c r="V40" i="1"/>
  <c r="T40" i="1"/>
  <c r="R40" i="1"/>
  <c r="Q40" i="1"/>
  <c r="P40" i="1"/>
  <c r="O40" i="1"/>
  <c r="N40" i="1"/>
  <c r="M40" i="1"/>
  <c r="L40" i="1"/>
  <c r="K40" i="1"/>
  <c r="J40" i="1"/>
  <c r="I40" i="1"/>
  <c r="H40" i="1"/>
  <c r="G40" i="1"/>
  <c r="F40" i="1"/>
  <c r="E40" i="1"/>
  <c r="D40" i="1"/>
  <c r="C40" i="1"/>
  <c r="A40" i="1"/>
  <c r="Y39" i="1"/>
  <c r="X39" i="1"/>
  <c r="W39" i="1"/>
  <c r="V39" i="1"/>
  <c r="U39" i="1"/>
  <c r="T39" i="1"/>
  <c r="S39" i="1"/>
  <c r="R39" i="1"/>
  <c r="Q39" i="1"/>
  <c r="P39" i="1"/>
  <c r="O39" i="1"/>
  <c r="N39" i="1"/>
  <c r="M39" i="1"/>
  <c r="L39" i="1"/>
  <c r="K39" i="1"/>
  <c r="J39" i="1"/>
  <c r="I39" i="1"/>
  <c r="H39" i="1"/>
  <c r="G39" i="1"/>
  <c r="F39" i="1"/>
  <c r="E39" i="1"/>
  <c r="D39" i="1"/>
  <c r="C39" i="1"/>
  <c r="A39" i="1"/>
  <c r="Y38" i="1"/>
  <c r="X38" i="1"/>
  <c r="W38" i="1"/>
  <c r="V38" i="1"/>
  <c r="T38" i="1"/>
  <c r="S38" i="1"/>
  <c r="R38" i="1"/>
  <c r="Q38" i="1"/>
  <c r="P38" i="1"/>
  <c r="O38" i="1"/>
  <c r="N38" i="1"/>
  <c r="M38" i="1"/>
  <c r="L38" i="1"/>
  <c r="K38" i="1"/>
  <c r="J38" i="1"/>
  <c r="I38" i="1"/>
  <c r="H38" i="1"/>
  <c r="G38" i="1"/>
  <c r="F38" i="1"/>
  <c r="E38" i="1"/>
  <c r="D38" i="1"/>
  <c r="C38" i="1"/>
  <c r="A38" i="1"/>
  <c r="Y37" i="1"/>
  <c r="X37" i="1"/>
  <c r="W37" i="1"/>
  <c r="V37" i="1"/>
  <c r="T37" i="1"/>
  <c r="R37" i="1"/>
  <c r="Q37" i="1"/>
  <c r="P37" i="1"/>
  <c r="O37" i="1"/>
  <c r="N37" i="1"/>
  <c r="M37" i="1"/>
  <c r="L37" i="1"/>
  <c r="K37" i="1"/>
  <c r="J37" i="1"/>
  <c r="I37" i="1"/>
  <c r="H37" i="1"/>
  <c r="G37" i="1"/>
  <c r="F37" i="1"/>
  <c r="E37" i="1"/>
  <c r="D37" i="1"/>
  <c r="C37" i="1"/>
  <c r="A37" i="1"/>
  <c r="Y36" i="1"/>
  <c r="X36" i="1"/>
  <c r="W36" i="1"/>
  <c r="V36" i="1"/>
  <c r="T36" i="1"/>
  <c r="R36" i="1"/>
  <c r="Q36" i="1"/>
  <c r="P36" i="1"/>
  <c r="O36" i="1"/>
  <c r="N36" i="1"/>
  <c r="M36" i="1"/>
  <c r="L36" i="1"/>
  <c r="K36" i="1"/>
  <c r="J36" i="1"/>
  <c r="I36" i="1"/>
  <c r="H36" i="1"/>
  <c r="G36" i="1"/>
  <c r="F36" i="1"/>
  <c r="E36" i="1"/>
  <c r="D36" i="1"/>
  <c r="C36" i="1"/>
  <c r="A36" i="1"/>
  <c r="Y35" i="1"/>
  <c r="X35" i="1"/>
  <c r="W35" i="1"/>
  <c r="V35" i="1"/>
  <c r="U35" i="1"/>
  <c r="T35" i="1"/>
  <c r="S35" i="1"/>
  <c r="R35" i="1"/>
  <c r="Q35" i="1"/>
  <c r="P35" i="1"/>
  <c r="O35" i="1"/>
  <c r="N35" i="1"/>
  <c r="M35" i="1"/>
  <c r="L35" i="1"/>
  <c r="K35" i="1"/>
  <c r="J35" i="1"/>
  <c r="I35" i="1"/>
  <c r="H35" i="1"/>
  <c r="G35" i="1"/>
  <c r="F35" i="1"/>
  <c r="E35" i="1"/>
  <c r="D35" i="1"/>
  <c r="C35" i="1"/>
  <c r="A35" i="1"/>
  <c r="Y34" i="1"/>
  <c r="X34" i="1"/>
  <c r="W34" i="1"/>
  <c r="V34" i="1"/>
  <c r="U34" i="1"/>
  <c r="T34" i="1"/>
  <c r="S34" i="1"/>
  <c r="R34" i="1"/>
  <c r="Q34" i="1"/>
  <c r="P34" i="1"/>
  <c r="O34" i="1"/>
  <c r="N34" i="1"/>
  <c r="M34" i="1"/>
  <c r="L34" i="1"/>
  <c r="K34" i="1"/>
  <c r="J34" i="1"/>
  <c r="I34" i="1"/>
  <c r="H34" i="1"/>
  <c r="G34" i="1"/>
  <c r="F34" i="1"/>
  <c r="E34" i="1"/>
  <c r="D34" i="1"/>
  <c r="C34" i="1"/>
  <c r="A34" i="1"/>
  <c r="Y33" i="1"/>
  <c r="X33" i="1"/>
  <c r="W33" i="1"/>
  <c r="V33" i="1"/>
  <c r="T33" i="1"/>
  <c r="S33" i="1"/>
  <c r="R33" i="1"/>
  <c r="Q33" i="1"/>
  <c r="P33" i="1"/>
  <c r="O33" i="1"/>
  <c r="N33" i="1"/>
  <c r="M33" i="1"/>
  <c r="L33" i="1"/>
  <c r="K33" i="1"/>
  <c r="J33" i="1"/>
  <c r="I33" i="1"/>
  <c r="H33" i="1"/>
  <c r="G33" i="1"/>
  <c r="F33" i="1"/>
  <c r="E33" i="1"/>
  <c r="D33" i="1"/>
  <c r="C33" i="1"/>
  <c r="A33" i="1"/>
  <c r="Y32" i="1"/>
  <c r="X32" i="1"/>
  <c r="W32" i="1"/>
  <c r="V32" i="1"/>
  <c r="U32" i="1"/>
  <c r="T32" i="1"/>
  <c r="S32" i="1"/>
  <c r="R32" i="1"/>
  <c r="Q32" i="1"/>
  <c r="P32" i="1"/>
  <c r="O32" i="1"/>
  <c r="N32" i="1"/>
  <c r="M32" i="1"/>
  <c r="L32" i="1"/>
  <c r="K32" i="1"/>
  <c r="J32" i="1"/>
  <c r="I32" i="1"/>
  <c r="H32" i="1"/>
  <c r="G32" i="1"/>
  <c r="F32" i="1"/>
  <c r="E32" i="1"/>
  <c r="D32" i="1"/>
  <c r="C32" i="1"/>
  <c r="A32" i="1"/>
  <c r="Y31" i="1"/>
  <c r="X31" i="1"/>
  <c r="W31" i="1"/>
  <c r="V31" i="1"/>
  <c r="T31" i="1"/>
  <c r="R31" i="1"/>
  <c r="Q31" i="1"/>
  <c r="P31" i="1"/>
  <c r="O31" i="1"/>
  <c r="N31" i="1"/>
  <c r="M31" i="1"/>
  <c r="L31" i="1"/>
  <c r="K31" i="1"/>
  <c r="J31" i="1"/>
  <c r="I31" i="1"/>
  <c r="H31" i="1"/>
  <c r="G31" i="1"/>
  <c r="F31" i="1"/>
  <c r="E31" i="1"/>
  <c r="D31" i="1"/>
  <c r="C31" i="1"/>
  <c r="A31" i="1"/>
  <c r="Y30" i="1"/>
  <c r="X30" i="1"/>
  <c r="W30" i="1"/>
  <c r="V30" i="1"/>
  <c r="T30" i="1"/>
  <c r="R30" i="1"/>
  <c r="Q30" i="1"/>
  <c r="P30" i="1"/>
  <c r="O30" i="1"/>
  <c r="N30" i="1"/>
  <c r="M30" i="1"/>
  <c r="L30" i="1"/>
  <c r="K30" i="1"/>
  <c r="J30" i="1"/>
  <c r="I30" i="1"/>
  <c r="H30" i="1"/>
  <c r="G30" i="1"/>
  <c r="F30" i="1"/>
  <c r="E30" i="1"/>
  <c r="D30" i="1"/>
  <c r="C30" i="1"/>
  <c r="A30" i="1"/>
  <c r="Y29" i="1"/>
  <c r="X29" i="1"/>
  <c r="W29" i="1"/>
  <c r="V29" i="1"/>
  <c r="T29" i="1"/>
  <c r="S29" i="1"/>
  <c r="R29" i="1"/>
  <c r="Q29" i="1"/>
  <c r="P29" i="1"/>
  <c r="O29" i="1"/>
  <c r="N29" i="1"/>
  <c r="M29" i="1"/>
  <c r="L29" i="1"/>
  <c r="K29" i="1"/>
  <c r="J29" i="1"/>
  <c r="I29" i="1"/>
  <c r="H29" i="1"/>
  <c r="G29" i="1"/>
  <c r="F29" i="1"/>
  <c r="E29" i="1"/>
  <c r="D29" i="1"/>
  <c r="C29" i="1"/>
  <c r="A29" i="1"/>
  <c r="Y28" i="1"/>
  <c r="X28" i="1"/>
  <c r="W28" i="1"/>
  <c r="V28" i="1"/>
  <c r="U28" i="1"/>
  <c r="T28" i="1"/>
  <c r="S28" i="1"/>
  <c r="R28" i="1"/>
  <c r="Q28" i="1"/>
  <c r="P28" i="1"/>
  <c r="O28" i="1"/>
  <c r="N28" i="1"/>
  <c r="M28" i="1"/>
  <c r="L28" i="1"/>
  <c r="K28" i="1"/>
  <c r="J28" i="1"/>
  <c r="I28" i="1"/>
  <c r="H28" i="1"/>
  <c r="G28" i="1"/>
  <c r="F28" i="1"/>
  <c r="E28" i="1"/>
  <c r="D28" i="1"/>
  <c r="C28" i="1"/>
  <c r="A28" i="1"/>
  <c r="Y27" i="1"/>
  <c r="X27" i="1"/>
  <c r="W27" i="1"/>
  <c r="V27" i="1"/>
  <c r="T27" i="1"/>
  <c r="S27" i="1"/>
  <c r="R27" i="1"/>
  <c r="Q27" i="1"/>
  <c r="P27" i="1"/>
  <c r="O27" i="1"/>
  <c r="N27" i="1"/>
  <c r="M27" i="1"/>
  <c r="L27" i="1"/>
  <c r="K27" i="1"/>
  <c r="J27" i="1"/>
  <c r="I27" i="1"/>
  <c r="H27" i="1"/>
  <c r="G27" i="1"/>
  <c r="F27" i="1"/>
  <c r="E27" i="1"/>
  <c r="D27" i="1"/>
  <c r="C27" i="1"/>
  <c r="A27" i="1"/>
  <c r="Y26" i="1"/>
  <c r="X26" i="1"/>
  <c r="W26" i="1"/>
  <c r="V26" i="1"/>
  <c r="T26" i="1"/>
  <c r="S26" i="1"/>
  <c r="R26" i="1"/>
  <c r="Q26" i="1"/>
  <c r="P26" i="1"/>
  <c r="O26" i="1"/>
  <c r="N26" i="1"/>
  <c r="M26" i="1"/>
  <c r="L26" i="1"/>
  <c r="K26" i="1"/>
  <c r="J26" i="1"/>
  <c r="I26" i="1"/>
  <c r="H26" i="1"/>
  <c r="G26" i="1"/>
  <c r="F26" i="1"/>
  <c r="E26" i="1"/>
  <c r="D26" i="1"/>
  <c r="C26" i="1"/>
  <c r="A26" i="1"/>
  <c r="Y25" i="1"/>
  <c r="X25" i="1"/>
  <c r="W25" i="1"/>
  <c r="V25" i="1"/>
  <c r="T25" i="1"/>
  <c r="S25" i="1"/>
  <c r="R25" i="1"/>
  <c r="Q25" i="1"/>
  <c r="P25" i="1"/>
  <c r="O25" i="1"/>
  <c r="N25" i="1"/>
  <c r="M25" i="1"/>
  <c r="L25" i="1"/>
  <c r="K25" i="1"/>
  <c r="J25" i="1"/>
  <c r="I25" i="1"/>
  <c r="H25" i="1"/>
  <c r="G25" i="1"/>
  <c r="F25" i="1"/>
  <c r="E25" i="1"/>
  <c r="D25" i="1"/>
  <c r="C25" i="1"/>
  <c r="A25" i="1"/>
  <c r="Y24" i="1"/>
  <c r="X24" i="1"/>
  <c r="W24" i="1"/>
  <c r="V24" i="1"/>
  <c r="T24" i="1"/>
  <c r="S24" i="1"/>
  <c r="R24" i="1"/>
  <c r="Q24" i="1"/>
  <c r="P24" i="1"/>
  <c r="O24" i="1"/>
  <c r="N24" i="1"/>
  <c r="M24" i="1"/>
  <c r="L24" i="1"/>
  <c r="K24" i="1"/>
  <c r="J24" i="1"/>
  <c r="I24" i="1"/>
  <c r="H24" i="1"/>
  <c r="G24" i="1"/>
  <c r="F24" i="1"/>
  <c r="E24" i="1"/>
  <c r="D24" i="1"/>
  <c r="C24" i="1"/>
  <c r="A24" i="1"/>
  <c r="Y23" i="1"/>
  <c r="X23" i="1"/>
  <c r="W23" i="1"/>
  <c r="V23" i="1"/>
  <c r="U23" i="1"/>
  <c r="T23" i="1"/>
  <c r="S23" i="1"/>
  <c r="R23" i="1"/>
  <c r="Q23" i="1"/>
  <c r="P23" i="1"/>
  <c r="O23" i="1"/>
  <c r="N23" i="1"/>
  <c r="M23" i="1"/>
  <c r="L23" i="1"/>
  <c r="K23" i="1"/>
  <c r="J23" i="1"/>
  <c r="I23" i="1"/>
  <c r="H23" i="1"/>
  <c r="G23" i="1"/>
  <c r="F23" i="1"/>
  <c r="E23" i="1"/>
  <c r="D23" i="1"/>
  <c r="C23" i="1"/>
  <c r="A23" i="1"/>
  <c r="Y22" i="1"/>
  <c r="X22" i="1"/>
  <c r="W22" i="1"/>
  <c r="V22" i="1"/>
  <c r="U22" i="1"/>
  <c r="T22" i="1"/>
  <c r="R22" i="1"/>
  <c r="Q22" i="1"/>
  <c r="P22" i="1"/>
  <c r="O22" i="1"/>
  <c r="N22" i="1"/>
  <c r="M22" i="1"/>
  <c r="L22" i="1"/>
  <c r="K22" i="1"/>
  <c r="J22" i="1"/>
  <c r="I22" i="1"/>
  <c r="H22" i="1"/>
  <c r="G22" i="1"/>
  <c r="F22" i="1"/>
  <c r="E22" i="1"/>
  <c r="D22" i="1"/>
  <c r="C22" i="1"/>
  <c r="A22" i="1"/>
  <c r="Y21" i="1"/>
  <c r="X21" i="1"/>
  <c r="W21" i="1"/>
  <c r="V21" i="1"/>
  <c r="T21" i="1"/>
  <c r="S21" i="1"/>
  <c r="R21" i="1"/>
  <c r="Q21" i="1"/>
  <c r="P21" i="1"/>
  <c r="O21" i="1"/>
  <c r="N21" i="1"/>
  <c r="M21" i="1"/>
  <c r="L21" i="1"/>
  <c r="K21" i="1"/>
  <c r="J21" i="1"/>
  <c r="I21" i="1"/>
  <c r="H21" i="1"/>
  <c r="G21" i="1"/>
  <c r="F21" i="1"/>
  <c r="E21" i="1"/>
  <c r="D21" i="1"/>
  <c r="C21" i="1"/>
  <c r="A21" i="1"/>
  <c r="Y20" i="1"/>
  <c r="X20" i="1"/>
  <c r="W20" i="1"/>
  <c r="V20" i="1"/>
  <c r="U20" i="1"/>
  <c r="T20" i="1"/>
  <c r="S20" i="1"/>
  <c r="R20" i="1"/>
  <c r="Q20" i="1"/>
  <c r="P20" i="1"/>
  <c r="O20" i="1"/>
  <c r="N20" i="1"/>
  <c r="M20" i="1"/>
  <c r="L20" i="1"/>
  <c r="K20" i="1"/>
  <c r="J20" i="1"/>
  <c r="I20" i="1"/>
  <c r="H20" i="1"/>
  <c r="G20" i="1"/>
  <c r="F20" i="1"/>
  <c r="E20" i="1"/>
  <c r="D20" i="1"/>
  <c r="C20" i="1"/>
  <c r="A20" i="1"/>
  <c r="Y19" i="1"/>
  <c r="X19" i="1"/>
  <c r="W19" i="1"/>
  <c r="V19" i="1"/>
  <c r="T19" i="1"/>
  <c r="S19" i="1"/>
  <c r="R19" i="1"/>
  <c r="Q19" i="1"/>
  <c r="P19" i="1"/>
  <c r="O19" i="1"/>
  <c r="N19" i="1"/>
  <c r="M19" i="1"/>
  <c r="L19" i="1"/>
  <c r="K19" i="1"/>
  <c r="J19" i="1"/>
  <c r="I19" i="1"/>
  <c r="H19" i="1"/>
  <c r="G19" i="1"/>
  <c r="F19" i="1"/>
  <c r="E19" i="1"/>
  <c r="D19" i="1"/>
  <c r="C19" i="1"/>
  <c r="A19" i="1"/>
  <c r="Y18" i="1"/>
  <c r="X18" i="1"/>
  <c r="W18" i="1"/>
  <c r="V18" i="1"/>
  <c r="T18" i="1"/>
  <c r="S18" i="1"/>
  <c r="R18" i="1"/>
  <c r="Q18" i="1"/>
  <c r="P18" i="1"/>
  <c r="O18" i="1"/>
  <c r="N18" i="1"/>
  <c r="M18" i="1"/>
  <c r="L18" i="1"/>
  <c r="K18" i="1"/>
  <c r="J18" i="1"/>
  <c r="I18" i="1"/>
  <c r="H18" i="1"/>
  <c r="G18" i="1"/>
  <c r="F18" i="1"/>
  <c r="E18" i="1"/>
  <c r="D18" i="1"/>
  <c r="C18" i="1"/>
  <c r="A18" i="1"/>
  <c r="Y17" i="1"/>
  <c r="X17" i="1"/>
  <c r="W17" i="1"/>
  <c r="V17" i="1"/>
  <c r="T17" i="1"/>
  <c r="S17" i="1"/>
  <c r="R17" i="1"/>
  <c r="Q17" i="1"/>
  <c r="P17" i="1"/>
  <c r="O17" i="1"/>
  <c r="N17" i="1"/>
  <c r="M17" i="1"/>
  <c r="L17" i="1"/>
  <c r="K17" i="1"/>
  <c r="J17" i="1"/>
  <c r="I17" i="1"/>
  <c r="H17" i="1"/>
  <c r="G17" i="1"/>
  <c r="F17" i="1"/>
  <c r="E17" i="1"/>
  <c r="D17" i="1"/>
  <c r="C17" i="1"/>
  <c r="A17" i="1"/>
  <c r="Y16" i="1"/>
  <c r="X16" i="1"/>
  <c r="W16" i="1"/>
  <c r="V16" i="1"/>
  <c r="T16" i="1"/>
  <c r="S16" i="1"/>
  <c r="R16" i="1"/>
  <c r="Q16" i="1"/>
  <c r="P16" i="1"/>
  <c r="O16" i="1"/>
  <c r="N16" i="1"/>
  <c r="M16" i="1"/>
  <c r="L16" i="1"/>
  <c r="K16" i="1"/>
  <c r="J16" i="1"/>
  <c r="I16" i="1"/>
  <c r="H16" i="1"/>
  <c r="G16" i="1"/>
  <c r="F16" i="1"/>
  <c r="E16" i="1"/>
  <c r="D16" i="1"/>
  <c r="C16" i="1"/>
  <c r="A16" i="1"/>
  <c r="Y15" i="1"/>
  <c r="X15" i="1"/>
  <c r="W15" i="1"/>
  <c r="V15" i="1"/>
  <c r="T15" i="1"/>
  <c r="R15" i="1"/>
  <c r="Q15" i="1"/>
  <c r="P15" i="1"/>
  <c r="O15" i="1"/>
  <c r="N15" i="1"/>
  <c r="M15" i="1"/>
  <c r="L15" i="1"/>
  <c r="K15" i="1"/>
  <c r="J15" i="1"/>
  <c r="I15" i="1"/>
  <c r="H15" i="1"/>
  <c r="G15" i="1"/>
  <c r="F15" i="1"/>
  <c r="E15" i="1"/>
  <c r="D15" i="1"/>
  <c r="C15" i="1"/>
  <c r="A15" i="1"/>
  <c r="Y14" i="1"/>
  <c r="X14" i="1"/>
  <c r="W14" i="1"/>
  <c r="V14" i="1"/>
  <c r="T14" i="1"/>
  <c r="S14" i="1"/>
  <c r="R14" i="1"/>
  <c r="Q14" i="1"/>
  <c r="P14" i="1"/>
  <c r="O14" i="1"/>
  <c r="N14" i="1"/>
  <c r="M14" i="1"/>
  <c r="L14" i="1"/>
  <c r="K14" i="1"/>
  <c r="J14" i="1"/>
  <c r="I14" i="1"/>
  <c r="H14" i="1"/>
  <c r="G14" i="1"/>
  <c r="F14" i="1"/>
  <c r="E14" i="1"/>
  <c r="D14" i="1"/>
  <c r="C14" i="1"/>
  <c r="A14" i="1"/>
  <c r="Y13" i="1"/>
  <c r="X13" i="1"/>
  <c r="W13" i="1"/>
  <c r="V13" i="1"/>
  <c r="T13" i="1"/>
  <c r="R13" i="1"/>
  <c r="Q13" i="1"/>
  <c r="P13" i="1"/>
  <c r="O13" i="1"/>
  <c r="N13" i="1"/>
  <c r="M13" i="1"/>
  <c r="L13" i="1"/>
  <c r="K13" i="1"/>
  <c r="J13" i="1"/>
  <c r="I13" i="1"/>
  <c r="H13" i="1"/>
  <c r="G13" i="1"/>
  <c r="F13" i="1"/>
  <c r="E13" i="1"/>
  <c r="D13" i="1"/>
  <c r="C13" i="1"/>
  <c r="A13" i="1"/>
  <c r="Y12" i="1"/>
  <c r="X12" i="1"/>
  <c r="W12" i="1"/>
  <c r="V12" i="1"/>
  <c r="T12" i="1"/>
  <c r="R12" i="1"/>
  <c r="Q12" i="1"/>
  <c r="P12" i="1"/>
  <c r="O12" i="1"/>
  <c r="N12" i="1"/>
  <c r="M12" i="1"/>
  <c r="L12" i="1"/>
  <c r="K12" i="1"/>
  <c r="J12" i="1"/>
  <c r="I12" i="1"/>
  <c r="H12" i="1"/>
  <c r="G12" i="1"/>
  <c r="F12" i="1"/>
  <c r="E12" i="1"/>
  <c r="D12" i="1"/>
  <c r="C12" i="1"/>
  <c r="A12" i="1"/>
  <c r="Y11" i="1"/>
  <c r="X11" i="1"/>
  <c r="W11" i="1"/>
  <c r="V11" i="1"/>
  <c r="U11" i="1"/>
  <c r="T11" i="1"/>
  <c r="S11" i="1"/>
  <c r="R11" i="1"/>
  <c r="Q11" i="1"/>
  <c r="P11" i="1"/>
  <c r="O11" i="1"/>
  <c r="N11" i="1"/>
  <c r="M11" i="1"/>
  <c r="L11" i="1"/>
  <c r="K11" i="1"/>
  <c r="J11" i="1"/>
  <c r="I11" i="1"/>
  <c r="H11" i="1"/>
  <c r="G11" i="1"/>
  <c r="F11" i="1"/>
  <c r="E11" i="1"/>
  <c r="D11" i="1"/>
  <c r="C11" i="1"/>
  <c r="A11" i="1"/>
  <c r="Y10" i="1"/>
  <c r="X10" i="1"/>
  <c r="W10" i="1"/>
  <c r="V10" i="1"/>
  <c r="U10" i="1"/>
  <c r="T10" i="1"/>
  <c r="S10" i="1"/>
  <c r="R10" i="1"/>
  <c r="Q10" i="1"/>
  <c r="P10" i="1"/>
  <c r="O10" i="1"/>
  <c r="N10" i="1"/>
  <c r="M10" i="1"/>
  <c r="L10" i="1"/>
  <c r="K10" i="1"/>
  <c r="J10" i="1"/>
  <c r="I10" i="1"/>
  <c r="H10" i="1"/>
  <c r="G10" i="1"/>
  <c r="F10" i="1"/>
  <c r="E10" i="1"/>
  <c r="D10" i="1"/>
  <c r="C10" i="1"/>
  <c r="A10" i="1"/>
  <c r="Y9" i="1"/>
  <c r="X9" i="1"/>
  <c r="W9" i="1"/>
  <c r="V9" i="1"/>
  <c r="T9" i="1"/>
  <c r="S9" i="1"/>
  <c r="R9" i="1"/>
  <c r="Q9" i="1"/>
  <c r="P9" i="1"/>
  <c r="O9" i="1"/>
  <c r="N9" i="1"/>
  <c r="M9" i="1"/>
  <c r="L9" i="1"/>
  <c r="K9" i="1"/>
  <c r="J9" i="1"/>
  <c r="I9" i="1"/>
  <c r="H9" i="1"/>
  <c r="G9" i="1"/>
  <c r="F9" i="1"/>
  <c r="E9" i="1"/>
  <c r="D9" i="1"/>
  <c r="C9" i="1"/>
  <c r="A9" i="1"/>
  <c r="Y8" i="1"/>
  <c r="X8" i="1"/>
  <c r="W8" i="1"/>
  <c r="V8" i="1"/>
  <c r="T8" i="1"/>
  <c r="S8" i="1"/>
  <c r="R8" i="1"/>
  <c r="Q8" i="1"/>
  <c r="P8" i="1"/>
  <c r="O8" i="1"/>
  <c r="N8" i="1"/>
  <c r="M8" i="1"/>
  <c r="L8" i="1"/>
  <c r="K8" i="1"/>
  <c r="J8" i="1"/>
  <c r="I8" i="1"/>
  <c r="H8" i="1"/>
  <c r="G8" i="1"/>
  <c r="F8" i="1"/>
  <c r="E8" i="1"/>
  <c r="D8" i="1"/>
  <c r="C8" i="1"/>
  <c r="A8" i="1"/>
  <c r="Y7" i="1"/>
  <c r="X7" i="1"/>
  <c r="W7" i="1"/>
  <c r="V7" i="1"/>
  <c r="T7" i="1"/>
  <c r="S7" i="1"/>
  <c r="R7" i="1"/>
  <c r="Q7" i="1"/>
  <c r="P7" i="1"/>
  <c r="O7" i="1"/>
  <c r="N7" i="1"/>
  <c r="M7" i="1"/>
  <c r="L7" i="1"/>
  <c r="K7" i="1"/>
  <c r="J7" i="1"/>
  <c r="I7" i="1"/>
  <c r="H7" i="1"/>
  <c r="G7" i="1"/>
  <c r="F7" i="1"/>
  <c r="E7" i="1"/>
  <c r="D7" i="1"/>
  <c r="C7" i="1"/>
  <c r="A7" i="1"/>
  <c r="Y6" i="1"/>
  <c r="X6" i="1"/>
  <c r="W6" i="1"/>
  <c r="V6" i="1"/>
  <c r="T6" i="1"/>
  <c r="R6" i="1"/>
  <c r="Q6" i="1"/>
  <c r="P6" i="1"/>
  <c r="O6" i="1"/>
  <c r="N6" i="1"/>
  <c r="M6" i="1"/>
  <c r="L6" i="1"/>
  <c r="K6" i="1"/>
  <c r="J6" i="1"/>
  <c r="I6" i="1"/>
  <c r="H6" i="1"/>
  <c r="G6" i="1"/>
  <c r="F6" i="1"/>
  <c r="E6" i="1"/>
  <c r="D6" i="1"/>
  <c r="C6" i="1"/>
  <c r="A6" i="1"/>
  <c r="Y5" i="1"/>
  <c r="X5" i="1"/>
  <c r="W5" i="1"/>
  <c r="V5" i="1"/>
  <c r="T5" i="1"/>
  <c r="R5" i="1"/>
  <c r="Q5" i="1"/>
  <c r="P5" i="1"/>
  <c r="O5" i="1"/>
  <c r="N5" i="1"/>
  <c r="M5" i="1"/>
  <c r="L5" i="1"/>
  <c r="K5" i="1"/>
  <c r="J5" i="1"/>
  <c r="I5" i="1"/>
  <c r="H5" i="1"/>
  <c r="G5" i="1"/>
  <c r="F5" i="1"/>
  <c r="E5" i="1"/>
  <c r="D5" i="1"/>
  <c r="C5" i="1"/>
  <c r="A5" i="1"/>
  <c r="Y4" i="1"/>
  <c r="X4" i="1"/>
  <c r="W4" i="1"/>
  <c r="V4" i="1"/>
  <c r="U4" i="1"/>
  <c r="T4" i="1"/>
  <c r="R4" i="1"/>
  <c r="Q4" i="1"/>
  <c r="P4" i="1"/>
  <c r="O4" i="1"/>
  <c r="N4" i="1"/>
  <c r="M4" i="1"/>
  <c r="L4" i="1"/>
  <c r="K4" i="1"/>
  <c r="J4" i="1"/>
  <c r="I4" i="1"/>
  <c r="H4" i="1"/>
  <c r="G4" i="1"/>
  <c r="F4" i="1"/>
  <c r="E4" i="1"/>
  <c r="D4" i="1"/>
  <c r="C4" i="1"/>
  <c r="B2" i="2" s="1" a="1"/>
  <c r="A4" i="1"/>
  <c r="Y3" i="1"/>
  <c r="X3" i="1"/>
  <c r="W3" i="1"/>
  <c r="V3" i="1"/>
  <c r="U3" i="1"/>
  <c r="T3" i="1"/>
  <c r="S3" i="1"/>
  <c r="R3" i="1"/>
  <c r="Q3" i="1"/>
  <c r="P3" i="1"/>
  <c r="O3" i="1"/>
  <c r="N3" i="1"/>
  <c r="M3" i="1"/>
  <c r="L3" i="1"/>
  <c r="K3" i="1"/>
  <c r="J3" i="1"/>
  <c r="I3" i="1"/>
  <c r="H3" i="1"/>
  <c r="G3" i="1"/>
  <c r="F3" i="1"/>
  <c r="E3" i="1"/>
  <c r="D3" i="1"/>
  <c r="C3" i="1"/>
  <c r="B3" i="1"/>
  <c r="A3" i="1"/>
  <c r="Y298" i="2" l="1"/>
  <c r="Q298" i="2"/>
  <c r="I298" i="2"/>
  <c r="Y297" i="2"/>
  <c r="Q297" i="2"/>
  <c r="I297" i="2"/>
  <c r="Y296" i="2"/>
  <c r="Q296" i="2"/>
  <c r="I296" i="2"/>
  <c r="Y295" i="2"/>
  <c r="Q295" i="2"/>
  <c r="I295" i="2"/>
  <c r="Y294" i="2"/>
  <c r="Q294" i="2"/>
  <c r="I294" i="2"/>
  <c r="Y293" i="2"/>
  <c r="Q293" i="2"/>
  <c r="I293" i="2"/>
  <c r="Y292" i="2"/>
  <c r="Q292" i="2"/>
  <c r="I292" i="2"/>
  <c r="Y291" i="2"/>
  <c r="Q291" i="2"/>
  <c r="I291" i="2"/>
  <c r="Y290" i="2"/>
  <c r="Q290" i="2"/>
  <c r="I290" i="2"/>
  <c r="Y289" i="2"/>
  <c r="Q289" i="2"/>
  <c r="I289" i="2"/>
  <c r="Y288" i="2"/>
  <c r="Q288" i="2"/>
  <c r="I288" i="2"/>
  <c r="Y287" i="2"/>
  <c r="Q287" i="2"/>
  <c r="I287" i="2"/>
  <c r="Y286" i="2"/>
  <c r="Q286" i="2"/>
  <c r="I286" i="2"/>
  <c r="Y285" i="2"/>
  <c r="Q285" i="2"/>
  <c r="I285" i="2"/>
  <c r="Y284" i="2"/>
  <c r="Q284" i="2"/>
  <c r="I284" i="2"/>
  <c r="Y283" i="2"/>
  <c r="Q283" i="2"/>
  <c r="I283" i="2"/>
  <c r="Y282" i="2"/>
  <c r="Q282" i="2"/>
  <c r="I282" i="2"/>
  <c r="Y281" i="2"/>
  <c r="Q281" i="2"/>
  <c r="I281" i="2"/>
  <c r="Y280" i="2"/>
  <c r="Q280" i="2"/>
  <c r="I280" i="2"/>
  <c r="Y279" i="2"/>
  <c r="Q279" i="2"/>
  <c r="I279" i="2"/>
  <c r="Y278" i="2"/>
  <c r="Q278" i="2"/>
  <c r="I278" i="2"/>
  <c r="Y277" i="2"/>
  <c r="Q277" i="2"/>
  <c r="I277" i="2"/>
  <c r="Y276" i="2"/>
  <c r="Q276" i="2"/>
  <c r="I276" i="2"/>
  <c r="Y275" i="2"/>
  <c r="Q275" i="2"/>
  <c r="I275" i="2"/>
  <c r="Y274" i="2"/>
  <c r="Q274" i="2"/>
  <c r="I274" i="2"/>
  <c r="Y273" i="2"/>
  <c r="Q273" i="2"/>
  <c r="I273" i="2"/>
  <c r="Y272" i="2"/>
  <c r="Q272" i="2"/>
  <c r="I272" i="2"/>
  <c r="Y271" i="2"/>
  <c r="Q271" i="2"/>
  <c r="I271" i="2"/>
  <c r="Y270" i="2"/>
  <c r="X298" i="2"/>
  <c r="W298" i="2"/>
  <c r="V298" i="2"/>
  <c r="U298" i="2"/>
  <c r="T298" i="2"/>
  <c r="S298" i="2"/>
  <c r="K298" i="2"/>
  <c r="C298" i="2"/>
  <c r="S297" i="2"/>
  <c r="K297" i="2"/>
  <c r="C297" i="2"/>
  <c r="S296" i="2"/>
  <c r="K296" i="2"/>
  <c r="C296" i="2"/>
  <c r="S295" i="2"/>
  <c r="K295" i="2"/>
  <c r="C295" i="2"/>
  <c r="S294" i="2"/>
  <c r="K294" i="2"/>
  <c r="C294" i="2"/>
  <c r="S293" i="2"/>
  <c r="K293" i="2"/>
  <c r="C293" i="2"/>
  <c r="S292" i="2"/>
  <c r="K292" i="2"/>
  <c r="C292" i="2"/>
  <c r="S291" i="2"/>
  <c r="K291" i="2"/>
  <c r="C291" i="2"/>
  <c r="S290" i="2"/>
  <c r="K290" i="2"/>
  <c r="C290" i="2"/>
  <c r="S289" i="2"/>
  <c r="K289" i="2"/>
  <c r="C289" i="2"/>
  <c r="S288" i="2"/>
  <c r="K288" i="2"/>
  <c r="C288" i="2"/>
  <c r="S287" i="2"/>
  <c r="K287" i="2"/>
  <c r="C287" i="2"/>
  <c r="S286" i="2"/>
  <c r="K286" i="2"/>
  <c r="C286" i="2"/>
  <c r="S285" i="2"/>
  <c r="K285" i="2"/>
  <c r="C285" i="2"/>
  <c r="S284" i="2"/>
  <c r="K284" i="2"/>
  <c r="C284" i="2"/>
  <c r="S283" i="2"/>
  <c r="K283" i="2"/>
  <c r="C283" i="2"/>
  <c r="S282" i="2"/>
  <c r="K282" i="2"/>
  <c r="C282" i="2"/>
  <c r="S281" i="2"/>
  <c r="K281" i="2"/>
  <c r="C281" i="2"/>
  <c r="S280" i="2"/>
  <c r="K280" i="2"/>
  <c r="C280" i="2"/>
  <c r="S279" i="2"/>
  <c r="K279" i="2"/>
  <c r="C279" i="2"/>
  <c r="S278" i="2"/>
  <c r="K278" i="2"/>
  <c r="C278" i="2"/>
  <c r="S277" i="2"/>
  <c r="K277" i="2"/>
  <c r="C277" i="2"/>
  <c r="S276" i="2"/>
  <c r="K276" i="2"/>
  <c r="C276" i="2"/>
  <c r="S275" i="2"/>
  <c r="K275" i="2"/>
  <c r="C275" i="2"/>
  <c r="S274" i="2"/>
  <c r="K274" i="2"/>
  <c r="C274" i="2"/>
  <c r="S273" i="2"/>
  <c r="K273" i="2"/>
  <c r="C273" i="2"/>
  <c r="S272" i="2"/>
  <c r="K272" i="2"/>
  <c r="C272" i="2"/>
  <c r="S271" i="2"/>
  <c r="R298" i="2"/>
  <c r="L298" i="2"/>
  <c r="X297" i="2"/>
  <c r="N297" i="2"/>
  <c r="D297" i="2"/>
  <c r="P296" i="2"/>
  <c r="F296" i="2"/>
  <c r="T295" i="2"/>
  <c r="H295" i="2"/>
  <c r="V294" i="2"/>
  <c r="L294" i="2"/>
  <c r="X293" i="2"/>
  <c r="N293" i="2"/>
  <c r="D293" i="2"/>
  <c r="P292" i="2"/>
  <c r="F292" i="2"/>
  <c r="T291" i="2"/>
  <c r="H291" i="2"/>
  <c r="V290" i="2"/>
  <c r="L290" i="2"/>
  <c r="X289" i="2"/>
  <c r="N289" i="2"/>
  <c r="D289" i="2"/>
  <c r="P288" i="2"/>
  <c r="F288" i="2"/>
  <c r="T287" i="2"/>
  <c r="H287" i="2"/>
  <c r="V286" i="2"/>
  <c r="L286" i="2"/>
  <c r="X285" i="2"/>
  <c r="N285" i="2"/>
  <c r="D285" i="2"/>
  <c r="P284" i="2"/>
  <c r="F284" i="2"/>
  <c r="T283" i="2"/>
  <c r="H283" i="2"/>
  <c r="V282" i="2"/>
  <c r="L282" i="2"/>
  <c r="X281" i="2"/>
  <c r="N281" i="2"/>
  <c r="D281" i="2"/>
  <c r="P280" i="2"/>
  <c r="F280" i="2"/>
  <c r="T279" i="2"/>
  <c r="H279" i="2"/>
  <c r="V278" i="2"/>
  <c r="L278" i="2"/>
  <c r="X277" i="2"/>
  <c r="N277" i="2"/>
  <c r="D277" i="2"/>
  <c r="P276" i="2"/>
  <c r="F276" i="2"/>
  <c r="T275" i="2"/>
  <c r="H275" i="2"/>
  <c r="V274" i="2"/>
  <c r="L274" i="2"/>
  <c r="X273" i="2"/>
  <c r="N273" i="2"/>
  <c r="D273" i="2"/>
  <c r="P272" i="2"/>
  <c r="F272" i="2"/>
  <c r="T271" i="2"/>
  <c r="J271" i="2"/>
  <c r="X270" i="2"/>
  <c r="P270" i="2"/>
  <c r="H270" i="2"/>
  <c r="X269" i="2"/>
  <c r="P269" i="2"/>
  <c r="H269" i="2"/>
  <c r="X268" i="2"/>
  <c r="P268" i="2"/>
  <c r="H268" i="2"/>
  <c r="X267" i="2"/>
  <c r="P267" i="2"/>
  <c r="H267" i="2"/>
  <c r="X266" i="2"/>
  <c r="P266" i="2"/>
  <c r="H266" i="2"/>
  <c r="X265" i="2"/>
  <c r="P265" i="2"/>
  <c r="H265" i="2"/>
  <c r="X264" i="2"/>
  <c r="P264" i="2"/>
  <c r="H264" i="2"/>
  <c r="X263" i="2"/>
  <c r="P263" i="2"/>
  <c r="G298" i="2"/>
  <c r="U297" i="2"/>
  <c r="J297" i="2"/>
  <c r="W296" i="2"/>
  <c r="M296" i="2"/>
  <c r="B296" i="2"/>
  <c r="O295" i="2"/>
  <c r="E295" i="2"/>
  <c r="R294" i="2"/>
  <c r="G294" i="2"/>
  <c r="U293" i="2"/>
  <c r="J293" i="2"/>
  <c r="W292" i="2"/>
  <c r="M292" i="2"/>
  <c r="B292" i="2"/>
  <c r="O291" i="2"/>
  <c r="E291" i="2"/>
  <c r="R290" i="2"/>
  <c r="G290" i="2"/>
  <c r="U289" i="2"/>
  <c r="N298" i="2"/>
  <c r="W297" i="2"/>
  <c r="H297" i="2"/>
  <c r="T296" i="2"/>
  <c r="E296" i="2"/>
  <c r="N295" i="2"/>
  <c r="X294" i="2"/>
  <c r="J294" i="2"/>
  <c r="T293" i="2"/>
  <c r="F293" i="2"/>
  <c r="O292" i="2"/>
  <c r="X291" i="2"/>
  <c r="L291" i="2"/>
  <c r="U290" i="2"/>
  <c r="F290" i="2"/>
  <c r="P289" i="2"/>
  <c r="E289" i="2"/>
  <c r="O288" i="2"/>
  <c r="D288" i="2"/>
  <c r="O287" i="2"/>
  <c r="D287" i="2"/>
  <c r="O286" i="2"/>
  <c r="D286" i="2"/>
  <c r="O285" i="2"/>
  <c r="B285" i="2"/>
  <c r="N284" i="2"/>
  <c r="B284" i="2"/>
  <c r="N283" i="2"/>
  <c r="B283" i="2"/>
  <c r="N282" i="2"/>
  <c r="B282" i="2"/>
  <c r="M281" i="2"/>
  <c r="X280" i="2"/>
  <c r="M280" i="2"/>
  <c r="X279" i="2"/>
  <c r="M279" i="2"/>
  <c r="X278" i="2"/>
  <c r="M278" i="2"/>
  <c r="W277" i="2"/>
  <c r="L277" i="2"/>
  <c r="W276" i="2"/>
  <c r="L276" i="2"/>
  <c r="W275" i="2"/>
  <c r="L275" i="2"/>
  <c r="W274" i="2"/>
  <c r="J274" i="2"/>
  <c r="V273" i="2"/>
  <c r="J273" i="2"/>
  <c r="V272" i="2"/>
  <c r="J272" i="2"/>
  <c r="V271" i="2"/>
  <c r="K271" i="2"/>
  <c r="W270" i="2"/>
  <c r="N270" i="2"/>
  <c r="E270" i="2"/>
  <c r="T269" i="2"/>
  <c r="K269" i="2"/>
  <c r="B269" i="2"/>
  <c r="Q268" i="2"/>
  <c r="G268" i="2"/>
  <c r="V267" i="2"/>
  <c r="M267" i="2"/>
  <c r="D267" i="2"/>
  <c r="S266" i="2"/>
  <c r="J266" i="2"/>
  <c r="Y265" i="2"/>
  <c r="O265" i="2"/>
  <c r="F265" i="2"/>
  <c r="U264" i="2"/>
  <c r="L264" i="2"/>
  <c r="C264" i="2"/>
  <c r="R263" i="2"/>
  <c r="I263" i="2"/>
  <c r="Y262" i="2"/>
  <c r="Q262" i="2"/>
  <c r="I262" i="2"/>
  <c r="Y261" i="2"/>
  <c r="Q261" i="2"/>
  <c r="I261" i="2"/>
  <c r="Y260" i="2"/>
  <c r="Q260" i="2"/>
  <c r="I260" i="2"/>
  <c r="Y259" i="2"/>
  <c r="Q259" i="2"/>
  <c r="I259" i="2"/>
  <c r="M298" i="2"/>
  <c r="V297" i="2"/>
  <c r="G297" i="2"/>
  <c r="R296" i="2"/>
  <c r="D296" i="2"/>
  <c r="M295" i="2"/>
  <c r="W294" i="2"/>
  <c r="H294" i="2"/>
  <c r="R293" i="2"/>
  <c r="E293" i="2"/>
  <c r="N292" i="2"/>
  <c r="W291" i="2"/>
  <c r="J291" i="2"/>
  <c r="T290" i="2"/>
  <c r="E290" i="2"/>
  <c r="O289" i="2"/>
  <c r="B289" i="2"/>
  <c r="N288" i="2"/>
  <c r="B288" i="2"/>
  <c r="N287" i="2"/>
  <c r="B287" i="2"/>
  <c r="N286" i="2"/>
  <c r="B286" i="2"/>
  <c r="M285" i="2"/>
  <c r="X284" i="2"/>
  <c r="M284" i="2"/>
  <c r="X283" i="2"/>
  <c r="M283" i="2"/>
  <c r="X282" i="2"/>
  <c r="M282" i="2"/>
  <c r="W281" i="2"/>
  <c r="L281" i="2"/>
  <c r="W280" i="2"/>
  <c r="L280" i="2"/>
  <c r="W279" i="2"/>
  <c r="L279" i="2"/>
  <c r="W278" i="2"/>
  <c r="J278" i="2"/>
  <c r="V277" i="2"/>
  <c r="J277" i="2"/>
  <c r="V276" i="2"/>
  <c r="J276" i="2"/>
  <c r="V275" i="2"/>
  <c r="J275" i="2"/>
  <c r="U274" i="2"/>
  <c r="H274" i="2"/>
  <c r="U273" i="2"/>
  <c r="H273" i="2"/>
  <c r="U272" i="2"/>
  <c r="H272" i="2"/>
  <c r="U271" i="2"/>
  <c r="H271" i="2"/>
  <c r="V270" i="2"/>
  <c r="M270" i="2"/>
  <c r="D270" i="2"/>
  <c r="S269" i="2"/>
  <c r="J269" i="2"/>
  <c r="Y268" i="2"/>
  <c r="O268" i="2"/>
  <c r="F268" i="2"/>
  <c r="U267" i="2"/>
  <c r="L267" i="2"/>
  <c r="C267" i="2"/>
  <c r="R266" i="2"/>
  <c r="I266" i="2"/>
  <c r="W265" i="2"/>
  <c r="N265" i="2"/>
  <c r="E265" i="2"/>
  <c r="T264" i="2"/>
  <c r="K264" i="2"/>
  <c r="B264" i="2"/>
  <c r="Q263" i="2"/>
  <c r="H263" i="2"/>
  <c r="X262" i="2"/>
  <c r="P262" i="2"/>
  <c r="H262" i="2"/>
  <c r="X261" i="2"/>
  <c r="P261" i="2"/>
  <c r="H261" i="2"/>
  <c r="X260" i="2"/>
  <c r="P260" i="2"/>
  <c r="H260" i="2"/>
  <c r="X259" i="2"/>
  <c r="P259" i="2"/>
  <c r="H259" i="2"/>
  <c r="H298" i="2"/>
  <c r="R297" i="2"/>
  <c r="E297" i="2"/>
  <c r="N296" i="2"/>
  <c r="W295" i="2"/>
  <c r="J295" i="2"/>
  <c r="T294" i="2"/>
  <c r="E294" i="2"/>
  <c r="O293" i="2"/>
  <c r="X292" i="2"/>
  <c r="J292" i="2"/>
  <c r="U291" i="2"/>
  <c r="F291" i="2"/>
  <c r="O290" i="2"/>
  <c r="B290" i="2"/>
  <c r="L289" i="2"/>
  <c r="W288" i="2"/>
  <c r="L288" i="2"/>
  <c r="W287" i="2"/>
  <c r="L287" i="2"/>
  <c r="W286" i="2"/>
  <c r="J286" i="2"/>
  <c r="V285" i="2"/>
  <c r="J285" i="2"/>
  <c r="V284" i="2"/>
  <c r="J284" i="2"/>
  <c r="V283" i="2"/>
  <c r="J283" i="2"/>
  <c r="U282" i="2"/>
  <c r="H282" i="2"/>
  <c r="U281" i="2"/>
  <c r="H281" i="2"/>
  <c r="U280" i="2"/>
  <c r="H280" i="2"/>
  <c r="U279" i="2"/>
  <c r="G279" i="2"/>
  <c r="T278" i="2"/>
  <c r="G278" i="2"/>
  <c r="F298" i="2"/>
  <c r="P297" i="2"/>
  <c r="B297" i="2"/>
  <c r="L296" i="2"/>
  <c r="V295" i="2"/>
  <c r="G295" i="2"/>
  <c r="P294" i="2"/>
  <c r="D294" i="2"/>
  <c r="M293" i="2"/>
  <c r="V292" i="2"/>
  <c r="H292" i="2"/>
  <c r="R291" i="2"/>
  <c r="D291" i="2"/>
  <c r="N290" i="2"/>
  <c r="W289" i="2"/>
  <c r="J289" i="2"/>
  <c r="V288" i="2"/>
  <c r="J288" i="2"/>
  <c r="V287" i="2"/>
  <c r="J287" i="2"/>
  <c r="U286" i="2"/>
  <c r="H286" i="2"/>
  <c r="U285" i="2"/>
  <c r="H285" i="2"/>
  <c r="U284" i="2"/>
  <c r="H284" i="2"/>
  <c r="U283" i="2"/>
  <c r="G283" i="2"/>
  <c r="T282" i="2"/>
  <c r="G282" i="2"/>
  <c r="T281" i="2"/>
  <c r="G281" i="2"/>
  <c r="T280" i="2"/>
  <c r="G280" i="2"/>
  <c r="R279" i="2"/>
  <c r="F279" i="2"/>
  <c r="R278" i="2"/>
  <c r="F278" i="2"/>
  <c r="R277" i="2"/>
  <c r="F277" i="2"/>
  <c r="R276" i="2"/>
  <c r="P298" i="2"/>
  <c r="M297" i="2"/>
  <c r="H296" i="2"/>
  <c r="D295" i="2"/>
  <c r="W293" i="2"/>
  <c r="T292" i="2"/>
  <c r="N291" i="2"/>
  <c r="J290" i="2"/>
  <c r="G289" i="2"/>
  <c r="G288" i="2"/>
  <c r="F287" i="2"/>
  <c r="F286" i="2"/>
  <c r="F285" i="2"/>
  <c r="E284" i="2"/>
  <c r="E283" i="2"/>
  <c r="E282" i="2"/>
  <c r="E281" i="2"/>
  <c r="D280" i="2"/>
  <c r="D279" i="2"/>
  <c r="D278" i="2"/>
  <c r="G277" i="2"/>
  <c r="M276" i="2"/>
  <c r="R275" i="2"/>
  <c r="D275" i="2"/>
  <c r="M274" i="2"/>
  <c r="R273" i="2"/>
  <c r="B273" i="2"/>
  <c r="L272" i="2"/>
  <c r="P271" i="2"/>
  <c r="D271" i="2"/>
  <c r="O270" i="2"/>
  <c r="B270" i="2"/>
  <c r="N269" i="2"/>
  <c r="C269" i="2"/>
  <c r="M268" i="2"/>
  <c r="B268" i="2"/>
  <c r="N267" i="2"/>
  <c r="Y266" i="2"/>
  <c r="M266" i="2"/>
  <c r="B266" i="2"/>
  <c r="L265" i="2"/>
  <c r="Y264" i="2"/>
  <c r="M264" i="2"/>
  <c r="W263" i="2"/>
  <c r="L263" i="2"/>
  <c r="B263" i="2"/>
  <c r="N262" i="2"/>
  <c r="D262" i="2"/>
  <c r="R261" i="2"/>
  <c r="F261" i="2"/>
  <c r="T260" i="2"/>
  <c r="J260" i="2"/>
  <c r="V259" i="2"/>
  <c r="L259" i="2"/>
  <c r="B259" i="2"/>
  <c r="R258" i="2"/>
  <c r="J258" i="2"/>
  <c r="B258" i="2"/>
  <c r="R257" i="2"/>
  <c r="J257" i="2"/>
  <c r="B257" i="2"/>
  <c r="R256" i="2"/>
  <c r="J256" i="2"/>
  <c r="B256" i="2"/>
  <c r="R255" i="2"/>
  <c r="J255" i="2"/>
  <c r="B255" i="2"/>
  <c r="R254" i="2"/>
  <c r="J254" i="2"/>
  <c r="B254" i="2"/>
  <c r="R253" i="2"/>
  <c r="J253" i="2"/>
  <c r="B253" i="2"/>
  <c r="R252" i="2"/>
  <c r="J252" i="2"/>
  <c r="B252" i="2"/>
  <c r="R251" i="2"/>
  <c r="J251" i="2"/>
  <c r="B251" i="2"/>
  <c r="R250" i="2"/>
  <c r="J250" i="2"/>
  <c r="B250" i="2"/>
  <c r="R249" i="2"/>
  <c r="J249" i="2"/>
  <c r="B249" i="2"/>
  <c r="R248" i="2"/>
  <c r="J248" i="2"/>
  <c r="B248" i="2"/>
  <c r="R247" i="2"/>
  <c r="J247" i="2"/>
  <c r="B247" i="2"/>
  <c r="R246" i="2"/>
  <c r="J246" i="2"/>
  <c r="B246" i="2"/>
  <c r="R245" i="2"/>
  <c r="J245" i="2"/>
  <c r="B245" i="2"/>
  <c r="R244" i="2"/>
  <c r="J244" i="2"/>
  <c r="B244" i="2"/>
  <c r="R243" i="2"/>
  <c r="J243" i="2"/>
  <c r="B243" i="2"/>
  <c r="R242" i="2"/>
  <c r="J242" i="2"/>
  <c r="B242" i="2"/>
  <c r="R241" i="2"/>
  <c r="J241" i="2"/>
  <c r="B241" i="2"/>
  <c r="R240" i="2"/>
  <c r="J240" i="2"/>
  <c r="B240" i="2"/>
  <c r="R239" i="2"/>
  <c r="J239" i="2"/>
  <c r="B239" i="2"/>
  <c r="R238" i="2"/>
  <c r="J238" i="2"/>
  <c r="B238" i="2"/>
  <c r="R237" i="2"/>
  <c r="J298" i="2"/>
  <c r="F297" i="2"/>
  <c r="X295" i="2"/>
  <c r="U294" i="2"/>
  <c r="P293" i="2"/>
  <c r="L292" i="2"/>
  <c r="G291" i="2"/>
  <c r="D290" i="2"/>
  <c r="X288" i="2"/>
  <c r="X287" i="2"/>
  <c r="X286" i="2"/>
  <c r="W285" i="2"/>
  <c r="W284" i="2"/>
  <c r="W283" i="2"/>
  <c r="W282" i="2"/>
  <c r="V281" i="2"/>
  <c r="V280" i="2"/>
  <c r="V279" i="2"/>
  <c r="U278" i="2"/>
  <c r="U277" i="2"/>
  <c r="B277" i="2"/>
  <c r="G276" i="2"/>
  <c r="O275" i="2"/>
  <c r="X274" i="2"/>
  <c r="F274" i="2"/>
  <c r="O273" i="2"/>
  <c r="W272" i="2"/>
  <c r="E272" i="2"/>
  <c r="N271" i="2"/>
  <c r="B271" i="2"/>
  <c r="K270" i="2"/>
  <c r="W269" i="2"/>
  <c r="L269" i="2"/>
  <c r="V268" i="2"/>
  <c r="K268" i="2"/>
  <c r="W267" i="2"/>
  <c r="J267" i="2"/>
  <c r="V266" i="2"/>
  <c r="K266" i="2"/>
  <c r="U265" i="2"/>
  <c r="J265" i="2"/>
  <c r="V264" i="2"/>
  <c r="I264" i="2"/>
  <c r="U263" i="2"/>
  <c r="J263" i="2"/>
  <c r="V262" i="2"/>
  <c r="L262" i="2"/>
  <c r="B262" i="2"/>
  <c r="N261" i="2"/>
  <c r="D261" i="2"/>
  <c r="R260" i="2"/>
  <c r="F260" i="2"/>
  <c r="T259" i="2"/>
  <c r="J259" i="2"/>
  <c r="X258" i="2"/>
  <c r="P258" i="2"/>
  <c r="H258" i="2"/>
  <c r="X257" i="2"/>
  <c r="P257" i="2"/>
  <c r="H257" i="2"/>
  <c r="X256" i="2"/>
  <c r="P256" i="2"/>
  <c r="H256" i="2"/>
  <c r="X255" i="2"/>
  <c r="P255" i="2"/>
  <c r="H255" i="2"/>
  <c r="X254" i="2"/>
  <c r="P254" i="2"/>
  <c r="H254" i="2"/>
  <c r="X253" i="2"/>
  <c r="P253" i="2"/>
  <c r="H253" i="2"/>
  <c r="X252" i="2"/>
  <c r="P252" i="2"/>
  <c r="H252" i="2"/>
  <c r="X251" i="2"/>
  <c r="P251" i="2"/>
  <c r="H251" i="2"/>
  <c r="X250" i="2"/>
  <c r="P250" i="2"/>
  <c r="H250" i="2"/>
  <c r="X249" i="2"/>
  <c r="P249" i="2"/>
  <c r="H249" i="2"/>
  <c r="X248" i="2"/>
  <c r="P248" i="2"/>
  <c r="H248" i="2"/>
  <c r="X247" i="2"/>
  <c r="P247" i="2"/>
  <c r="H247" i="2"/>
  <c r="X246" i="2"/>
  <c r="P246" i="2"/>
  <c r="H246" i="2"/>
  <c r="X245" i="2"/>
  <c r="P245" i="2"/>
  <c r="H245" i="2"/>
  <c r="X244" i="2"/>
  <c r="P244" i="2"/>
  <c r="H244" i="2"/>
  <c r="X243" i="2"/>
  <c r="P243" i="2"/>
  <c r="H243" i="2"/>
  <c r="X242" i="2"/>
  <c r="P242" i="2"/>
  <c r="H242" i="2"/>
  <c r="X241" i="2"/>
  <c r="P241" i="2"/>
  <c r="H241" i="2"/>
  <c r="X240" i="2"/>
  <c r="P240" i="2"/>
  <c r="H240" i="2"/>
  <c r="X239" i="2"/>
  <c r="P239" i="2"/>
  <c r="H239" i="2"/>
  <c r="X238" i="2"/>
  <c r="P238" i="2"/>
  <c r="H238" i="2"/>
  <c r="X237" i="2"/>
  <c r="E298" i="2"/>
  <c r="X296" i="2"/>
  <c r="U295" i="2"/>
  <c r="O294" i="2"/>
  <c r="L293" i="2"/>
  <c r="G292" i="2"/>
  <c r="B291" i="2"/>
  <c r="V289" i="2"/>
  <c r="U288" i="2"/>
  <c r="U287" i="2"/>
  <c r="T286" i="2"/>
  <c r="T285" i="2"/>
  <c r="T284" i="2"/>
  <c r="R283" i="2"/>
  <c r="R282" i="2"/>
  <c r="R281" i="2"/>
  <c r="R280" i="2"/>
  <c r="P279" i="2"/>
  <c r="P278" i="2"/>
  <c r="T277" i="2"/>
  <c r="X276" i="2"/>
  <c r="E276" i="2"/>
  <c r="N275" i="2"/>
  <c r="T274" i="2"/>
  <c r="E274" i="2"/>
  <c r="M273" i="2"/>
  <c r="T272" i="2"/>
  <c r="D272" i="2"/>
  <c r="M271" i="2"/>
  <c r="U270" i="2"/>
  <c r="J270" i="2"/>
  <c r="V269" i="2"/>
  <c r="I269" i="2"/>
  <c r="U268" i="2"/>
  <c r="J268" i="2"/>
  <c r="T267" i="2"/>
  <c r="I267" i="2"/>
  <c r="U266" i="2"/>
  <c r="G266" i="2"/>
  <c r="T265" i="2"/>
  <c r="I265" i="2"/>
  <c r="S264" i="2"/>
  <c r="G264" i="2"/>
  <c r="T263" i="2"/>
  <c r="G263" i="2"/>
  <c r="U262" i="2"/>
  <c r="K262" i="2"/>
  <c r="W261" i="2"/>
  <c r="M261" i="2"/>
  <c r="C261" i="2"/>
  <c r="O260" i="2"/>
  <c r="E260" i="2"/>
  <c r="S259" i="2"/>
  <c r="G259" i="2"/>
  <c r="W258" i="2"/>
  <c r="O258" i="2"/>
  <c r="G258" i="2"/>
  <c r="W257" i="2"/>
  <c r="O257" i="2"/>
  <c r="G257" i="2"/>
  <c r="W256" i="2"/>
  <c r="O256" i="2"/>
  <c r="G256" i="2"/>
  <c r="W255" i="2"/>
  <c r="O255" i="2"/>
  <c r="G255" i="2"/>
  <c r="W254" i="2"/>
  <c r="O254" i="2"/>
  <c r="G254" i="2"/>
  <c r="W253" i="2"/>
  <c r="O253" i="2"/>
  <c r="G253" i="2"/>
  <c r="W252" i="2"/>
  <c r="O252" i="2"/>
  <c r="G252" i="2"/>
  <c r="W251" i="2"/>
  <c r="O251" i="2"/>
  <c r="G251" i="2"/>
  <c r="W250" i="2"/>
  <c r="O250" i="2"/>
  <c r="G250" i="2"/>
  <c r="W249" i="2"/>
  <c r="O249" i="2"/>
  <c r="G249" i="2"/>
  <c r="W248" i="2"/>
  <c r="D298" i="2"/>
  <c r="V296" i="2"/>
  <c r="R295" i="2"/>
  <c r="N294" i="2"/>
  <c r="H293" i="2"/>
  <c r="E292" i="2"/>
  <c r="X290" i="2"/>
  <c r="T289" i="2"/>
  <c r="T288" i="2"/>
  <c r="R287" i="2"/>
  <c r="R286" i="2"/>
  <c r="R285" i="2"/>
  <c r="R284" i="2"/>
  <c r="P283" i="2"/>
  <c r="P282" i="2"/>
  <c r="P281" i="2"/>
  <c r="O280" i="2"/>
  <c r="O279" i="2"/>
  <c r="O278" i="2"/>
  <c r="P277" i="2"/>
  <c r="U276" i="2"/>
  <c r="D276" i="2"/>
  <c r="M275" i="2"/>
  <c r="R274" i="2"/>
  <c r="D274" i="2"/>
  <c r="L273" i="2"/>
  <c r="R272" i="2"/>
  <c r="B272" i="2"/>
  <c r="L271" i="2"/>
  <c r="T270" i="2"/>
  <c r="I270" i="2"/>
  <c r="U269" i="2"/>
  <c r="G269" i="2"/>
  <c r="T268" i="2"/>
  <c r="I268" i="2"/>
  <c r="S267" i="2"/>
  <c r="G267" i="2"/>
  <c r="T266" i="2"/>
  <c r="F266" i="2"/>
  <c r="S265" i="2"/>
  <c r="G265" i="2"/>
  <c r="R264" i="2"/>
  <c r="F264" i="2"/>
  <c r="S263" i="2"/>
  <c r="F263" i="2"/>
  <c r="T262" i="2"/>
  <c r="J262" i="2"/>
  <c r="V261" i="2"/>
  <c r="L261" i="2"/>
  <c r="B261" i="2"/>
  <c r="T297" i="2"/>
  <c r="O296" i="2"/>
  <c r="L295" i="2"/>
  <c r="F294" i="2"/>
  <c r="B293" i="2"/>
  <c r="V291" i="2"/>
  <c r="P290" i="2"/>
  <c r="M289" i="2"/>
  <c r="M288" i="2"/>
  <c r="M287" i="2"/>
  <c r="M286" i="2"/>
  <c r="L285" i="2"/>
  <c r="L284" i="2"/>
  <c r="L283" i="2"/>
  <c r="J282" i="2"/>
  <c r="J281" i="2"/>
  <c r="J280" i="2"/>
  <c r="J279" i="2"/>
  <c r="O297" i="2"/>
  <c r="J296" i="2"/>
  <c r="F295" i="2"/>
  <c r="B294" i="2"/>
  <c r="U292" i="2"/>
  <c r="P291" i="2"/>
  <c r="M290" i="2"/>
  <c r="H289" i="2"/>
  <c r="H288" i="2"/>
  <c r="G287" i="2"/>
  <c r="G286" i="2"/>
  <c r="G285" i="2"/>
  <c r="G284" i="2"/>
  <c r="F283" i="2"/>
  <c r="F282" i="2"/>
  <c r="F281" i="2"/>
  <c r="E280" i="2"/>
  <c r="E279" i="2"/>
  <c r="E278" i="2"/>
  <c r="H277" i="2"/>
  <c r="N276" i="2"/>
  <c r="U275" i="2"/>
  <c r="E275" i="2"/>
  <c r="N274" i="2"/>
  <c r="T273" i="2"/>
  <c r="E273" i="2"/>
  <c r="M272" i="2"/>
  <c r="R271" i="2"/>
  <c r="E271" i="2"/>
  <c r="Q270" i="2"/>
  <c r="C270" i="2"/>
  <c r="O269" i="2"/>
  <c r="D269" i="2"/>
  <c r="N268" i="2"/>
  <c r="C268" i="2"/>
  <c r="O267" i="2"/>
  <c r="B267" i="2"/>
  <c r="N266" i="2"/>
  <c r="C266" i="2"/>
  <c r="M265" i="2"/>
  <c r="B265" i="2"/>
  <c r="O298" i="2"/>
  <c r="V293" i="2"/>
  <c r="F289" i="2"/>
  <c r="E285" i="2"/>
  <c r="B281" i="2"/>
  <c r="O277" i="2"/>
  <c r="P275" i="2"/>
  <c r="W273" i="2"/>
  <c r="X271" i="2"/>
  <c r="L270" i="2"/>
  <c r="E269" i="2"/>
  <c r="R267" i="2"/>
  <c r="L266" i="2"/>
  <c r="C265" i="2"/>
  <c r="Y263" i="2"/>
  <c r="C263" i="2"/>
  <c r="E262" i="2"/>
  <c r="G261" i="2"/>
  <c r="L260" i="2"/>
  <c r="R259" i="2"/>
  <c r="C259" i="2"/>
  <c r="M258" i="2"/>
  <c r="Y257" i="2"/>
  <c r="L257" i="2"/>
  <c r="V256" i="2"/>
  <c r="K256" i="2"/>
  <c r="U255" i="2"/>
  <c r="I255" i="2"/>
  <c r="T254" i="2"/>
  <c r="F254" i="2"/>
  <c r="S253" i="2"/>
  <c r="E253" i="2"/>
  <c r="Q252" i="2"/>
  <c r="D252" i="2"/>
  <c r="N251" i="2"/>
  <c r="C251" i="2"/>
  <c r="M250" i="2"/>
  <c r="Y249" i="2"/>
  <c r="L249" i="2"/>
  <c r="V248" i="2"/>
  <c r="L248" i="2"/>
  <c r="Y247" i="2"/>
  <c r="N247" i="2"/>
  <c r="D247" i="2"/>
  <c r="Q246" i="2"/>
  <c r="F246" i="2"/>
  <c r="T245" i="2"/>
  <c r="I245" i="2"/>
  <c r="V244" i="2"/>
  <c r="L244" i="2"/>
  <c r="Y243" i="2"/>
  <c r="N243" i="2"/>
  <c r="D243" i="2"/>
  <c r="Q242" i="2"/>
  <c r="F242" i="2"/>
  <c r="T241" i="2"/>
  <c r="I241" i="2"/>
  <c r="V240" i="2"/>
  <c r="L240" i="2"/>
  <c r="Y239" i="2"/>
  <c r="N239" i="2"/>
  <c r="D239" i="2"/>
  <c r="Q238" i="2"/>
  <c r="F238" i="2"/>
  <c r="T237" i="2"/>
  <c r="K237" i="2"/>
  <c r="C237" i="2"/>
  <c r="S236" i="2"/>
  <c r="K236" i="2"/>
  <c r="C236" i="2"/>
  <c r="S235" i="2"/>
  <c r="K235" i="2"/>
  <c r="C235" i="2"/>
  <c r="S234" i="2"/>
  <c r="K234" i="2"/>
  <c r="C234" i="2"/>
  <c r="S233" i="2"/>
  <c r="K233" i="2"/>
  <c r="C233" i="2"/>
  <c r="S232" i="2"/>
  <c r="K232" i="2"/>
  <c r="C232" i="2"/>
  <c r="S231" i="2"/>
  <c r="K231" i="2"/>
  <c r="C231" i="2"/>
  <c r="S230" i="2"/>
  <c r="K230" i="2"/>
  <c r="C230" i="2"/>
  <c r="S229" i="2"/>
  <c r="K229" i="2"/>
  <c r="C229" i="2"/>
  <c r="S228" i="2"/>
  <c r="K228" i="2"/>
  <c r="C228" i="2"/>
  <c r="S227" i="2"/>
  <c r="K227" i="2"/>
  <c r="C227" i="2"/>
  <c r="S226" i="2"/>
  <c r="K226" i="2"/>
  <c r="C226" i="2"/>
  <c r="S225" i="2"/>
  <c r="K225" i="2"/>
  <c r="C225" i="2"/>
  <c r="S224" i="2"/>
  <c r="K224" i="2"/>
  <c r="C224" i="2"/>
  <c r="S223" i="2"/>
  <c r="K223" i="2"/>
  <c r="C223" i="2"/>
  <c r="S222" i="2"/>
  <c r="K222" i="2"/>
  <c r="C222" i="2"/>
  <c r="S221" i="2"/>
  <c r="K221" i="2"/>
  <c r="C221" i="2"/>
  <c r="S220" i="2"/>
  <c r="K220" i="2"/>
  <c r="C220" i="2"/>
  <c r="S219" i="2"/>
  <c r="K219" i="2"/>
  <c r="C219" i="2"/>
  <c r="S218" i="2"/>
  <c r="K218" i="2"/>
  <c r="C218" i="2"/>
  <c r="S217" i="2"/>
  <c r="K217" i="2"/>
  <c r="C217" i="2"/>
  <c r="S216" i="2"/>
  <c r="K216" i="2"/>
  <c r="C216" i="2"/>
  <c r="S215" i="2"/>
  <c r="K215" i="2"/>
  <c r="C215" i="2"/>
  <c r="S214" i="2"/>
  <c r="K214" i="2"/>
  <c r="C214" i="2"/>
  <c r="S213" i="2"/>
  <c r="K213" i="2"/>
  <c r="C213" i="2"/>
  <c r="S212" i="2"/>
  <c r="K212" i="2"/>
  <c r="C212" i="2"/>
  <c r="S211" i="2"/>
  <c r="K211" i="2"/>
  <c r="C211" i="2"/>
  <c r="S210" i="2"/>
  <c r="K210" i="2"/>
  <c r="C210" i="2"/>
  <c r="S209" i="2"/>
  <c r="K209" i="2"/>
  <c r="C209" i="2"/>
  <c r="S208" i="2"/>
  <c r="K208" i="2"/>
  <c r="C208" i="2"/>
  <c r="S207" i="2"/>
  <c r="K207" i="2"/>
  <c r="C207" i="2"/>
  <c r="S206" i="2"/>
  <c r="K206" i="2"/>
  <c r="C206" i="2"/>
  <c r="S205" i="2"/>
  <c r="K205" i="2"/>
  <c r="C205" i="2"/>
  <c r="S204" i="2"/>
  <c r="K204" i="2"/>
  <c r="C204" i="2"/>
  <c r="S203" i="2"/>
  <c r="K203" i="2"/>
  <c r="C203" i="2"/>
  <c r="S202" i="2"/>
  <c r="L297" i="2"/>
  <c r="R292" i="2"/>
  <c r="E288" i="2"/>
  <c r="D284" i="2"/>
  <c r="B280" i="2"/>
  <c r="E277" i="2"/>
  <c r="F275" i="2"/>
  <c r="G273" i="2"/>
  <c r="O271" i="2"/>
  <c r="F270" i="2"/>
  <c r="S268" i="2"/>
  <c r="K267" i="2"/>
  <c r="D266" i="2"/>
  <c r="Q264" i="2"/>
  <c r="O263" i="2"/>
  <c r="S262" i="2"/>
  <c r="U261" i="2"/>
  <c r="W260" i="2"/>
  <c r="G260" i="2"/>
  <c r="N259" i="2"/>
  <c r="V258" i="2"/>
  <c r="K258" i="2"/>
  <c r="U257" i="2"/>
  <c r="I257" i="2"/>
  <c r="T256" i="2"/>
  <c r="F256" i="2"/>
  <c r="S255" i="2"/>
  <c r="E255" i="2"/>
  <c r="Q254" i="2"/>
  <c r="D254" i="2"/>
  <c r="N253" i="2"/>
  <c r="C253" i="2"/>
  <c r="M252" i="2"/>
  <c r="Y251" i="2"/>
  <c r="L251" i="2"/>
  <c r="V250" i="2"/>
  <c r="K250" i="2"/>
  <c r="U249" i="2"/>
  <c r="I249" i="2"/>
  <c r="T248" i="2"/>
  <c r="I248" i="2"/>
  <c r="V247" i="2"/>
  <c r="L247" i="2"/>
  <c r="Y246" i="2"/>
  <c r="N246" i="2"/>
  <c r="D246" i="2"/>
  <c r="Q245" i="2"/>
  <c r="F245" i="2"/>
  <c r="T244" i="2"/>
  <c r="I244" i="2"/>
  <c r="V243" i="2"/>
  <c r="L243" i="2"/>
  <c r="Y242" i="2"/>
  <c r="N242" i="2"/>
  <c r="D242" i="2"/>
  <c r="Q241" i="2"/>
  <c r="F241" i="2"/>
  <c r="T240" i="2"/>
  <c r="I240" i="2"/>
  <c r="V239" i="2"/>
  <c r="L239" i="2"/>
  <c r="Y238" i="2"/>
  <c r="N238" i="2"/>
  <c r="D238" i="2"/>
  <c r="Q237" i="2"/>
  <c r="I237" i="2"/>
  <c r="Y236" i="2"/>
  <c r="Q236" i="2"/>
  <c r="I236" i="2"/>
  <c r="Y235" i="2"/>
  <c r="Q235" i="2"/>
  <c r="I235" i="2"/>
  <c r="Y234" i="2"/>
  <c r="Q234" i="2"/>
  <c r="I234" i="2"/>
  <c r="Y233" i="2"/>
  <c r="Q233" i="2"/>
  <c r="I233" i="2"/>
  <c r="Y232" i="2"/>
  <c r="Q232" i="2"/>
  <c r="I232" i="2"/>
  <c r="Y231" i="2"/>
  <c r="Q231" i="2"/>
  <c r="I231" i="2"/>
  <c r="Y230" i="2"/>
  <c r="Q230" i="2"/>
  <c r="I230" i="2"/>
  <c r="Y229" i="2"/>
  <c r="Q229" i="2"/>
  <c r="I229" i="2"/>
  <c r="Y228" i="2"/>
  <c r="Q228" i="2"/>
  <c r="I228" i="2"/>
  <c r="Y227" i="2"/>
  <c r="Q227" i="2"/>
  <c r="I227" i="2"/>
  <c r="Y226" i="2"/>
  <c r="Q226" i="2"/>
  <c r="I226" i="2"/>
  <c r="Y225" i="2"/>
  <c r="Q225" i="2"/>
  <c r="I225" i="2"/>
  <c r="Y224" i="2"/>
  <c r="Q224" i="2"/>
  <c r="I224" i="2"/>
  <c r="Y223" i="2"/>
  <c r="Q223" i="2"/>
  <c r="I223" i="2"/>
  <c r="Y222" i="2"/>
  <c r="Q222" i="2"/>
  <c r="I222" i="2"/>
  <c r="Y221" i="2"/>
  <c r="Q221" i="2"/>
  <c r="I221" i="2"/>
  <c r="Y220" i="2"/>
  <c r="Q220" i="2"/>
  <c r="I220" i="2"/>
  <c r="Y219" i="2"/>
  <c r="Q219" i="2"/>
  <c r="I219" i="2"/>
  <c r="Y218" i="2"/>
  <c r="Q218" i="2"/>
  <c r="I218" i="2"/>
  <c r="Y217" i="2"/>
  <c r="Q217" i="2"/>
  <c r="I217" i="2"/>
  <c r="Y216" i="2"/>
  <c r="Q216" i="2"/>
  <c r="I216" i="2"/>
  <c r="Y215" i="2"/>
  <c r="Q215" i="2"/>
  <c r="I215" i="2"/>
  <c r="Y214" i="2"/>
  <c r="Q214" i="2"/>
  <c r="I214" i="2"/>
  <c r="Y213" i="2"/>
  <c r="Q213" i="2"/>
  <c r="I213" i="2"/>
  <c r="Y212" i="2"/>
  <c r="Q212" i="2"/>
  <c r="I212" i="2"/>
  <c r="Y211" i="2"/>
  <c r="Q211" i="2"/>
  <c r="I211" i="2"/>
  <c r="Y210" i="2"/>
  <c r="Q210" i="2"/>
  <c r="I210" i="2"/>
  <c r="Y209" i="2"/>
  <c r="Q209" i="2"/>
  <c r="I209" i="2"/>
  <c r="Y208" i="2"/>
  <c r="Q208" i="2"/>
  <c r="I208" i="2"/>
  <c r="Y207" i="2"/>
  <c r="Q207" i="2"/>
  <c r="I207" i="2"/>
  <c r="Y206" i="2"/>
  <c r="Q206" i="2"/>
  <c r="I206" i="2"/>
  <c r="Y205" i="2"/>
  <c r="Q205" i="2"/>
  <c r="I205" i="2"/>
  <c r="U296" i="2"/>
  <c r="D292" i="2"/>
  <c r="P287" i="2"/>
  <c r="O283" i="2"/>
  <c r="N279" i="2"/>
  <c r="T276" i="2"/>
  <c r="B275" i="2"/>
  <c r="F273" i="2"/>
  <c r="G271" i="2"/>
  <c r="Y269" i="2"/>
  <c r="R268" i="2"/>
  <c r="F267" i="2"/>
  <c r="V265" i="2"/>
  <c r="O264" i="2"/>
  <c r="N263" i="2"/>
  <c r="R262" i="2"/>
  <c r="T261" i="2"/>
  <c r="V260" i="2"/>
  <c r="D260" i="2"/>
  <c r="M259" i="2"/>
  <c r="U258" i="2"/>
  <c r="I258" i="2"/>
  <c r="T257" i="2"/>
  <c r="F257" i="2"/>
  <c r="S256" i="2"/>
  <c r="E256" i="2"/>
  <c r="Q255" i="2"/>
  <c r="D255" i="2"/>
  <c r="N254" i="2"/>
  <c r="C254" i="2"/>
  <c r="M253" i="2"/>
  <c r="Y252" i="2"/>
  <c r="L252" i="2"/>
  <c r="V251" i="2"/>
  <c r="K251" i="2"/>
  <c r="U250" i="2"/>
  <c r="I250" i="2"/>
  <c r="T249" i="2"/>
  <c r="F249" i="2"/>
  <c r="S248" i="2"/>
  <c r="G248" i="2"/>
  <c r="U247" i="2"/>
  <c r="K247" i="2"/>
  <c r="W246" i="2"/>
  <c r="M246" i="2"/>
  <c r="C246" i="2"/>
  <c r="O245" i="2"/>
  <c r="E245" i="2"/>
  <c r="S244" i="2"/>
  <c r="G244" i="2"/>
  <c r="U243" i="2"/>
  <c r="K243" i="2"/>
  <c r="W242" i="2"/>
  <c r="M242" i="2"/>
  <c r="C242" i="2"/>
  <c r="O241" i="2"/>
  <c r="E241" i="2"/>
  <c r="S240" i="2"/>
  <c r="G240" i="2"/>
  <c r="U239" i="2"/>
  <c r="K239" i="2"/>
  <c r="W238" i="2"/>
  <c r="M238" i="2"/>
  <c r="C238" i="2"/>
  <c r="P237" i="2"/>
  <c r="H237" i="2"/>
  <c r="X236" i="2"/>
  <c r="P236" i="2"/>
  <c r="H236" i="2"/>
  <c r="X235" i="2"/>
  <c r="P235" i="2"/>
  <c r="H235" i="2"/>
  <c r="X234" i="2"/>
  <c r="P234" i="2"/>
  <c r="H234" i="2"/>
  <c r="X233" i="2"/>
  <c r="P233" i="2"/>
  <c r="H233" i="2"/>
  <c r="X232" i="2"/>
  <c r="P232" i="2"/>
  <c r="H232" i="2"/>
  <c r="X231" i="2"/>
  <c r="P231" i="2"/>
  <c r="H231" i="2"/>
  <c r="X230" i="2"/>
  <c r="P230" i="2"/>
  <c r="H230" i="2"/>
  <c r="X229" i="2"/>
  <c r="P229" i="2"/>
  <c r="H229" i="2"/>
  <c r="X228" i="2"/>
  <c r="P228" i="2"/>
  <c r="H228" i="2"/>
  <c r="X227" i="2"/>
  <c r="P227" i="2"/>
  <c r="H227" i="2"/>
  <c r="X226" i="2"/>
  <c r="P226" i="2"/>
  <c r="H226" i="2"/>
  <c r="X225" i="2"/>
  <c r="P225" i="2"/>
  <c r="H225" i="2"/>
  <c r="X224" i="2"/>
  <c r="P224" i="2"/>
  <c r="H224" i="2"/>
  <c r="X223" i="2"/>
  <c r="P223" i="2"/>
  <c r="H223" i="2"/>
  <c r="X222" i="2"/>
  <c r="P222" i="2"/>
  <c r="H222" i="2"/>
  <c r="X221" i="2"/>
  <c r="P221" i="2"/>
  <c r="H221" i="2"/>
  <c r="X220" i="2"/>
  <c r="P220" i="2"/>
  <c r="H220" i="2"/>
  <c r="X219" i="2"/>
  <c r="P219" i="2"/>
  <c r="H219" i="2"/>
  <c r="G296" i="2"/>
  <c r="M291" i="2"/>
  <c r="E287" i="2"/>
  <c r="D283" i="2"/>
  <c r="B279" i="2"/>
  <c r="O276" i="2"/>
  <c r="P274" i="2"/>
  <c r="X272" i="2"/>
  <c r="F271" i="2"/>
  <c r="R269" i="2"/>
  <c r="L268" i="2"/>
  <c r="E267" i="2"/>
  <c r="R265" i="2"/>
  <c r="N264" i="2"/>
  <c r="M263" i="2"/>
  <c r="O262" i="2"/>
  <c r="S261" i="2"/>
  <c r="U260" i="2"/>
  <c r="C260" i="2"/>
  <c r="K259" i="2"/>
  <c r="T258" i="2"/>
  <c r="F258" i="2"/>
  <c r="S257" i="2"/>
  <c r="E257" i="2"/>
  <c r="Q256" i="2"/>
  <c r="D256" i="2"/>
  <c r="N255" i="2"/>
  <c r="C255" i="2"/>
  <c r="M254" i="2"/>
  <c r="Y253" i="2"/>
  <c r="L253" i="2"/>
  <c r="V252" i="2"/>
  <c r="K252" i="2"/>
  <c r="U251" i="2"/>
  <c r="I251" i="2"/>
  <c r="T250" i="2"/>
  <c r="F250" i="2"/>
  <c r="S249" i="2"/>
  <c r="E249" i="2"/>
  <c r="Q248" i="2"/>
  <c r="F248" i="2"/>
  <c r="T247" i="2"/>
  <c r="I247" i="2"/>
  <c r="V246" i="2"/>
  <c r="L246" i="2"/>
  <c r="Y245" i="2"/>
  <c r="N245" i="2"/>
  <c r="D245" i="2"/>
  <c r="Q244" i="2"/>
  <c r="F244" i="2"/>
  <c r="T243" i="2"/>
  <c r="I243" i="2"/>
  <c r="V242" i="2"/>
  <c r="L242" i="2"/>
  <c r="Y241" i="2"/>
  <c r="N241" i="2"/>
  <c r="D241" i="2"/>
  <c r="Q240" i="2"/>
  <c r="F240" i="2"/>
  <c r="T239" i="2"/>
  <c r="I239" i="2"/>
  <c r="V238" i="2"/>
  <c r="L238" i="2"/>
  <c r="Y237" i="2"/>
  <c r="O237" i="2"/>
  <c r="G237" i="2"/>
  <c r="W236" i="2"/>
  <c r="O236" i="2"/>
  <c r="G236" i="2"/>
  <c r="W235" i="2"/>
  <c r="O235" i="2"/>
  <c r="G235" i="2"/>
  <c r="W234" i="2"/>
  <c r="O234" i="2"/>
  <c r="G234" i="2"/>
  <c r="W233" i="2"/>
  <c r="O233" i="2"/>
  <c r="G233" i="2"/>
  <c r="W232" i="2"/>
  <c r="O232" i="2"/>
  <c r="G232" i="2"/>
  <c r="W231" i="2"/>
  <c r="O231" i="2"/>
  <c r="G231" i="2"/>
  <c r="W230" i="2"/>
  <c r="O230" i="2"/>
  <c r="G230" i="2"/>
  <c r="W229" i="2"/>
  <c r="O229" i="2"/>
  <c r="G229" i="2"/>
  <c r="W228" i="2"/>
  <c r="O228" i="2"/>
  <c r="G228" i="2"/>
  <c r="W227" i="2"/>
  <c r="O227" i="2"/>
  <c r="G227" i="2"/>
  <c r="W226" i="2"/>
  <c r="O226" i="2"/>
  <c r="G226" i="2"/>
  <c r="W225" i="2"/>
  <c r="O225" i="2"/>
  <c r="B295" i="2"/>
  <c r="H290" i="2"/>
  <c r="E286" i="2"/>
  <c r="D282" i="2"/>
  <c r="H278" i="2"/>
  <c r="B276" i="2"/>
  <c r="G274" i="2"/>
  <c r="N272" i="2"/>
  <c r="S270" i="2"/>
  <c r="M269" i="2"/>
  <c r="D268" i="2"/>
  <c r="Q266" i="2"/>
  <c r="K265" i="2"/>
  <c r="E264" i="2"/>
  <c r="E263" i="2"/>
  <c r="G262" i="2"/>
  <c r="K261" i="2"/>
  <c r="N260" i="2"/>
  <c r="W259" i="2"/>
  <c r="E259" i="2"/>
  <c r="Q258" i="2"/>
  <c r="D258" i="2"/>
  <c r="N257" i="2"/>
  <c r="C257" i="2"/>
  <c r="M256" i="2"/>
  <c r="Y255" i="2"/>
  <c r="L255" i="2"/>
  <c r="V254" i="2"/>
  <c r="K254" i="2"/>
  <c r="U253" i="2"/>
  <c r="I253" i="2"/>
  <c r="T252" i="2"/>
  <c r="F252" i="2"/>
  <c r="S251" i="2"/>
  <c r="E251" i="2"/>
  <c r="Q250" i="2"/>
  <c r="D250" i="2"/>
  <c r="N249" i="2"/>
  <c r="C249" i="2"/>
  <c r="N248" i="2"/>
  <c r="D248" i="2"/>
  <c r="Q247" i="2"/>
  <c r="F247" i="2"/>
  <c r="T246" i="2"/>
  <c r="I246" i="2"/>
  <c r="V245" i="2"/>
  <c r="L245" i="2"/>
  <c r="Y244" i="2"/>
  <c r="N244" i="2"/>
  <c r="D244" i="2"/>
  <c r="Q243" i="2"/>
  <c r="F243" i="2"/>
  <c r="T242" i="2"/>
  <c r="I242" i="2"/>
  <c r="M294" i="2"/>
  <c r="R289" i="2"/>
  <c r="P285" i="2"/>
  <c r="O281" i="2"/>
  <c r="B278" i="2"/>
  <c r="X275" i="2"/>
  <c r="B274" i="2"/>
  <c r="G272" i="2"/>
  <c r="R270" i="2"/>
  <c r="F269" i="2"/>
  <c r="Y267" i="2"/>
  <c r="O266" i="2"/>
  <c r="D265" i="2"/>
  <c r="D264" i="2"/>
  <c r="D263" i="2"/>
  <c r="F262" i="2"/>
  <c r="J261" i="2"/>
  <c r="M260" i="2"/>
  <c r="U259" i="2"/>
  <c r="D259" i="2"/>
  <c r="N258" i="2"/>
  <c r="C258" i="2"/>
  <c r="M257" i="2"/>
  <c r="Y256" i="2"/>
  <c r="L256" i="2"/>
  <c r="V255" i="2"/>
  <c r="K255" i="2"/>
  <c r="U254" i="2"/>
  <c r="I254" i="2"/>
  <c r="T253" i="2"/>
  <c r="F253" i="2"/>
  <c r="S252" i="2"/>
  <c r="E252" i="2"/>
  <c r="Q251" i="2"/>
  <c r="D251" i="2"/>
  <c r="N250" i="2"/>
  <c r="C250" i="2"/>
  <c r="M249" i="2"/>
  <c r="Y248" i="2"/>
  <c r="M248" i="2"/>
  <c r="C248" i="2"/>
  <c r="O247" i="2"/>
  <c r="E247" i="2"/>
  <c r="S246" i="2"/>
  <c r="G246" i="2"/>
  <c r="U245" i="2"/>
  <c r="K245" i="2"/>
  <c r="W244" i="2"/>
  <c r="M244" i="2"/>
  <c r="C244" i="2"/>
  <c r="O243" i="2"/>
  <c r="E243" i="2"/>
  <c r="S242" i="2"/>
  <c r="G242" i="2"/>
  <c r="U241" i="2"/>
  <c r="K241" i="2"/>
  <c r="W240" i="2"/>
  <c r="M240" i="2"/>
  <c r="C240" i="2"/>
  <c r="O239" i="2"/>
  <c r="E239" i="2"/>
  <c r="S238" i="2"/>
  <c r="G238" i="2"/>
  <c r="U237" i="2"/>
  <c r="L237" i="2"/>
  <c r="D237" i="2"/>
  <c r="T236" i="2"/>
  <c r="L236" i="2"/>
  <c r="D236" i="2"/>
  <c r="T235" i="2"/>
  <c r="L235" i="2"/>
  <c r="D235" i="2"/>
  <c r="T234" i="2"/>
  <c r="L234" i="2"/>
  <c r="D234" i="2"/>
  <c r="B298" i="2"/>
  <c r="N280" i="2"/>
  <c r="W271" i="2"/>
  <c r="E266" i="2"/>
  <c r="C262" i="2"/>
  <c r="Y258" i="2"/>
  <c r="U256" i="2"/>
  <c r="S254" i="2"/>
  <c r="N252" i="2"/>
  <c r="L250" i="2"/>
  <c r="K248" i="2"/>
  <c r="O246" i="2"/>
  <c r="U244" i="2"/>
  <c r="C243" i="2"/>
  <c r="M241" i="2"/>
  <c r="K240" i="2"/>
  <c r="F239" i="2"/>
  <c r="W237" i="2"/>
  <c r="B237" i="2"/>
  <c r="E236" i="2"/>
  <c r="F235" i="2"/>
  <c r="J234" i="2"/>
  <c r="N233" i="2"/>
  <c r="V232" i="2"/>
  <c r="F232" i="2"/>
  <c r="N231" i="2"/>
  <c r="V230" i="2"/>
  <c r="F230" i="2"/>
  <c r="N229" i="2"/>
  <c r="V228" i="2"/>
  <c r="F228" i="2"/>
  <c r="N227" i="2"/>
  <c r="V226" i="2"/>
  <c r="F226" i="2"/>
  <c r="N225" i="2"/>
  <c r="B225" i="2"/>
  <c r="M224" i="2"/>
  <c r="W223" i="2"/>
  <c r="L223" i="2"/>
  <c r="V222" i="2"/>
  <c r="J222" i="2"/>
  <c r="U221" i="2"/>
  <c r="G221" i="2"/>
  <c r="T220" i="2"/>
  <c r="F220" i="2"/>
  <c r="R219" i="2"/>
  <c r="E219" i="2"/>
  <c r="R218" i="2"/>
  <c r="G218" i="2"/>
  <c r="U217" i="2"/>
  <c r="J217" i="2"/>
  <c r="W216" i="2"/>
  <c r="M216" i="2"/>
  <c r="B216" i="2"/>
  <c r="O215" i="2"/>
  <c r="E215" i="2"/>
  <c r="R214" i="2"/>
  <c r="G214" i="2"/>
  <c r="U213" i="2"/>
  <c r="J213" i="2"/>
  <c r="W212" i="2"/>
  <c r="M212" i="2"/>
  <c r="B212" i="2"/>
  <c r="O211" i="2"/>
  <c r="E211" i="2"/>
  <c r="R210" i="2"/>
  <c r="G210" i="2"/>
  <c r="U209" i="2"/>
  <c r="J209" i="2"/>
  <c r="W208" i="2"/>
  <c r="M208" i="2"/>
  <c r="B208" i="2"/>
  <c r="O207" i="2"/>
  <c r="E207" i="2"/>
  <c r="R206" i="2"/>
  <c r="G206" i="2"/>
  <c r="U205" i="2"/>
  <c r="J205" i="2"/>
  <c r="X204" i="2"/>
  <c r="O204" i="2"/>
  <c r="F204" i="2"/>
  <c r="U203" i="2"/>
  <c r="L203" i="2"/>
  <c r="B203" i="2"/>
  <c r="Q202" i="2"/>
  <c r="I202" i="2"/>
  <c r="Y201" i="2"/>
  <c r="Q201" i="2"/>
  <c r="I201" i="2"/>
  <c r="Y200" i="2"/>
  <c r="Q200" i="2"/>
  <c r="I200" i="2"/>
  <c r="Y199" i="2"/>
  <c r="Q199" i="2"/>
  <c r="I199" i="2"/>
  <c r="Y198" i="2"/>
  <c r="Q198" i="2"/>
  <c r="I198" i="2"/>
  <c r="Y197" i="2"/>
  <c r="Q197" i="2"/>
  <c r="I197" i="2"/>
  <c r="Y196" i="2"/>
  <c r="Q196" i="2"/>
  <c r="I196" i="2"/>
  <c r="Y195" i="2"/>
  <c r="Q195" i="2"/>
  <c r="I195" i="2"/>
  <c r="Y194" i="2"/>
  <c r="Q194" i="2"/>
  <c r="I194" i="2"/>
  <c r="Y193" i="2"/>
  <c r="Q193" i="2"/>
  <c r="I193" i="2"/>
  <c r="Y192" i="2"/>
  <c r="Q192" i="2"/>
  <c r="I192" i="2"/>
  <c r="Y191" i="2"/>
  <c r="Q191" i="2"/>
  <c r="I191" i="2"/>
  <c r="Y190" i="2"/>
  <c r="Q190" i="2"/>
  <c r="I190" i="2"/>
  <c r="Y189" i="2"/>
  <c r="Q189" i="2"/>
  <c r="I189" i="2"/>
  <c r="Y188" i="2"/>
  <c r="Q188" i="2"/>
  <c r="I188" i="2"/>
  <c r="Y187" i="2"/>
  <c r="Q187" i="2"/>
  <c r="I187" i="2"/>
  <c r="Y186" i="2"/>
  <c r="Q186" i="2"/>
  <c r="I186" i="2"/>
  <c r="Y185" i="2"/>
  <c r="Q185" i="2"/>
  <c r="I185" i="2"/>
  <c r="Y184" i="2"/>
  <c r="Q184" i="2"/>
  <c r="I184" i="2"/>
  <c r="Y183" i="2"/>
  <c r="Q183" i="2"/>
  <c r="I183" i="2"/>
  <c r="Y182" i="2"/>
  <c r="Q182" i="2"/>
  <c r="I182" i="2"/>
  <c r="Y181" i="2"/>
  <c r="Q181" i="2"/>
  <c r="I181" i="2"/>
  <c r="Y180" i="2"/>
  <c r="Q180" i="2"/>
  <c r="I180" i="2"/>
  <c r="Y179" i="2"/>
  <c r="Q179" i="2"/>
  <c r="I179" i="2"/>
  <c r="Y178" i="2"/>
  <c r="Q178" i="2"/>
  <c r="I178" i="2"/>
  <c r="Y177" i="2"/>
  <c r="Q177" i="2"/>
  <c r="I177" i="2"/>
  <c r="Y176" i="2"/>
  <c r="Q176" i="2"/>
  <c r="I176" i="2"/>
  <c r="Y175" i="2"/>
  <c r="Q175" i="2"/>
  <c r="I175" i="2"/>
  <c r="Y174" i="2"/>
  <c r="Q174" i="2"/>
  <c r="I174" i="2"/>
  <c r="Y173" i="2"/>
  <c r="Q173" i="2"/>
  <c r="I173" i="2"/>
  <c r="G293" i="2"/>
  <c r="M277" i="2"/>
  <c r="G270" i="2"/>
  <c r="W264" i="2"/>
  <c r="E261" i="2"/>
  <c r="L258" i="2"/>
  <c r="I256" i="2"/>
  <c r="E254" i="2"/>
  <c r="C252" i="2"/>
  <c r="V249" i="2"/>
  <c r="W247" i="2"/>
  <c r="E246" i="2"/>
  <c r="K244" i="2"/>
  <c r="O242" i="2"/>
  <c r="G241" i="2"/>
  <c r="D240" i="2"/>
  <c r="U238" i="2"/>
  <c r="S237" i="2"/>
  <c r="U236" i="2"/>
  <c r="V235" i="2"/>
  <c r="B235" i="2"/>
  <c r="E234" i="2"/>
  <c r="L233" i="2"/>
  <c r="T232" i="2"/>
  <c r="D232" i="2"/>
  <c r="L231" i="2"/>
  <c r="T230" i="2"/>
  <c r="D230" i="2"/>
  <c r="L229" i="2"/>
  <c r="T228" i="2"/>
  <c r="D228" i="2"/>
  <c r="L227" i="2"/>
  <c r="T226" i="2"/>
  <c r="D226" i="2"/>
  <c r="L225" i="2"/>
  <c r="V224" i="2"/>
  <c r="J224" i="2"/>
  <c r="U223" i="2"/>
  <c r="G223" i="2"/>
  <c r="T222" i="2"/>
  <c r="F222" i="2"/>
  <c r="R221" i="2"/>
  <c r="E221" i="2"/>
  <c r="O220" i="2"/>
  <c r="D220" i="2"/>
  <c r="N219" i="2"/>
  <c r="B219" i="2"/>
  <c r="O218" i="2"/>
  <c r="E218" i="2"/>
  <c r="R217" i="2"/>
  <c r="G217" i="2"/>
  <c r="U216" i="2"/>
  <c r="J216" i="2"/>
  <c r="W215" i="2"/>
  <c r="M215" i="2"/>
  <c r="B215" i="2"/>
  <c r="O214" i="2"/>
  <c r="E214" i="2"/>
  <c r="R213" i="2"/>
  <c r="G213" i="2"/>
  <c r="U212" i="2"/>
  <c r="J212" i="2"/>
  <c r="W211" i="2"/>
  <c r="M211" i="2"/>
  <c r="B211" i="2"/>
  <c r="O210" i="2"/>
  <c r="E210" i="2"/>
  <c r="R209" i="2"/>
  <c r="G209" i="2"/>
  <c r="U208" i="2"/>
  <c r="J208" i="2"/>
  <c r="W207" i="2"/>
  <c r="M207" i="2"/>
  <c r="B207" i="2"/>
  <c r="O206" i="2"/>
  <c r="E206" i="2"/>
  <c r="R205" i="2"/>
  <c r="G205" i="2"/>
  <c r="V204" i="2"/>
  <c r="M204" i="2"/>
  <c r="D204" i="2"/>
  <c r="R203" i="2"/>
  <c r="I203" i="2"/>
  <c r="X202" i="2"/>
  <c r="O202" i="2"/>
  <c r="G202" i="2"/>
  <c r="W201" i="2"/>
  <c r="O201" i="2"/>
  <c r="G201" i="2"/>
  <c r="W200" i="2"/>
  <c r="O200" i="2"/>
  <c r="G200" i="2"/>
  <c r="W199" i="2"/>
  <c r="O199" i="2"/>
  <c r="G199" i="2"/>
  <c r="W198" i="2"/>
  <c r="O198" i="2"/>
  <c r="G198" i="2"/>
  <c r="W197" i="2"/>
  <c r="O197" i="2"/>
  <c r="G197" i="2"/>
  <c r="W196" i="2"/>
  <c r="O196" i="2"/>
  <c r="G196" i="2"/>
  <c r="W195" i="2"/>
  <c r="O195" i="2"/>
  <c r="G195" i="2"/>
  <c r="W194" i="2"/>
  <c r="O194" i="2"/>
  <c r="G194" i="2"/>
  <c r="W193" i="2"/>
  <c r="O193" i="2"/>
  <c r="G193" i="2"/>
  <c r="W192" i="2"/>
  <c r="O192" i="2"/>
  <c r="G192" i="2"/>
  <c r="W191" i="2"/>
  <c r="O191" i="2"/>
  <c r="G191" i="2"/>
  <c r="W190" i="2"/>
  <c r="O190" i="2"/>
  <c r="G190" i="2"/>
  <c r="W189" i="2"/>
  <c r="O189" i="2"/>
  <c r="G189" i="2"/>
  <c r="W188" i="2"/>
  <c r="O188" i="2"/>
  <c r="G188" i="2"/>
  <c r="W187" i="2"/>
  <c r="O187" i="2"/>
  <c r="G187" i="2"/>
  <c r="W186" i="2"/>
  <c r="O186" i="2"/>
  <c r="G186" i="2"/>
  <c r="W185" i="2"/>
  <c r="O185" i="2"/>
  <c r="G185" i="2"/>
  <c r="W184" i="2"/>
  <c r="O184" i="2"/>
  <c r="G184" i="2"/>
  <c r="W183" i="2"/>
  <c r="O183" i="2"/>
  <c r="G183" i="2"/>
  <c r="W182" i="2"/>
  <c r="O182" i="2"/>
  <c r="G182" i="2"/>
  <c r="W181" i="2"/>
  <c r="O181" i="2"/>
  <c r="G181" i="2"/>
  <c r="W180" i="2"/>
  <c r="O180" i="2"/>
  <c r="G180" i="2"/>
  <c r="W179" i="2"/>
  <c r="O179" i="2"/>
  <c r="G179" i="2"/>
  <c r="W178" i="2"/>
  <c r="O178" i="2"/>
  <c r="G178" i="2"/>
  <c r="W177" i="2"/>
  <c r="O177" i="2"/>
  <c r="G177" i="2"/>
  <c r="W176" i="2"/>
  <c r="O176" i="2"/>
  <c r="G176" i="2"/>
  <c r="W175" i="2"/>
  <c r="O175" i="2"/>
  <c r="G175" i="2"/>
  <c r="W174" i="2"/>
  <c r="O174" i="2"/>
  <c r="G174" i="2"/>
  <c r="W290" i="2"/>
  <c r="H276" i="2"/>
  <c r="Q269" i="2"/>
  <c r="J264" i="2"/>
  <c r="S260" i="2"/>
  <c r="E258" i="2"/>
  <c r="C256" i="2"/>
  <c r="V253" i="2"/>
  <c r="T251" i="2"/>
  <c r="Q249" i="2"/>
  <c r="S247" i="2"/>
  <c r="W245" i="2"/>
  <c r="E244" i="2"/>
  <c r="K242" i="2"/>
  <c r="C241" i="2"/>
  <c r="W239" i="2"/>
  <c r="T238" i="2"/>
  <c r="N237" i="2"/>
  <c r="R236" i="2"/>
  <c r="U235" i="2"/>
  <c r="V234" i="2"/>
  <c r="B234" i="2"/>
  <c r="J233" i="2"/>
  <c r="R232" i="2"/>
  <c r="B232" i="2"/>
  <c r="J231" i="2"/>
  <c r="R230" i="2"/>
  <c r="B230" i="2"/>
  <c r="J229" i="2"/>
  <c r="R228" i="2"/>
  <c r="B228" i="2"/>
  <c r="J227" i="2"/>
  <c r="R226" i="2"/>
  <c r="B226" i="2"/>
  <c r="J225" i="2"/>
  <c r="U224" i="2"/>
  <c r="G224" i="2"/>
  <c r="T223" i="2"/>
  <c r="F223" i="2"/>
  <c r="R222" i="2"/>
  <c r="E222" i="2"/>
  <c r="O221" i="2"/>
  <c r="D221" i="2"/>
  <c r="N220" i="2"/>
  <c r="B220" i="2"/>
  <c r="M219" i="2"/>
  <c r="X218" i="2"/>
  <c r="N218" i="2"/>
  <c r="D218" i="2"/>
  <c r="P217" i="2"/>
  <c r="F217" i="2"/>
  <c r="T216" i="2"/>
  <c r="H216" i="2"/>
  <c r="V215" i="2"/>
  <c r="L215" i="2"/>
  <c r="X214" i="2"/>
  <c r="N214" i="2"/>
  <c r="D214" i="2"/>
  <c r="P213" i="2"/>
  <c r="F213" i="2"/>
  <c r="T212" i="2"/>
  <c r="H212" i="2"/>
  <c r="V211" i="2"/>
  <c r="L211" i="2"/>
  <c r="X210" i="2"/>
  <c r="N210" i="2"/>
  <c r="D210" i="2"/>
  <c r="P209" i="2"/>
  <c r="F209" i="2"/>
  <c r="T208" i="2"/>
  <c r="H208" i="2"/>
  <c r="V207" i="2"/>
  <c r="L207" i="2"/>
  <c r="X206" i="2"/>
  <c r="N206" i="2"/>
  <c r="D206" i="2"/>
  <c r="P205" i="2"/>
  <c r="F205" i="2"/>
  <c r="U204" i="2"/>
  <c r="L204" i="2"/>
  <c r="B204" i="2"/>
  <c r="Q203" i="2"/>
  <c r="H203" i="2"/>
  <c r="W202" i="2"/>
  <c r="N202" i="2"/>
  <c r="F202" i="2"/>
  <c r="V201" i="2"/>
  <c r="N201" i="2"/>
  <c r="F201" i="2"/>
  <c r="V200" i="2"/>
  <c r="N200" i="2"/>
  <c r="F200" i="2"/>
  <c r="V199" i="2"/>
  <c r="N199" i="2"/>
  <c r="F199" i="2"/>
  <c r="V198" i="2"/>
  <c r="N198" i="2"/>
  <c r="F198" i="2"/>
  <c r="V197" i="2"/>
  <c r="N197" i="2"/>
  <c r="F197" i="2"/>
  <c r="V196" i="2"/>
  <c r="N196" i="2"/>
  <c r="F196" i="2"/>
  <c r="V195" i="2"/>
  <c r="N195" i="2"/>
  <c r="F195" i="2"/>
  <c r="V194" i="2"/>
  <c r="N194" i="2"/>
  <c r="F194" i="2"/>
  <c r="V193" i="2"/>
  <c r="N193" i="2"/>
  <c r="F193" i="2"/>
  <c r="V192" i="2"/>
  <c r="N192" i="2"/>
  <c r="F192" i="2"/>
  <c r="V191" i="2"/>
  <c r="N191" i="2"/>
  <c r="F191" i="2"/>
  <c r="V190" i="2"/>
  <c r="N190" i="2"/>
  <c r="F190" i="2"/>
  <c r="V189" i="2"/>
  <c r="N189" i="2"/>
  <c r="F189" i="2"/>
  <c r="V188" i="2"/>
  <c r="N188" i="2"/>
  <c r="F188" i="2"/>
  <c r="V187" i="2"/>
  <c r="N187" i="2"/>
  <c r="R288" i="2"/>
  <c r="G275" i="2"/>
  <c r="W268" i="2"/>
  <c r="V263" i="2"/>
  <c r="K260" i="2"/>
  <c r="V257" i="2"/>
  <c r="T255" i="2"/>
  <c r="Q253" i="2"/>
  <c r="M251" i="2"/>
  <c r="K249" i="2"/>
  <c r="M247" i="2"/>
  <c r="S245" i="2"/>
  <c r="W243" i="2"/>
  <c r="E242" i="2"/>
  <c r="Y240" i="2"/>
  <c r="S239" i="2"/>
  <c r="O238" i="2"/>
  <c r="M237" i="2"/>
  <c r="N236" i="2"/>
  <c r="R235" i="2"/>
  <c r="U234" i="2"/>
  <c r="V233" i="2"/>
  <c r="F233" i="2"/>
  <c r="N232" i="2"/>
  <c r="V231" i="2"/>
  <c r="F231" i="2"/>
  <c r="N230" i="2"/>
  <c r="V229" i="2"/>
  <c r="F229" i="2"/>
  <c r="N228" i="2"/>
  <c r="V227" i="2"/>
  <c r="F227" i="2"/>
  <c r="N226" i="2"/>
  <c r="V225" i="2"/>
  <c r="G225" i="2"/>
  <c r="T224" i="2"/>
  <c r="F224" i="2"/>
  <c r="R223" i="2"/>
  <c r="E223" i="2"/>
  <c r="O222" i="2"/>
  <c r="D222" i="2"/>
  <c r="N221" i="2"/>
  <c r="B221" i="2"/>
  <c r="M220" i="2"/>
  <c r="W219" i="2"/>
  <c r="L219" i="2"/>
  <c r="W218" i="2"/>
  <c r="M218" i="2"/>
  <c r="B218" i="2"/>
  <c r="O217" i="2"/>
  <c r="E217" i="2"/>
  <c r="R216" i="2"/>
  <c r="G216" i="2"/>
  <c r="U215" i="2"/>
  <c r="J215" i="2"/>
  <c r="W214" i="2"/>
  <c r="M214" i="2"/>
  <c r="B214" i="2"/>
  <c r="O213" i="2"/>
  <c r="E213" i="2"/>
  <c r="R212" i="2"/>
  <c r="G212" i="2"/>
  <c r="U211" i="2"/>
  <c r="J211" i="2"/>
  <c r="W210" i="2"/>
  <c r="M210" i="2"/>
  <c r="B210" i="2"/>
  <c r="O209" i="2"/>
  <c r="E209" i="2"/>
  <c r="R208" i="2"/>
  <c r="G208" i="2"/>
  <c r="U207" i="2"/>
  <c r="J207" i="2"/>
  <c r="W206" i="2"/>
  <c r="M206" i="2"/>
  <c r="B206" i="2"/>
  <c r="O205" i="2"/>
  <c r="E205" i="2"/>
  <c r="T204" i="2"/>
  <c r="J204" i="2"/>
  <c r="Y203" i="2"/>
  <c r="P203" i="2"/>
  <c r="G203" i="2"/>
  <c r="V202" i="2"/>
  <c r="M202" i="2"/>
  <c r="E202" i="2"/>
  <c r="U201" i="2"/>
  <c r="M201" i="2"/>
  <c r="E201" i="2"/>
  <c r="U200" i="2"/>
  <c r="M200" i="2"/>
  <c r="E200" i="2"/>
  <c r="U199" i="2"/>
  <c r="M199" i="2"/>
  <c r="E199" i="2"/>
  <c r="U198" i="2"/>
  <c r="M198" i="2"/>
  <c r="E198" i="2"/>
  <c r="U197" i="2"/>
  <c r="M197" i="2"/>
  <c r="E197" i="2"/>
  <c r="U196" i="2"/>
  <c r="M196" i="2"/>
  <c r="E196" i="2"/>
  <c r="U195" i="2"/>
  <c r="M195" i="2"/>
  <c r="E195" i="2"/>
  <c r="U194" i="2"/>
  <c r="M194" i="2"/>
  <c r="E194" i="2"/>
  <c r="U193" i="2"/>
  <c r="M193" i="2"/>
  <c r="O284" i="2"/>
  <c r="P273" i="2"/>
  <c r="Q267" i="2"/>
  <c r="W262" i="2"/>
  <c r="O259" i="2"/>
  <c r="K257" i="2"/>
  <c r="F255" i="2"/>
  <c r="D253" i="2"/>
  <c r="Y250" i="2"/>
  <c r="U248" i="2"/>
  <c r="C247" i="2"/>
  <c r="G245" i="2"/>
  <c r="M243" i="2"/>
  <c r="V241" i="2"/>
  <c r="O240" i="2"/>
  <c r="M239" i="2"/>
  <c r="I238" i="2"/>
  <c r="F237" i="2"/>
  <c r="J236" i="2"/>
  <c r="M235" i="2"/>
  <c r="N234" i="2"/>
  <c r="T233" i="2"/>
  <c r="D233" i="2"/>
  <c r="L232" i="2"/>
  <c r="T231" i="2"/>
  <c r="D231" i="2"/>
  <c r="L230" i="2"/>
  <c r="T229" i="2"/>
  <c r="D229" i="2"/>
  <c r="L228" i="2"/>
  <c r="T227" i="2"/>
  <c r="D227" i="2"/>
  <c r="L226" i="2"/>
  <c r="T225" i="2"/>
  <c r="E225" i="2"/>
  <c r="O224" i="2"/>
  <c r="D224" i="2"/>
  <c r="N223" i="2"/>
  <c r="B223" i="2"/>
  <c r="M222" i="2"/>
  <c r="W221" i="2"/>
  <c r="L221" i="2"/>
  <c r="V220" i="2"/>
  <c r="J220" i="2"/>
  <c r="U219" i="2"/>
  <c r="G219" i="2"/>
  <c r="U218" i="2"/>
  <c r="J218" i="2"/>
  <c r="W217" i="2"/>
  <c r="M217" i="2"/>
  <c r="B217" i="2"/>
  <c r="O216" i="2"/>
  <c r="E216" i="2"/>
  <c r="R215" i="2"/>
  <c r="G215" i="2"/>
  <c r="U214" i="2"/>
  <c r="J214" i="2"/>
  <c r="W213" i="2"/>
  <c r="M213" i="2"/>
  <c r="B213" i="2"/>
  <c r="O212" i="2"/>
  <c r="E212" i="2"/>
  <c r="R211" i="2"/>
  <c r="G211" i="2"/>
  <c r="U210" i="2"/>
  <c r="J210" i="2"/>
  <c r="W209" i="2"/>
  <c r="M209" i="2"/>
  <c r="B209" i="2"/>
  <c r="O208" i="2"/>
  <c r="O282" i="2"/>
  <c r="O272" i="2"/>
  <c r="W266" i="2"/>
  <c r="M262" i="2"/>
  <c r="F259" i="2"/>
  <c r="D257" i="2"/>
  <c r="Y254" i="2"/>
  <c r="U252" i="2"/>
  <c r="S250" i="2"/>
  <c r="O248" i="2"/>
  <c r="U246" i="2"/>
  <c r="C245" i="2"/>
  <c r="G243" i="2"/>
  <c r="S241" i="2"/>
  <c r="N240" i="2"/>
  <c r="G239" i="2"/>
  <c r="E238" i="2"/>
  <c r="E237" i="2"/>
  <c r="F236" i="2"/>
  <c r="J235" i="2"/>
  <c r="M234" i="2"/>
  <c r="R233" i="2"/>
  <c r="B233" i="2"/>
  <c r="J232" i="2"/>
  <c r="R231" i="2"/>
  <c r="B231" i="2"/>
  <c r="J230" i="2"/>
  <c r="R229" i="2"/>
  <c r="B229" i="2"/>
  <c r="J228" i="2"/>
  <c r="R227" i="2"/>
  <c r="B227" i="2"/>
  <c r="J226" i="2"/>
  <c r="R225" i="2"/>
  <c r="D225" i="2"/>
  <c r="N224" i="2"/>
  <c r="B224" i="2"/>
  <c r="M223" i="2"/>
  <c r="W222" i="2"/>
  <c r="L222" i="2"/>
  <c r="V221" i="2"/>
  <c r="J221" i="2"/>
  <c r="U220" i="2"/>
  <c r="G220" i="2"/>
  <c r="T219" i="2"/>
  <c r="F219" i="2"/>
  <c r="T218" i="2"/>
  <c r="H218" i="2"/>
  <c r="V217" i="2"/>
  <c r="L217" i="2"/>
  <c r="X216" i="2"/>
  <c r="N216" i="2"/>
  <c r="D216" i="2"/>
  <c r="P215" i="2"/>
  <c r="F215" i="2"/>
  <c r="T214" i="2"/>
  <c r="H214" i="2"/>
  <c r="V213" i="2"/>
  <c r="L213" i="2"/>
  <c r="X212" i="2"/>
  <c r="N212" i="2"/>
  <c r="D212" i="2"/>
  <c r="P211" i="2"/>
  <c r="F211" i="2"/>
  <c r="T210" i="2"/>
  <c r="H210" i="2"/>
  <c r="V209" i="2"/>
  <c r="L209" i="2"/>
  <c r="X208" i="2"/>
  <c r="N208" i="2"/>
  <c r="D208" i="2"/>
  <c r="P207" i="2"/>
  <c r="F207" i="2"/>
  <c r="T206" i="2"/>
  <c r="H206" i="2"/>
  <c r="V205" i="2"/>
  <c r="L205" i="2"/>
  <c r="Y204" i="2"/>
  <c r="P204" i="2"/>
  <c r="G204" i="2"/>
  <c r="V203" i="2"/>
  <c r="M203" i="2"/>
  <c r="D203" i="2"/>
  <c r="R202" i="2"/>
  <c r="J202" i="2"/>
  <c r="P295" i="2"/>
  <c r="O261" i="2"/>
  <c r="I252" i="2"/>
  <c r="O244" i="2"/>
  <c r="C239" i="2"/>
  <c r="E235" i="2"/>
  <c r="E232" i="2"/>
  <c r="M229" i="2"/>
  <c r="U226" i="2"/>
  <c r="L224" i="2"/>
  <c r="G222" i="2"/>
  <c r="E220" i="2"/>
  <c r="F218" i="2"/>
  <c r="L216" i="2"/>
  <c r="P214" i="2"/>
  <c r="V212" i="2"/>
  <c r="D211" i="2"/>
  <c r="H209" i="2"/>
  <c r="T207" i="2"/>
  <c r="P206" i="2"/>
  <c r="M205" i="2"/>
  <c r="I204" i="2"/>
  <c r="J203" i="2"/>
  <c r="K202" i="2"/>
  <c r="R201" i="2"/>
  <c r="B201" i="2"/>
  <c r="J200" i="2"/>
  <c r="R199" i="2"/>
  <c r="B199" i="2"/>
  <c r="J198" i="2"/>
  <c r="R197" i="2"/>
  <c r="B197" i="2"/>
  <c r="J196" i="2"/>
  <c r="R195" i="2"/>
  <c r="B195" i="2"/>
  <c r="J194" i="2"/>
  <c r="R193" i="2"/>
  <c r="C193" i="2"/>
  <c r="M192" i="2"/>
  <c r="B192" i="2"/>
  <c r="L191" i="2"/>
  <c r="X190" i="2"/>
  <c r="K190" i="2"/>
  <c r="U189" i="2"/>
  <c r="J189" i="2"/>
  <c r="T188" i="2"/>
  <c r="H188" i="2"/>
  <c r="S187" i="2"/>
  <c r="F187" i="2"/>
  <c r="T186" i="2"/>
  <c r="J186" i="2"/>
  <c r="V185" i="2"/>
  <c r="L185" i="2"/>
  <c r="B185" i="2"/>
  <c r="N184" i="2"/>
  <c r="D184" i="2"/>
  <c r="R183" i="2"/>
  <c r="F183" i="2"/>
  <c r="T182" i="2"/>
  <c r="J182" i="2"/>
  <c r="V181" i="2"/>
  <c r="L181" i="2"/>
  <c r="B181" i="2"/>
  <c r="N180" i="2"/>
  <c r="D180" i="2"/>
  <c r="R179" i="2"/>
  <c r="F179" i="2"/>
  <c r="T178" i="2"/>
  <c r="J178" i="2"/>
  <c r="V177" i="2"/>
  <c r="L177" i="2"/>
  <c r="B177" i="2"/>
  <c r="N176" i="2"/>
  <c r="D176" i="2"/>
  <c r="R175" i="2"/>
  <c r="F175" i="2"/>
  <c r="T174" i="2"/>
  <c r="J174" i="2"/>
  <c r="W173" i="2"/>
  <c r="N173" i="2"/>
  <c r="E173" i="2"/>
  <c r="U172" i="2"/>
  <c r="M172" i="2"/>
  <c r="E172" i="2"/>
  <c r="U171" i="2"/>
  <c r="M171" i="2"/>
  <c r="E171" i="2"/>
  <c r="U170" i="2"/>
  <c r="M170" i="2"/>
  <c r="E170" i="2"/>
  <c r="U169" i="2"/>
  <c r="M169" i="2"/>
  <c r="E169" i="2"/>
  <c r="U168" i="2"/>
  <c r="M168" i="2"/>
  <c r="E168" i="2"/>
  <c r="U167" i="2"/>
  <c r="M167" i="2"/>
  <c r="E167" i="2"/>
  <c r="U166" i="2"/>
  <c r="M166" i="2"/>
  <c r="E166" i="2"/>
  <c r="U165" i="2"/>
  <c r="M165" i="2"/>
  <c r="E165" i="2"/>
  <c r="U164" i="2"/>
  <c r="M164" i="2"/>
  <c r="E164" i="2"/>
  <c r="U163" i="2"/>
  <c r="M163" i="2"/>
  <c r="E163" i="2"/>
  <c r="U162" i="2"/>
  <c r="M162" i="2"/>
  <c r="E162" i="2"/>
  <c r="U161" i="2"/>
  <c r="M161" i="2"/>
  <c r="E161" i="2"/>
  <c r="U160" i="2"/>
  <c r="M160" i="2"/>
  <c r="E160" i="2"/>
  <c r="U159" i="2"/>
  <c r="M159" i="2"/>
  <c r="E159" i="2"/>
  <c r="U158" i="2"/>
  <c r="M158" i="2"/>
  <c r="E158" i="2"/>
  <c r="U157" i="2"/>
  <c r="M157" i="2"/>
  <c r="E157" i="2"/>
  <c r="U156" i="2"/>
  <c r="M156" i="2"/>
  <c r="E156" i="2"/>
  <c r="U155" i="2"/>
  <c r="M155" i="2"/>
  <c r="E155" i="2"/>
  <c r="U154" i="2"/>
  <c r="M154" i="2"/>
  <c r="E154" i="2"/>
  <c r="U153" i="2"/>
  <c r="M153" i="2"/>
  <c r="E153" i="2"/>
  <c r="U152" i="2"/>
  <c r="M152" i="2"/>
  <c r="E152" i="2"/>
  <c r="U151" i="2"/>
  <c r="M151" i="2"/>
  <c r="E151" i="2"/>
  <c r="U150" i="2"/>
  <c r="M150" i="2"/>
  <c r="E150" i="2"/>
  <c r="U149" i="2"/>
  <c r="M149" i="2"/>
  <c r="E149" i="2"/>
  <c r="U148" i="2"/>
  <c r="M148" i="2"/>
  <c r="E148" i="2"/>
  <c r="U147" i="2"/>
  <c r="M147" i="2"/>
  <c r="E147" i="2"/>
  <c r="U146" i="2"/>
  <c r="M146" i="2"/>
  <c r="E146" i="2"/>
  <c r="U145" i="2"/>
  <c r="M145" i="2"/>
  <c r="E145" i="2"/>
  <c r="U144" i="2"/>
  <c r="M144" i="2"/>
  <c r="E144" i="2"/>
  <c r="U143" i="2"/>
  <c r="M143" i="2"/>
  <c r="E143" i="2"/>
  <c r="U142" i="2"/>
  <c r="M142" i="2"/>
  <c r="E142" i="2"/>
  <c r="U141" i="2"/>
  <c r="M141" i="2"/>
  <c r="E141" i="2"/>
  <c r="U140" i="2"/>
  <c r="M140" i="2"/>
  <c r="E140" i="2"/>
  <c r="U139" i="2"/>
  <c r="M139" i="2"/>
  <c r="E139" i="2"/>
  <c r="U138" i="2"/>
  <c r="M138" i="2"/>
  <c r="E138" i="2"/>
  <c r="N278" i="2"/>
  <c r="S258" i="2"/>
  <c r="E250" i="2"/>
  <c r="U242" i="2"/>
  <c r="V237" i="2"/>
  <c r="F234" i="2"/>
  <c r="M231" i="2"/>
  <c r="U228" i="2"/>
  <c r="E226" i="2"/>
  <c r="V223" i="2"/>
  <c r="T221" i="2"/>
  <c r="O219" i="2"/>
  <c r="T217" i="2"/>
  <c r="X215" i="2"/>
  <c r="F214" i="2"/>
  <c r="L212" i="2"/>
  <c r="P210" i="2"/>
  <c r="V208" i="2"/>
  <c r="N207" i="2"/>
  <c r="J206" i="2"/>
  <c r="D205" i="2"/>
  <c r="E204" i="2"/>
  <c r="E203" i="2"/>
  <c r="D202" i="2"/>
  <c r="L201" i="2"/>
  <c r="T200" i="2"/>
  <c r="D200" i="2"/>
  <c r="L199" i="2"/>
  <c r="T198" i="2"/>
  <c r="D198" i="2"/>
  <c r="L197" i="2"/>
  <c r="T196" i="2"/>
  <c r="D196" i="2"/>
  <c r="L195" i="2"/>
  <c r="T194" i="2"/>
  <c r="D194" i="2"/>
  <c r="L193" i="2"/>
  <c r="X192" i="2"/>
  <c r="K192" i="2"/>
  <c r="U191" i="2"/>
  <c r="J191" i="2"/>
  <c r="T190" i="2"/>
  <c r="H190" i="2"/>
  <c r="S189" i="2"/>
  <c r="E189" i="2"/>
  <c r="R188" i="2"/>
  <c r="D188" i="2"/>
  <c r="P187" i="2"/>
  <c r="D187" i="2"/>
  <c r="R186" i="2"/>
  <c r="F186" i="2"/>
  <c r="T185" i="2"/>
  <c r="J185" i="2"/>
  <c r="V184" i="2"/>
  <c r="L184" i="2"/>
  <c r="B184" i="2"/>
  <c r="N183" i="2"/>
  <c r="D183" i="2"/>
  <c r="R182" i="2"/>
  <c r="F182" i="2"/>
  <c r="T181" i="2"/>
  <c r="J181" i="2"/>
  <c r="V180" i="2"/>
  <c r="L180" i="2"/>
  <c r="B180" i="2"/>
  <c r="N179" i="2"/>
  <c r="D179" i="2"/>
  <c r="R178" i="2"/>
  <c r="F178" i="2"/>
  <c r="T177" i="2"/>
  <c r="J177" i="2"/>
  <c r="V176" i="2"/>
  <c r="L176" i="2"/>
  <c r="B176" i="2"/>
  <c r="N175" i="2"/>
  <c r="D175" i="2"/>
  <c r="R174" i="2"/>
  <c r="F174" i="2"/>
  <c r="U173" i="2"/>
  <c r="L173" i="2"/>
  <c r="C173" i="2"/>
  <c r="S172" i="2"/>
  <c r="K172" i="2"/>
  <c r="C172" i="2"/>
  <c r="S171" i="2"/>
  <c r="K171" i="2"/>
  <c r="C171" i="2"/>
  <c r="S170" i="2"/>
  <c r="K170" i="2"/>
  <c r="C170" i="2"/>
  <c r="S169" i="2"/>
  <c r="K169" i="2"/>
  <c r="C169" i="2"/>
  <c r="S168" i="2"/>
  <c r="K168" i="2"/>
  <c r="C168" i="2"/>
  <c r="S167" i="2"/>
  <c r="K167" i="2"/>
  <c r="C167" i="2"/>
  <c r="S166" i="2"/>
  <c r="K166" i="2"/>
  <c r="C166" i="2"/>
  <c r="S165" i="2"/>
  <c r="K165" i="2"/>
  <c r="C165" i="2"/>
  <c r="S164" i="2"/>
  <c r="K164" i="2"/>
  <c r="C164" i="2"/>
  <c r="S163" i="2"/>
  <c r="K163" i="2"/>
  <c r="C163" i="2"/>
  <c r="S162" i="2"/>
  <c r="K162" i="2"/>
  <c r="C162" i="2"/>
  <c r="S161" i="2"/>
  <c r="K161" i="2"/>
  <c r="C161" i="2"/>
  <c r="S160" i="2"/>
  <c r="K160" i="2"/>
  <c r="C160" i="2"/>
  <c r="S159" i="2"/>
  <c r="K159" i="2"/>
  <c r="C159" i="2"/>
  <c r="S158" i="2"/>
  <c r="K158" i="2"/>
  <c r="C158" i="2"/>
  <c r="S157" i="2"/>
  <c r="K157" i="2"/>
  <c r="C157" i="2"/>
  <c r="S156" i="2"/>
  <c r="K156" i="2"/>
  <c r="C156" i="2"/>
  <c r="S155" i="2"/>
  <c r="K155" i="2"/>
  <c r="C155" i="2"/>
  <c r="S154" i="2"/>
  <c r="K154" i="2"/>
  <c r="C154" i="2"/>
  <c r="S153" i="2"/>
  <c r="K153" i="2"/>
  <c r="C153" i="2"/>
  <c r="S152" i="2"/>
  <c r="K152" i="2"/>
  <c r="C152" i="2"/>
  <c r="S151" i="2"/>
  <c r="K151" i="2"/>
  <c r="C151" i="2"/>
  <c r="S150" i="2"/>
  <c r="K150" i="2"/>
  <c r="C150" i="2"/>
  <c r="S149" i="2"/>
  <c r="K149" i="2"/>
  <c r="C149" i="2"/>
  <c r="S148" i="2"/>
  <c r="K148" i="2"/>
  <c r="C148" i="2"/>
  <c r="S147" i="2"/>
  <c r="K147" i="2"/>
  <c r="C147" i="2"/>
  <c r="S146" i="2"/>
  <c r="K146" i="2"/>
  <c r="C146" i="2"/>
  <c r="S145" i="2"/>
  <c r="K145" i="2"/>
  <c r="C145" i="2"/>
  <c r="S144" i="2"/>
  <c r="K144" i="2"/>
  <c r="C144" i="2"/>
  <c r="S143" i="2"/>
  <c r="K143" i="2"/>
  <c r="C143" i="2"/>
  <c r="S142" i="2"/>
  <c r="K142" i="2"/>
  <c r="C142" i="2"/>
  <c r="S141" i="2"/>
  <c r="K141" i="2"/>
  <c r="C141" i="2"/>
  <c r="S140" i="2"/>
  <c r="K140" i="2"/>
  <c r="C140" i="2"/>
  <c r="S139" i="2"/>
  <c r="K139" i="2"/>
  <c r="C139" i="2"/>
  <c r="S138" i="2"/>
  <c r="K138" i="2"/>
  <c r="C138" i="2"/>
  <c r="O274" i="2"/>
  <c r="Q257" i="2"/>
  <c r="D249" i="2"/>
  <c r="W241" i="2"/>
  <c r="J237" i="2"/>
  <c r="U233" i="2"/>
  <c r="E231" i="2"/>
  <c r="M228" i="2"/>
  <c r="U225" i="2"/>
  <c r="O223" i="2"/>
  <c r="M221" i="2"/>
  <c r="J219" i="2"/>
  <c r="N217" i="2"/>
  <c r="T215" i="2"/>
  <c r="X213" i="2"/>
  <c r="F212" i="2"/>
  <c r="L210" i="2"/>
  <c r="P208" i="2"/>
  <c r="H207" i="2"/>
  <c r="F206" i="2"/>
  <c r="B205" i="2"/>
  <c r="X203" i="2"/>
  <c r="Y202" i="2"/>
  <c r="C202" i="2"/>
  <c r="K201" i="2"/>
  <c r="S200" i="2"/>
  <c r="C200" i="2"/>
  <c r="K199" i="2"/>
  <c r="S198" i="2"/>
  <c r="C198" i="2"/>
  <c r="K197" i="2"/>
  <c r="S196" i="2"/>
  <c r="C196" i="2"/>
  <c r="K195" i="2"/>
  <c r="S194" i="2"/>
  <c r="C194" i="2"/>
  <c r="K193" i="2"/>
  <c r="U192" i="2"/>
  <c r="J192" i="2"/>
  <c r="T191" i="2"/>
  <c r="H191" i="2"/>
  <c r="S190" i="2"/>
  <c r="E190" i="2"/>
  <c r="R189" i="2"/>
  <c r="D189" i="2"/>
  <c r="P188" i="2"/>
  <c r="C188" i="2"/>
  <c r="M187" i="2"/>
  <c r="C187" i="2"/>
  <c r="P186" i="2"/>
  <c r="E186" i="2"/>
  <c r="S185" i="2"/>
  <c r="H185" i="2"/>
  <c r="U184" i="2"/>
  <c r="K184" i="2"/>
  <c r="X183" i="2"/>
  <c r="M183" i="2"/>
  <c r="C183" i="2"/>
  <c r="P182" i="2"/>
  <c r="E182" i="2"/>
  <c r="S181" i="2"/>
  <c r="H181" i="2"/>
  <c r="U180" i="2"/>
  <c r="K180" i="2"/>
  <c r="X179" i="2"/>
  <c r="M179" i="2"/>
  <c r="C179" i="2"/>
  <c r="P178" i="2"/>
  <c r="E178" i="2"/>
  <c r="S177" i="2"/>
  <c r="H177" i="2"/>
  <c r="U176" i="2"/>
  <c r="K176" i="2"/>
  <c r="X175" i="2"/>
  <c r="M175" i="2"/>
  <c r="C175" i="2"/>
  <c r="P174" i="2"/>
  <c r="E174" i="2"/>
  <c r="T173" i="2"/>
  <c r="K173" i="2"/>
  <c r="B173" i="2"/>
  <c r="R172" i="2"/>
  <c r="J172" i="2"/>
  <c r="B172" i="2"/>
  <c r="R171" i="2"/>
  <c r="J171" i="2"/>
  <c r="B171" i="2"/>
  <c r="R170" i="2"/>
  <c r="J170" i="2"/>
  <c r="B170" i="2"/>
  <c r="R169" i="2"/>
  <c r="J169" i="2"/>
  <c r="B169" i="2"/>
  <c r="R168" i="2"/>
  <c r="J168" i="2"/>
  <c r="B168" i="2"/>
  <c r="R167" i="2"/>
  <c r="J167" i="2"/>
  <c r="B167" i="2"/>
  <c r="R166" i="2"/>
  <c r="J166" i="2"/>
  <c r="B166" i="2"/>
  <c r="R165" i="2"/>
  <c r="J165" i="2"/>
  <c r="B165" i="2"/>
  <c r="R164" i="2"/>
  <c r="J164" i="2"/>
  <c r="B164" i="2"/>
  <c r="R163" i="2"/>
  <c r="J163" i="2"/>
  <c r="B163" i="2"/>
  <c r="R162" i="2"/>
  <c r="J162" i="2"/>
  <c r="B162" i="2"/>
  <c r="R161" i="2"/>
  <c r="J161" i="2"/>
  <c r="B161" i="2"/>
  <c r="R160" i="2"/>
  <c r="J160" i="2"/>
  <c r="B160" i="2"/>
  <c r="R159" i="2"/>
  <c r="J159" i="2"/>
  <c r="B159" i="2"/>
  <c r="R158" i="2"/>
  <c r="J158" i="2"/>
  <c r="B158" i="2"/>
  <c r="R157" i="2"/>
  <c r="J157" i="2"/>
  <c r="B157" i="2"/>
  <c r="R156" i="2"/>
  <c r="J156" i="2"/>
  <c r="B156" i="2"/>
  <c r="R155" i="2"/>
  <c r="J155" i="2"/>
  <c r="B155" i="2"/>
  <c r="R154" i="2"/>
  <c r="J154" i="2"/>
  <c r="B154" i="2"/>
  <c r="R153" i="2"/>
  <c r="J153" i="2"/>
  <c r="B153" i="2"/>
  <c r="R152" i="2"/>
  <c r="J152" i="2"/>
  <c r="B152" i="2"/>
  <c r="R151" i="2"/>
  <c r="J151" i="2"/>
  <c r="B151" i="2"/>
  <c r="R150" i="2"/>
  <c r="C271" i="2"/>
  <c r="N256" i="2"/>
  <c r="E248" i="2"/>
  <c r="L241" i="2"/>
  <c r="V236" i="2"/>
  <c r="M233" i="2"/>
  <c r="U230" i="2"/>
  <c r="E228" i="2"/>
  <c r="M225" i="2"/>
  <c r="J223" i="2"/>
  <c r="F221" i="2"/>
  <c r="D219" i="2"/>
  <c r="H217" i="2"/>
  <c r="N215" i="2"/>
  <c r="T213" i="2"/>
  <c r="X211" i="2"/>
  <c r="F210" i="2"/>
  <c r="L208" i="2"/>
  <c r="G207" i="2"/>
  <c r="X205" i="2"/>
  <c r="W204" i="2"/>
  <c r="W203" i="2"/>
  <c r="U202" i="2"/>
  <c r="B202" i="2"/>
  <c r="J201" i="2"/>
  <c r="R200" i="2"/>
  <c r="B200" i="2"/>
  <c r="J199" i="2"/>
  <c r="R198" i="2"/>
  <c r="B198" i="2"/>
  <c r="J197" i="2"/>
  <c r="R196" i="2"/>
  <c r="B196" i="2"/>
  <c r="J195" i="2"/>
  <c r="R194" i="2"/>
  <c r="B194" i="2"/>
  <c r="J193" i="2"/>
  <c r="T192" i="2"/>
  <c r="H192" i="2"/>
  <c r="S191" i="2"/>
  <c r="E191" i="2"/>
  <c r="R190" i="2"/>
  <c r="D190" i="2"/>
  <c r="P189" i="2"/>
  <c r="C189" i="2"/>
  <c r="M188" i="2"/>
  <c r="B188" i="2"/>
  <c r="L187" i="2"/>
  <c r="B187" i="2"/>
  <c r="N186" i="2"/>
  <c r="D186" i="2"/>
  <c r="R185" i="2"/>
  <c r="F185" i="2"/>
  <c r="T184" i="2"/>
  <c r="J184" i="2"/>
  <c r="V183" i="2"/>
  <c r="L183" i="2"/>
  <c r="B183" i="2"/>
  <c r="N182" i="2"/>
  <c r="D182" i="2"/>
  <c r="R181" i="2"/>
  <c r="F181" i="2"/>
  <c r="T180" i="2"/>
  <c r="J180" i="2"/>
  <c r="V179" i="2"/>
  <c r="L179" i="2"/>
  <c r="B179" i="2"/>
  <c r="N178" i="2"/>
  <c r="D178" i="2"/>
  <c r="R177" i="2"/>
  <c r="F177" i="2"/>
  <c r="T176" i="2"/>
  <c r="J176" i="2"/>
  <c r="V175" i="2"/>
  <c r="L175" i="2"/>
  <c r="B175" i="2"/>
  <c r="N174" i="2"/>
  <c r="D174" i="2"/>
  <c r="S173" i="2"/>
  <c r="J173" i="2"/>
  <c r="Y172" i="2"/>
  <c r="Q172" i="2"/>
  <c r="I172" i="2"/>
  <c r="Y171" i="2"/>
  <c r="Q171" i="2"/>
  <c r="I171" i="2"/>
  <c r="Y170" i="2"/>
  <c r="Q170" i="2"/>
  <c r="I170" i="2"/>
  <c r="Y169" i="2"/>
  <c r="Q169" i="2"/>
  <c r="I169" i="2"/>
  <c r="Y168" i="2"/>
  <c r="Q168" i="2"/>
  <c r="I168" i="2"/>
  <c r="Y167" i="2"/>
  <c r="Q167" i="2"/>
  <c r="I167" i="2"/>
  <c r="Y166" i="2"/>
  <c r="Q166" i="2"/>
  <c r="I166" i="2"/>
  <c r="Y165" i="2"/>
  <c r="Q165" i="2"/>
  <c r="I165" i="2"/>
  <c r="Y164" i="2"/>
  <c r="Q164" i="2"/>
  <c r="I164" i="2"/>
  <c r="Y163" i="2"/>
  <c r="Q163" i="2"/>
  <c r="I163" i="2"/>
  <c r="Y162" i="2"/>
  <c r="Q162" i="2"/>
  <c r="I162" i="2"/>
  <c r="Y161" i="2"/>
  <c r="Q161" i="2"/>
  <c r="I161" i="2"/>
  <c r="Y160" i="2"/>
  <c r="Q160" i="2"/>
  <c r="I160" i="2"/>
  <c r="Y159" i="2"/>
  <c r="Q159" i="2"/>
  <c r="I159" i="2"/>
  <c r="Y158" i="2"/>
  <c r="Q158" i="2"/>
  <c r="I158" i="2"/>
  <c r="Y157" i="2"/>
  <c r="Q157" i="2"/>
  <c r="I157" i="2"/>
  <c r="Q265" i="2"/>
  <c r="L254" i="2"/>
  <c r="K246" i="2"/>
  <c r="E240" i="2"/>
  <c r="B236" i="2"/>
  <c r="U232" i="2"/>
  <c r="E230" i="2"/>
  <c r="M227" i="2"/>
  <c r="W224" i="2"/>
  <c r="U222" i="2"/>
  <c r="R220" i="2"/>
  <c r="P218" i="2"/>
  <c r="V216" i="2"/>
  <c r="D215" i="2"/>
  <c r="H213" i="2"/>
  <c r="N211" i="2"/>
  <c r="T209" i="2"/>
  <c r="E208" i="2"/>
  <c r="V206" i="2"/>
  <c r="T205" i="2"/>
  <c r="Q204" i="2"/>
  <c r="O203" i="2"/>
  <c r="P202" i="2"/>
  <c r="T201" i="2"/>
  <c r="D201" i="2"/>
  <c r="L200" i="2"/>
  <c r="T199" i="2"/>
  <c r="D199" i="2"/>
  <c r="L198" i="2"/>
  <c r="T197" i="2"/>
  <c r="D197" i="2"/>
  <c r="L196" i="2"/>
  <c r="T195" i="2"/>
  <c r="D195" i="2"/>
  <c r="L194" i="2"/>
  <c r="T193" i="2"/>
  <c r="E193" i="2"/>
  <c r="R192" i="2"/>
  <c r="D192" i="2"/>
  <c r="P191" i="2"/>
  <c r="C191" i="2"/>
  <c r="M190" i="2"/>
  <c r="B190" i="2"/>
  <c r="L189" i="2"/>
  <c r="X188" i="2"/>
  <c r="K188" i="2"/>
  <c r="U187" i="2"/>
  <c r="J187" i="2"/>
  <c r="V186" i="2"/>
  <c r="L186" i="2"/>
  <c r="B186" i="2"/>
  <c r="N185" i="2"/>
  <c r="D185" i="2"/>
  <c r="R184" i="2"/>
  <c r="F184" i="2"/>
  <c r="T183" i="2"/>
  <c r="J183" i="2"/>
  <c r="V182" i="2"/>
  <c r="L182" i="2"/>
  <c r="B182" i="2"/>
  <c r="N181" i="2"/>
  <c r="D181" i="2"/>
  <c r="R180" i="2"/>
  <c r="F180" i="2"/>
  <c r="T179" i="2"/>
  <c r="J179" i="2"/>
  <c r="V178" i="2"/>
  <c r="L178" i="2"/>
  <c r="B178" i="2"/>
  <c r="N177" i="2"/>
  <c r="D177" i="2"/>
  <c r="R176" i="2"/>
  <c r="F176" i="2"/>
  <c r="T175" i="2"/>
  <c r="J175" i="2"/>
  <c r="V174" i="2"/>
  <c r="L174" i="2"/>
  <c r="B174" i="2"/>
  <c r="P173" i="2"/>
  <c r="G173" i="2"/>
  <c r="W172" i="2"/>
  <c r="O172" i="2"/>
  <c r="G172" i="2"/>
  <c r="W171" i="2"/>
  <c r="O171" i="2"/>
  <c r="K263" i="2"/>
  <c r="K253" i="2"/>
  <c r="M245" i="2"/>
  <c r="Q239" i="2"/>
  <c r="N235" i="2"/>
  <c r="M232" i="2"/>
  <c r="U229" i="2"/>
  <c r="E227" i="2"/>
  <c r="R224" i="2"/>
  <c r="N222" i="2"/>
  <c r="L220" i="2"/>
  <c r="L218" i="2"/>
  <c r="P216" i="2"/>
  <c r="V214" i="2"/>
  <c r="D213" i="2"/>
  <c r="H211" i="2"/>
  <c r="N209" i="2"/>
  <c r="X207" i="2"/>
  <c r="U206" i="2"/>
  <c r="N205" i="2"/>
  <c r="N204" i="2"/>
  <c r="N203" i="2"/>
  <c r="L202" i="2"/>
  <c r="S201" i="2"/>
  <c r="C201" i="2"/>
  <c r="K200" i="2"/>
  <c r="S199" i="2"/>
  <c r="C199" i="2"/>
  <c r="K198" i="2"/>
  <c r="S197" i="2"/>
  <c r="C197" i="2"/>
  <c r="K196" i="2"/>
  <c r="S195" i="2"/>
  <c r="C195" i="2"/>
  <c r="K194" i="2"/>
  <c r="S193" i="2"/>
  <c r="D193" i="2"/>
  <c r="P192" i="2"/>
  <c r="C192" i="2"/>
  <c r="M191" i="2"/>
  <c r="B191" i="2"/>
  <c r="L190" i="2"/>
  <c r="X189" i="2"/>
  <c r="K189" i="2"/>
  <c r="U188" i="2"/>
  <c r="J188" i="2"/>
  <c r="T187" i="2"/>
  <c r="H187" i="2"/>
  <c r="U186" i="2"/>
  <c r="K186" i="2"/>
  <c r="X185" i="2"/>
  <c r="M185" i="2"/>
  <c r="C185" i="2"/>
  <c r="P184" i="2"/>
  <c r="E184" i="2"/>
  <c r="S183" i="2"/>
  <c r="H183" i="2"/>
  <c r="U182" i="2"/>
  <c r="K182" i="2"/>
  <c r="X181" i="2"/>
  <c r="M181" i="2"/>
  <c r="C181" i="2"/>
  <c r="P180" i="2"/>
  <c r="E180" i="2"/>
  <c r="S179" i="2"/>
  <c r="H179" i="2"/>
  <c r="U178" i="2"/>
  <c r="K178" i="2"/>
  <c r="X177" i="2"/>
  <c r="M177" i="2"/>
  <c r="C177" i="2"/>
  <c r="P176" i="2"/>
  <c r="E176" i="2"/>
  <c r="S175" i="2"/>
  <c r="H175" i="2"/>
  <c r="U174" i="2"/>
  <c r="K174" i="2"/>
  <c r="X173" i="2"/>
  <c r="O173" i="2"/>
  <c r="F173" i="2"/>
  <c r="V172" i="2"/>
  <c r="N172" i="2"/>
  <c r="F172" i="2"/>
  <c r="V171" i="2"/>
  <c r="N171" i="2"/>
  <c r="F171" i="2"/>
  <c r="V170" i="2"/>
  <c r="N170" i="2"/>
  <c r="F170" i="2"/>
  <c r="V169" i="2"/>
  <c r="N169" i="2"/>
  <c r="F169" i="2"/>
  <c r="V168" i="2"/>
  <c r="N168" i="2"/>
  <c r="F168" i="2"/>
  <c r="V167" i="2"/>
  <c r="N167" i="2"/>
  <c r="F167" i="2"/>
  <c r="V166" i="2"/>
  <c r="N166" i="2"/>
  <c r="F166" i="2"/>
  <c r="V165" i="2"/>
  <c r="N165" i="2"/>
  <c r="F165" i="2"/>
  <c r="V164" i="2"/>
  <c r="P286" i="2"/>
  <c r="K238" i="2"/>
  <c r="M226" i="2"/>
  <c r="X217" i="2"/>
  <c r="V210" i="2"/>
  <c r="H205" i="2"/>
  <c r="P201" i="2"/>
  <c r="X198" i="2"/>
  <c r="H196" i="2"/>
  <c r="P193" i="2"/>
  <c r="K191" i="2"/>
  <c r="H189" i="2"/>
  <c r="E187" i="2"/>
  <c r="K185" i="2"/>
  <c r="P183" i="2"/>
  <c r="U181" i="2"/>
  <c r="C180" i="2"/>
  <c r="H178" i="2"/>
  <c r="M176" i="2"/>
  <c r="S174" i="2"/>
  <c r="D173" i="2"/>
  <c r="T171" i="2"/>
  <c r="T170" i="2"/>
  <c r="W169" i="2"/>
  <c r="X168" i="2"/>
  <c r="D168" i="2"/>
  <c r="G167" i="2"/>
  <c r="H166" i="2"/>
  <c r="L165" i="2"/>
  <c r="O164" i="2"/>
  <c r="W163" i="2"/>
  <c r="G163" i="2"/>
  <c r="O162" i="2"/>
  <c r="W161" i="2"/>
  <c r="G161" i="2"/>
  <c r="O160" i="2"/>
  <c r="W159" i="2"/>
  <c r="G159" i="2"/>
  <c r="O158" i="2"/>
  <c r="W157" i="2"/>
  <c r="G157" i="2"/>
  <c r="Q156" i="2"/>
  <c r="F156" i="2"/>
  <c r="P155" i="2"/>
  <c r="D155" i="2"/>
  <c r="O154" i="2"/>
  <c r="Y153" i="2"/>
  <c r="N153" i="2"/>
  <c r="X152" i="2"/>
  <c r="L152" i="2"/>
  <c r="W151" i="2"/>
  <c r="I151" i="2"/>
  <c r="V150" i="2"/>
  <c r="I150" i="2"/>
  <c r="W149" i="2"/>
  <c r="L149" i="2"/>
  <c r="Y148" i="2"/>
  <c r="O148" i="2"/>
  <c r="D148" i="2"/>
  <c r="Q147" i="2"/>
  <c r="G147" i="2"/>
  <c r="T146" i="2"/>
  <c r="I146" i="2"/>
  <c r="W145" i="2"/>
  <c r="L145" i="2"/>
  <c r="Y144" i="2"/>
  <c r="O144" i="2"/>
  <c r="D144" i="2"/>
  <c r="Q143" i="2"/>
  <c r="G143" i="2"/>
  <c r="T142" i="2"/>
  <c r="I142" i="2"/>
  <c r="W141" i="2"/>
  <c r="L141" i="2"/>
  <c r="Y140" i="2"/>
  <c r="O140" i="2"/>
  <c r="D140" i="2"/>
  <c r="Q139" i="2"/>
  <c r="G139" i="2"/>
  <c r="T138" i="2"/>
  <c r="I138" i="2"/>
  <c r="W137" i="2"/>
  <c r="O137" i="2"/>
  <c r="G137" i="2"/>
  <c r="W136" i="2"/>
  <c r="O136" i="2"/>
  <c r="G136" i="2"/>
  <c r="W135" i="2"/>
  <c r="O135" i="2"/>
  <c r="G135" i="2"/>
  <c r="W134" i="2"/>
  <c r="O134" i="2"/>
  <c r="G134" i="2"/>
  <c r="W133" i="2"/>
  <c r="O133" i="2"/>
  <c r="G133" i="2"/>
  <c r="W132" i="2"/>
  <c r="O132" i="2"/>
  <c r="G132" i="2"/>
  <c r="W131" i="2"/>
  <c r="O131" i="2"/>
  <c r="G131" i="2"/>
  <c r="W130" i="2"/>
  <c r="O130" i="2"/>
  <c r="G130" i="2"/>
  <c r="W129" i="2"/>
  <c r="O129" i="2"/>
  <c r="G129" i="2"/>
  <c r="W128" i="2"/>
  <c r="O128" i="2"/>
  <c r="G128" i="2"/>
  <c r="W127" i="2"/>
  <c r="O127" i="2"/>
  <c r="G127" i="2"/>
  <c r="W126" i="2"/>
  <c r="O126" i="2"/>
  <c r="G126" i="2"/>
  <c r="W125" i="2"/>
  <c r="O125" i="2"/>
  <c r="G125" i="2"/>
  <c r="W124" i="2"/>
  <c r="O124" i="2"/>
  <c r="G124" i="2"/>
  <c r="W123" i="2"/>
  <c r="O123" i="2"/>
  <c r="G123" i="2"/>
  <c r="W122" i="2"/>
  <c r="O122" i="2"/>
  <c r="G122" i="2"/>
  <c r="W121" i="2"/>
  <c r="O121" i="2"/>
  <c r="G121" i="2"/>
  <c r="W120" i="2"/>
  <c r="O120" i="2"/>
  <c r="G120" i="2"/>
  <c r="W119" i="2"/>
  <c r="O119" i="2"/>
  <c r="G119" i="2"/>
  <c r="W118" i="2"/>
  <c r="O118" i="2"/>
  <c r="G118" i="2"/>
  <c r="W117" i="2"/>
  <c r="O117" i="2"/>
  <c r="G117" i="2"/>
  <c r="W116" i="2"/>
  <c r="O116" i="2"/>
  <c r="G116" i="2"/>
  <c r="W115" i="2"/>
  <c r="O115" i="2"/>
  <c r="G115" i="2"/>
  <c r="W114" i="2"/>
  <c r="O114" i="2"/>
  <c r="G114" i="2"/>
  <c r="W113" i="2"/>
  <c r="O113" i="2"/>
  <c r="G113" i="2"/>
  <c r="W112" i="2"/>
  <c r="O112" i="2"/>
  <c r="G112" i="2"/>
  <c r="W111" i="2"/>
  <c r="O111" i="2"/>
  <c r="G111" i="2"/>
  <c r="W110" i="2"/>
  <c r="O110" i="2"/>
  <c r="G110" i="2"/>
  <c r="W109" i="2"/>
  <c r="O109" i="2"/>
  <c r="G109" i="2"/>
  <c r="W108" i="2"/>
  <c r="O108" i="2"/>
  <c r="G108" i="2"/>
  <c r="W107" i="2"/>
  <c r="O107" i="2"/>
  <c r="G107" i="2"/>
  <c r="W106" i="2"/>
  <c r="O106" i="2"/>
  <c r="G106" i="2"/>
  <c r="W105" i="2"/>
  <c r="O105" i="2"/>
  <c r="G105" i="2"/>
  <c r="W104" i="2"/>
  <c r="O104" i="2"/>
  <c r="G104" i="2"/>
  <c r="W103" i="2"/>
  <c r="O103" i="2"/>
  <c r="G103" i="2"/>
  <c r="W102" i="2"/>
  <c r="O102" i="2"/>
  <c r="G102" i="2"/>
  <c r="W101" i="2"/>
  <c r="O101" i="2"/>
  <c r="G101" i="2"/>
  <c r="W100" i="2"/>
  <c r="O100" i="2"/>
  <c r="G100" i="2"/>
  <c r="W99" i="2"/>
  <c r="O99" i="2"/>
  <c r="G99" i="2"/>
  <c r="W98" i="2"/>
  <c r="O98" i="2"/>
  <c r="G98" i="2"/>
  <c r="W97" i="2"/>
  <c r="O97" i="2"/>
  <c r="G97" i="2"/>
  <c r="W96" i="2"/>
  <c r="O96" i="2"/>
  <c r="G96" i="2"/>
  <c r="W95" i="2"/>
  <c r="O95" i="2"/>
  <c r="G95" i="2"/>
  <c r="W94" i="2"/>
  <c r="O94" i="2"/>
  <c r="B260" i="2"/>
  <c r="R234" i="2"/>
  <c r="E224" i="2"/>
  <c r="F216" i="2"/>
  <c r="D209" i="2"/>
  <c r="H204" i="2"/>
  <c r="X200" i="2"/>
  <c r="H198" i="2"/>
  <c r="P195" i="2"/>
  <c r="B193" i="2"/>
  <c r="U190" i="2"/>
  <c r="S188" i="2"/>
  <c r="S186" i="2"/>
  <c r="X184" i="2"/>
  <c r="E183" i="2"/>
  <c r="K181" i="2"/>
  <c r="P179" i="2"/>
  <c r="U177" i="2"/>
  <c r="C176" i="2"/>
  <c r="H174" i="2"/>
  <c r="T172" i="2"/>
  <c r="L171" i="2"/>
  <c r="O170" i="2"/>
  <c r="P169" i="2"/>
  <c r="T168" i="2"/>
  <c r="W167" i="2"/>
  <c r="X166" i="2"/>
  <c r="D166" i="2"/>
  <c r="G165" i="2"/>
  <c r="L164" i="2"/>
  <c r="T163" i="2"/>
  <c r="D163" i="2"/>
  <c r="L162" i="2"/>
  <c r="T161" i="2"/>
  <c r="D161" i="2"/>
  <c r="L160" i="2"/>
  <c r="T159" i="2"/>
  <c r="D159" i="2"/>
  <c r="L158" i="2"/>
  <c r="T157" i="2"/>
  <c r="D157" i="2"/>
  <c r="O156" i="2"/>
  <c r="Y155" i="2"/>
  <c r="N155" i="2"/>
  <c r="X154" i="2"/>
  <c r="L154" i="2"/>
  <c r="W153" i="2"/>
  <c r="I153" i="2"/>
  <c r="V152" i="2"/>
  <c r="H152" i="2"/>
  <c r="T151" i="2"/>
  <c r="G151" i="2"/>
  <c r="Q150" i="2"/>
  <c r="G150" i="2"/>
  <c r="T149" i="2"/>
  <c r="I149" i="2"/>
  <c r="W148" i="2"/>
  <c r="L148" i="2"/>
  <c r="Y147" i="2"/>
  <c r="O147" i="2"/>
  <c r="D147" i="2"/>
  <c r="Q146" i="2"/>
  <c r="G146" i="2"/>
  <c r="T145" i="2"/>
  <c r="I145" i="2"/>
  <c r="W144" i="2"/>
  <c r="L144" i="2"/>
  <c r="Y143" i="2"/>
  <c r="O143" i="2"/>
  <c r="D143" i="2"/>
  <c r="Q142" i="2"/>
  <c r="G142" i="2"/>
  <c r="T141" i="2"/>
  <c r="I141" i="2"/>
  <c r="W140" i="2"/>
  <c r="L140" i="2"/>
  <c r="Y139" i="2"/>
  <c r="O139" i="2"/>
  <c r="D139" i="2"/>
  <c r="Q138" i="2"/>
  <c r="G138" i="2"/>
  <c r="U137" i="2"/>
  <c r="M137" i="2"/>
  <c r="E137" i="2"/>
  <c r="U136" i="2"/>
  <c r="M136" i="2"/>
  <c r="E136" i="2"/>
  <c r="U135" i="2"/>
  <c r="M135" i="2"/>
  <c r="E135" i="2"/>
  <c r="U134" i="2"/>
  <c r="M134" i="2"/>
  <c r="E134" i="2"/>
  <c r="U133" i="2"/>
  <c r="M133" i="2"/>
  <c r="E133" i="2"/>
  <c r="U132" i="2"/>
  <c r="M132" i="2"/>
  <c r="E132" i="2"/>
  <c r="U131" i="2"/>
  <c r="M131" i="2"/>
  <c r="E131" i="2"/>
  <c r="U130" i="2"/>
  <c r="M130" i="2"/>
  <c r="E130" i="2"/>
  <c r="U129" i="2"/>
  <c r="M129" i="2"/>
  <c r="E129" i="2"/>
  <c r="U128" i="2"/>
  <c r="M128" i="2"/>
  <c r="E128" i="2"/>
  <c r="U127" i="2"/>
  <c r="M127" i="2"/>
  <c r="E127" i="2"/>
  <c r="U126" i="2"/>
  <c r="M126" i="2"/>
  <c r="E126" i="2"/>
  <c r="U125" i="2"/>
  <c r="M125" i="2"/>
  <c r="E125" i="2"/>
  <c r="U124" i="2"/>
  <c r="M124" i="2"/>
  <c r="E124" i="2"/>
  <c r="U123" i="2"/>
  <c r="M123" i="2"/>
  <c r="E123" i="2"/>
  <c r="U122" i="2"/>
  <c r="M122" i="2"/>
  <c r="E122" i="2"/>
  <c r="U121" i="2"/>
  <c r="M121" i="2"/>
  <c r="E121" i="2"/>
  <c r="U120" i="2"/>
  <c r="M120" i="2"/>
  <c r="E120" i="2"/>
  <c r="U119" i="2"/>
  <c r="M119" i="2"/>
  <c r="E119" i="2"/>
  <c r="U118" i="2"/>
  <c r="M118" i="2"/>
  <c r="E118" i="2"/>
  <c r="U117" i="2"/>
  <c r="M117" i="2"/>
  <c r="E117" i="2"/>
  <c r="U116" i="2"/>
  <c r="M116" i="2"/>
  <c r="E116" i="2"/>
  <c r="U115" i="2"/>
  <c r="M115" i="2"/>
  <c r="E115" i="2"/>
  <c r="U114" i="2"/>
  <c r="M114" i="2"/>
  <c r="E114" i="2"/>
  <c r="U113" i="2"/>
  <c r="M113" i="2"/>
  <c r="E113" i="2"/>
  <c r="U112" i="2"/>
  <c r="M112" i="2"/>
  <c r="E112" i="2"/>
  <c r="U111" i="2"/>
  <c r="M111" i="2"/>
  <c r="E111" i="2"/>
  <c r="U110" i="2"/>
  <c r="M110" i="2"/>
  <c r="E110" i="2"/>
  <c r="U109" i="2"/>
  <c r="M109" i="2"/>
  <c r="E109" i="2"/>
  <c r="U108" i="2"/>
  <c r="M108" i="2"/>
  <c r="E108" i="2"/>
  <c r="U107" i="2"/>
  <c r="M107" i="2"/>
  <c r="E107" i="2"/>
  <c r="U106" i="2"/>
  <c r="M106" i="2"/>
  <c r="E106" i="2"/>
  <c r="U105" i="2"/>
  <c r="M105" i="2"/>
  <c r="E105" i="2"/>
  <c r="U104" i="2"/>
  <c r="M104" i="2"/>
  <c r="E104" i="2"/>
  <c r="U103" i="2"/>
  <c r="M103" i="2"/>
  <c r="E103" i="2"/>
  <c r="U102" i="2"/>
  <c r="M102" i="2"/>
  <c r="E102" i="2"/>
  <c r="U101" i="2"/>
  <c r="M101" i="2"/>
  <c r="E101" i="2"/>
  <c r="U100" i="2"/>
  <c r="M100" i="2"/>
  <c r="E100" i="2"/>
  <c r="U99" i="2"/>
  <c r="M99" i="2"/>
  <c r="E99" i="2"/>
  <c r="U98" i="2"/>
  <c r="M98" i="2"/>
  <c r="E98" i="2"/>
  <c r="U97" i="2"/>
  <c r="M97" i="2"/>
  <c r="E97" i="2"/>
  <c r="U96" i="2"/>
  <c r="M96" i="2"/>
  <c r="E96" i="2"/>
  <c r="U95" i="2"/>
  <c r="M95" i="2"/>
  <c r="E95" i="2"/>
  <c r="U94" i="2"/>
  <c r="M94" i="2"/>
  <c r="M255" i="2"/>
  <c r="E233" i="2"/>
  <c r="D223" i="2"/>
  <c r="H215" i="2"/>
  <c r="F208" i="2"/>
  <c r="T203" i="2"/>
  <c r="P200" i="2"/>
  <c r="X197" i="2"/>
  <c r="H195" i="2"/>
  <c r="S192" i="2"/>
  <c r="P190" i="2"/>
  <c r="L188" i="2"/>
  <c r="M186" i="2"/>
  <c r="S184" i="2"/>
  <c r="X182" i="2"/>
  <c r="E181" i="2"/>
  <c r="K179" i="2"/>
  <c r="P177" i="2"/>
  <c r="U175" i="2"/>
  <c r="C174" i="2"/>
  <c r="P172" i="2"/>
  <c r="H171" i="2"/>
  <c r="L170" i="2"/>
  <c r="O169" i="2"/>
  <c r="P168" i="2"/>
  <c r="T167" i="2"/>
  <c r="W166" i="2"/>
  <c r="X165" i="2"/>
  <c r="D165" i="2"/>
  <c r="H164" i="2"/>
  <c r="P163" i="2"/>
  <c r="X162" i="2"/>
  <c r="H162" i="2"/>
  <c r="P161" i="2"/>
  <c r="X160" i="2"/>
  <c r="H160" i="2"/>
  <c r="P159" i="2"/>
  <c r="X158" i="2"/>
  <c r="H158" i="2"/>
  <c r="P157" i="2"/>
  <c r="Y156" i="2"/>
  <c r="N156" i="2"/>
  <c r="X155" i="2"/>
  <c r="L155" i="2"/>
  <c r="W154" i="2"/>
  <c r="I154" i="2"/>
  <c r="V153" i="2"/>
  <c r="H153" i="2"/>
  <c r="T152" i="2"/>
  <c r="G152" i="2"/>
  <c r="Q151" i="2"/>
  <c r="F151" i="2"/>
  <c r="P150" i="2"/>
  <c r="F150" i="2"/>
  <c r="R149" i="2"/>
  <c r="H149" i="2"/>
  <c r="V148" i="2"/>
  <c r="J148" i="2"/>
  <c r="X147" i="2"/>
  <c r="N147" i="2"/>
  <c r="B147" i="2"/>
  <c r="P146" i="2"/>
  <c r="F146" i="2"/>
  <c r="R145" i="2"/>
  <c r="H145" i="2"/>
  <c r="V144" i="2"/>
  <c r="J144" i="2"/>
  <c r="X143" i="2"/>
  <c r="N143" i="2"/>
  <c r="B143" i="2"/>
  <c r="P142" i="2"/>
  <c r="F142" i="2"/>
  <c r="R141" i="2"/>
  <c r="H141" i="2"/>
  <c r="V140" i="2"/>
  <c r="J140" i="2"/>
  <c r="X139" i="2"/>
  <c r="N139" i="2"/>
  <c r="B139" i="2"/>
  <c r="P138" i="2"/>
  <c r="F138" i="2"/>
  <c r="T137" i="2"/>
  <c r="L137" i="2"/>
  <c r="D137" i="2"/>
  <c r="T136" i="2"/>
  <c r="L136" i="2"/>
  <c r="D136" i="2"/>
  <c r="T135" i="2"/>
  <c r="L135" i="2"/>
  <c r="D135" i="2"/>
  <c r="T134" i="2"/>
  <c r="L134" i="2"/>
  <c r="D134" i="2"/>
  <c r="T133" i="2"/>
  <c r="L133" i="2"/>
  <c r="D133" i="2"/>
  <c r="T132" i="2"/>
  <c r="L132" i="2"/>
  <c r="D132" i="2"/>
  <c r="T131" i="2"/>
  <c r="L131" i="2"/>
  <c r="D131" i="2"/>
  <c r="T130" i="2"/>
  <c r="L130" i="2"/>
  <c r="D130" i="2"/>
  <c r="T129" i="2"/>
  <c r="L129" i="2"/>
  <c r="D129" i="2"/>
  <c r="T128" i="2"/>
  <c r="L128" i="2"/>
  <c r="D128" i="2"/>
  <c r="T127" i="2"/>
  <c r="L127" i="2"/>
  <c r="D127" i="2"/>
  <c r="T126" i="2"/>
  <c r="L126" i="2"/>
  <c r="D126" i="2"/>
  <c r="T125" i="2"/>
  <c r="L125" i="2"/>
  <c r="D125" i="2"/>
  <c r="T124" i="2"/>
  <c r="L124" i="2"/>
  <c r="D124" i="2"/>
  <c r="T123" i="2"/>
  <c r="L123" i="2"/>
  <c r="D123" i="2"/>
  <c r="T122" i="2"/>
  <c r="L122" i="2"/>
  <c r="D122" i="2"/>
  <c r="T121" i="2"/>
  <c r="L121" i="2"/>
  <c r="D121" i="2"/>
  <c r="T120" i="2"/>
  <c r="L120" i="2"/>
  <c r="D120" i="2"/>
  <c r="T119" i="2"/>
  <c r="L119" i="2"/>
  <c r="D119" i="2"/>
  <c r="T118" i="2"/>
  <c r="L118" i="2"/>
  <c r="D118" i="2"/>
  <c r="T117" i="2"/>
  <c r="L117" i="2"/>
  <c r="D117" i="2"/>
  <c r="T116" i="2"/>
  <c r="L116" i="2"/>
  <c r="D116" i="2"/>
  <c r="T115" i="2"/>
  <c r="L115" i="2"/>
  <c r="D115" i="2"/>
  <c r="T114" i="2"/>
  <c r="L114" i="2"/>
  <c r="D114" i="2"/>
  <c r="T113" i="2"/>
  <c r="L113" i="2"/>
  <c r="D113" i="2"/>
  <c r="T112" i="2"/>
  <c r="L112" i="2"/>
  <c r="D112" i="2"/>
  <c r="T111" i="2"/>
  <c r="L111" i="2"/>
  <c r="D111" i="2"/>
  <c r="T110" i="2"/>
  <c r="L110" i="2"/>
  <c r="D110" i="2"/>
  <c r="T109" i="2"/>
  <c r="L109" i="2"/>
  <c r="D109" i="2"/>
  <c r="T108" i="2"/>
  <c r="L108" i="2"/>
  <c r="F251" i="2"/>
  <c r="U231" i="2"/>
  <c r="B222" i="2"/>
  <c r="L214" i="2"/>
  <c r="R207" i="2"/>
  <c r="F203" i="2"/>
  <c r="H200" i="2"/>
  <c r="P197" i="2"/>
  <c r="X194" i="2"/>
  <c r="L192" i="2"/>
  <c r="J190" i="2"/>
  <c r="E188" i="2"/>
  <c r="H186" i="2"/>
  <c r="M184" i="2"/>
  <c r="S182" i="2"/>
  <c r="X180" i="2"/>
  <c r="E179" i="2"/>
  <c r="K177" i="2"/>
  <c r="P175" i="2"/>
  <c r="V173" i="2"/>
  <c r="L172" i="2"/>
  <c r="G171" i="2"/>
  <c r="H170" i="2"/>
  <c r="L169" i="2"/>
  <c r="O168" i="2"/>
  <c r="P167" i="2"/>
  <c r="T166" i="2"/>
  <c r="W165" i="2"/>
  <c r="X164" i="2"/>
  <c r="G164" i="2"/>
  <c r="O163" i="2"/>
  <c r="W162" i="2"/>
  <c r="G162" i="2"/>
  <c r="O161" i="2"/>
  <c r="W160" i="2"/>
  <c r="G160" i="2"/>
  <c r="O159" i="2"/>
  <c r="W158" i="2"/>
  <c r="G158" i="2"/>
  <c r="O157" i="2"/>
  <c r="X156" i="2"/>
  <c r="L156" i="2"/>
  <c r="W155" i="2"/>
  <c r="I155" i="2"/>
  <c r="V154" i="2"/>
  <c r="H154" i="2"/>
  <c r="T153" i="2"/>
  <c r="G153" i="2"/>
  <c r="Q152" i="2"/>
  <c r="F152" i="2"/>
  <c r="P151" i="2"/>
  <c r="D151" i="2"/>
  <c r="O150" i="2"/>
  <c r="D150" i="2"/>
  <c r="Q149" i="2"/>
  <c r="G149" i="2"/>
  <c r="T148" i="2"/>
  <c r="I148" i="2"/>
  <c r="W147" i="2"/>
  <c r="L147" i="2"/>
  <c r="Y146" i="2"/>
  <c r="O146" i="2"/>
  <c r="D146" i="2"/>
  <c r="Q145" i="2"/>
  <c r="G145" i="2"/>
  <c r="T144" i="2"/>
  <c r="I144" i="2"/>
  <c r="W143" i="2"/>
  <c r="L143" i="2"/>
  <c r="Y142" i="2"/>
  <c r="O142" i="2"/>
  <c r="D142" i="2"/>
  <c r="Q141" i="2"/>
  <c r="G141" i="2"/>
  <c r="T140" i="2"/>
  <c r="I140" i="2"/>
  <c r="W139" i="2"/>
  <c r="L139" i="2"/>
  <c r="Y138" i="2"/>
  <c r="O138" i="2"/>
  <c r="D138" i="2"/>
  <c r="S137" i="2"/>
  <c r="K137" i="2"/>
  <c r="C137" i="2"/>
  <c r="S136" i="2"/>
  <c r="K136" i="2"/>
  <c r="C136" i="2"/>
  <c r="S135" i="2"/>
  <c r="K135" i="2"/>
  <c r="C135" i="2"/>
  <c r="S134" i="2"/>
  <c r="K134" i="2"/>
  <c r="C134" i="2"/>
  <c r="S133" i="2"/>
  <c r="K133" i="2"/>
  <c r="C133" i="2"/>
  <c r="S132" i="2"/>
  <c r="K132" i="2"/>
  <c r="C132" i="2"/>
  <c r="S131" i="2"/>
  <c r="K131" i="2"/>
  <c r="C131" i="2"/>
  <c r="S130" i="2"/>
  <c r="K130" i="2"/>
  <c r="C130" i="2"/>
  <c r="S129" i="2"/>
  <c r="K129" i="2"/>
  <c r="C129" i="2"/>
  <c r="S128" i="2"/>
  <c r="K128" i="2"/>
  <c r="C128" i="2"/>
  <c r="S127" i="2"/>
  <c r="K127" i="2"/>
  <c r="C127" i="2"/>
  <c r="S126" i="2"/>
  <c r="K126" i="2"/>
  <c r="C126" i="2"/>
  <c r="S125" i="2"/>
  <c r="K125" i="2"/>
  <c r="C125" i="2"/>
  <c r="S124" i="2"/>
  <c r="K124" i="2"/>
  <c r="C124" i="2"/>
  <c r="S123" i="2"/>
  <c r="K123" i="2"/>
  <c r="C123" i="2"/>
  <c r="S122" i="2"/>
  <c r="K122" i="2"/>
  <c r="C122" i="2"/>
  <c r="S121" i="2"/>
  <c r="K121" i="2"/>
  <c r="C121" i="2"/>
  <c r="S120" i="2"/>
  <c r="K120" i="2"/>
  <c r="C120" i="2"/>
  <c r="S119" i="2"/>
  <c r="K119" i="2"/>
  <c r="C119" i="2"/>
  <c r="S118" i="2"/>
  <c r="K118" i="2"/>
  <c r="C118" i="2"/>
  <c r="S117" i="2"/>
  <c r="K117" i="2"/>
  <c r="C117" i="2"/>
  <c r="S116" i="2"/>
  <c r="K116" i="2"/>
  <c r="C116" i="2"/>
  <c r="S115" i="2"/>
  <c r="K115" i="2"/>
  <c r="C115" i="2"/>
  <c r="S114" i="2"/>
  <c r="K114" i="2"/>
  <c r="C114" i="2"/>
  <c r="S113" i="2"/>
  <c r="K113" i="2"/>
  <c r="C113" i="2"/>
  <c r="S112" i="2"/>
  <c r="K112" i="2"/>
  <c r="S243" i="2"/>
  <c r="E229" i="2"/>
  <c r="V219" i="2"/>
  <c r="P212" i="2"/>
  <c r="L206" i="2"/>
  <c r="H202" i="2"/>
  <c r="P199" i="2"/>
  <c r="X196" i="2"/>
  <c r="H194" i="2"/>
  <c r="X191" i="2"/>
  <c r="T189" i="2"/>
  <c r="R187" i="2"/>
  <c r="U185" i="2"/>
  <c r="C184" i="2"/>
  <c r="H182" i="2"/>
  <c r="M180" i="2"/>
  <c r="S178" i="2"/>
  <c r="X176" i="2"/>
  <c r="E175" i="2"/>
  <c r="M173" i="2"/>
  <c r="D172" i="2"/>
  <c r="X170" i="2"/>
  <c r="D170" i="2"/>
  <c r="G169" i="2"/>
  <c r="H168" i="2"/>
  <c r="L167" i="2"/>
  <c r="O166" i="2"/>
  <c r="P165" i="2"/>
  <c r="T164" i="2"/>
  <c r="D164" i="2"/>
  <c r="L163" i="2"/>
  <c r="T162" i="2"/>
  <c r="D162" i="2"/>
  <c r="L161" i="2"/>
  <c r="T160" i="2"/>
  <c r="D160" i="2"/>
  <c r="L159" i="2"/>
  <c r="T158" i="2"/>
  <c r="D158" i="2"/>
  <c r="L157" i="2"/>
  <c r="V156" i="2"/>
  <c r="H156" i="2"/>
  <c r="T155" i="2"/>
  <c r="G155" i="2"/>
  <c r="Q154" i="2"/>
  <c r="F154" i="2"/>
  <c r="P153" i="2"/>
  <c r="D153" i="2"/>
  <c r="O152" i="2"/>
  <c r="Y151" i="2"/>
  <c r="N151" i="2"/>
  <c r="X150" i="2"/>
  <c r="L150" i="2"/>
  <c r="Y149" i="2"/>
  <c r="O149" i="2"/>
  <c r="D149" i="2"/>
  <c r="Q148" i="2"/>
  <c r="G148" i="2"/>
  <c r="T147" i="2"/>
  <c r="I147" i="2"/>
  <c r="W146" i="2"/>
  <c r="L146" i="2"/>
  <c r="Y145" i="2"/>
  <c r="O145" i="2"/>
  <c r="D145" i="2"/>
  <c r="Q144" i="2"/>
  <c r="G144" i="2"/>
  <c r="T143" i="2"/>
  <c r="I143" i="2"/>
  <c r="W142" i="2"/>
  <c r="L142" i="2"/>
  <c r="Y141" i="2"/>
  <c r="O141" i="2"/>
  <c r="D141" i="2"/>
  <c r="Q140" i="2"/>
  <c r="G140" i="2"/>
  <c r="T139" i="2"/>
  <c r="I139" i="2"/>
  <c r="W138" i="2"/>
  <c r="L138" i="2"/>
  <c r="Y137" i="2"/>
  <c r="Q137" i="2"/>
  <c r="I137" i="2"/>
  <c r="Y136" i="2"/>
  <c r="Q136" i="2"/>
  <c r="I136" i="2"/>
  <c r="Y135" i="2"/>
  <c r="Q135" i="2"/>
  <c r="I135" i="2"/>
  <c r="Y134" i="2"/>
  <c r="Q134" i="2"/>
  <c r="I134" i="2"/>
  <c r="Y133" i="2"/>
  <c r="Q133" i="2"/>
  <c r="I133" i="2"/>
  <c r="Y132" i="2"/>
  <c r="Q132" i="2"/>
  <c r="I132" i="2"/>
  <c r="Y131" i="2"/>
  <c r="Q131" i="2"/>
  <c r="I131" i="2"/>
  <c r="Y130" i="2"/>
  <c r="Q130" i="2"/>
  <c r="I130" i="2"/>
  <c r="Y129" i="2"/>
  <c r="Q129" i="2"/>
  <c r="I129" i="2"/>
  <c r="Y128" i="2"/>
  <c r="Q128" i="2"/>
  <c r="I128" i="2"/>
  <c r="Y127" i="2"/>
  <c r="Q127" i="2"/>
  <c r="I127" i="2"/>
  <c r="Y126" i="2"/>
  <c r="Q126" i="2"/>
  <c r="I126" i="2"/>
  <c r="Y125" i="2"/>
  <c r="Q125" i="2"/>
  <c r="I125" i="2"/>
  <c r="Y124" i="2"/>
  <c r="Q124" i="2"/>
  <c r="U240" i="2"/>
  <c r="U227" i="2"/>
  <c r="V218" i="2"/>
  <c r="T211" i="2"/>
  <c r="W205" i="2"/>
  <c r="X201" i="2"/>
  <c r="H199" i="2"/>
  <c r="P196" i="2"/>
  <c r="X193" i="2"/>
  <c r="R191" i="2"/>
  <c r="M189" i="2"/>
  <c r="K187" i="2"/>
  <c r="P185" i="2"/>
  <c r="U183" i="2"/>
  <c r="C182" i="2"/>
  <c r="H180" i="2"/>
  <c r="M178" i="2"/>
  <c r="S176" i="2"/>
  <c r="X174" i="2"/>
  <c r="H173" i="2"/>
  <c r="X171" i="2"/>
  <c r="W170" i="2"/>
  <c r="X169" i="2"/>
  <c r="D169" i="2"/>
  <c r="G168" i="2"/>
  <c r="H167" i="2"/>
  <c r="L166" i="2"/>
  <c r="O165" i="2"/>
  <c r="P164" i="2"/>
  <c r="X163" i="2"/>
  <c r="H163" i="2"/>
  <c r="P162" i="2"/>
  <c r="X161" i="2"/>
  <c r="H161" i="2"/>
  <c r="P160" i="2"/>
  <c r="X159" i="2"/>
  <c r="H159" i="2"/>
  <c r="P158" i="2"/>
  <c r="X157" i="2"/>
  <c r="H157" i="2"/>
  <c r="T156" i="2"/>
  <c r="G156" i="2"/>
  <c r="Q155" i="2"/>
  <c r="F155" i="2"/>
  <c r="P154" i="2"/>
  <c r="D154" i="2"/>
  <c r="O153" i="2"/>
  <c r="Y152" i="2"/>
  <c r="N152" i="2"/>
  <c r="X151" i="2"/>
  <c r="L151" i="2"/>
  <c r="W150" i="2"/>
  <c r="J150" i="2"/>
  <c r="X149" i="2"/>
  <c r="N149" i="2"/>
  <c r="B149" i="2"/>
  <c r="P148" i="2"/>
  <c r="F148" i="2"/>
  <c r="R147" i="2"/>
  <c r="H147" i="2"/>
  <c r="V146" i="2"/>
  <c r="J146" i="2"/>
  <c r="X145" i="2"/>
  <c r="N145" i="2"/>
  <c r="B145" i="2"/>
  <c r="P144" i="2"/>
  <c r="F144" i="2"/>
  <c r="R143" i="2"/>
  <c r="H143" i="2"/>
  <c r="V142" i="2"/>
  <c r="J142" i="2"/>
  <c r="X141" i="2"/>
  <c r="N141" i="2"/>
  <c r="B141" i="2"/>
  <c r="P140" i="2"/>
  <c r="F140" i="2"/>
  <c r="R139" i="2"/>
  <c r="H139" i="2"/>
  <c r="V138" i="2"/>
  <c r="J138" i="2"/>
  <c r="X137" i="2"/>
  <c r="P137" i="2"/>
  <c r="H137" i="2"/>
  <c r="X136" i="2"/>
  <c r="P136" i="2"/>
  <c r="H136" i="2"/>
  <c r="X135" i="2"/>
  <c r="P135" i="2"/>
  <c r="H135" i="2"/>
  <c r="X134" i="2"/>
  <c r="P134" i="2"/>
  <c r="H134" i="2"/>
  <c r="X133" i="2"/>
  <c r="P133" i="2"/>
  <c r="H133" i="2"/>
  <c r="X132" i="2"/>
  <c r="P132" i="2"/>
  <c r="H132" i="2"/>
  <c r="X131" i="2"/>
  <c r="P131" i="2"/>
  <c r="H131" i="2"/>
  <c r="X130" i="2"/>
  <c r="P130" i="2"/>
  <c r="H130" i="2"/>
  <c r="X129" i="2"/>
  <c r="P129" i="2"/>
  <c r="H129" i="2"/>
  <c r="X128" i="2"/>
  <c r="P128" i="2"/>
  <c r="H128" i="2"/>
  <c r="X127" i="2"/>
  <c r="P127" i="2"/>
  <c r="H127" i="2"/>
  <c r="X126" i="2"/>
  <c r="P126" i="2"/>
  <c r="H126" i="2"/>
  <c r="X125" i="2"/>
  <c r="P125" i="2"/>
  <c r="H125" i="2"/>
  <c r="X124" i="2"/>
  <c r="P124" i="2"/>
  <c r="H124" i="2"/>
  <c r="X123" i="2"/>
  <c r="P123" i="2"/>
  <c r="H123" i="2"/>
  <c r="X122" i="2"/>
  <c r="P122" i="2"/>
  <c r="H122" i="2"/>
  <c r="X121" i="2"/>
  <c r="P121" i="2"/>
  <c r="H121" i="2"/>
  <c r="X120" i="2"/>
  <c r="P120" i="2"/>
  <c r="H120" i="2"/>
  <c r="X119" i="2"/>
  <c r="E268" i="2"/>
  <c r="X209" i="2"/>
  <c r="X195" i="2"/>
  <c r="X186" i="2"/>
  <c r="U179" i="2"/>
  <c r="X172" i="2"/>
  <c r="W168" i="2"/>
  <c r="H165" i="2"/>
  <c r="N162" i="2"/>
  <c r="V159" i="2"/>
  <c r="F157" i="2"/>
  <c r="Y154" i="2"/>
  <c r="W152" i="2"/>
  <c r="T150" i="2"/>
  <c r="X148" i="2"/>
  <c r="F147" i="2"/>
  <c r="J145" i="2"/>
  <c r="P143" i="2"/>
  <c r="V141" i="2"/>
  <c r="B140" i="2"/>
  <c r="H138" i="2"/>
  <c r="V136" i="2"/>
  <c r="N135" i="2"/>
  <c r="F134" i="2"/>
  <c r="V132" i="2"/>
  <c r="N131" i="2"/>
  <c r="F130" i="2"/>
  <c r="V128" i="2"/>
  <c r="N127" i="2"/>
  <c r="F126" i="2"/>
  <c r="V124" i="2"/>
  <c r="V123" i="2"/>
  <c r="Y122" i="2"/>
  <c r="B122" i="2"/>
  <c r="F121" i="2"/>
  <c r="I120" i="2"/>
  <c r="N119" i="2"/>
  <c r="V118" i="2"/>
  <c r="F118" i="2"/>
  <c r="N117" i="2"/>
  <c r="V116" i="2"/>
  <c r="F116" i="2"/>
  <c r="N115" i="2"/>
  <c r="V114" i="2"/>
  <c r="F114" i="2"/>
  <c r="N113" i="2"/>
  <c r="V112" i="2"/>
  <c r="F112" i="2"/>
  <c r="Q111" i="2"/>
  <c r="C111" i="2"/>
  <c r="P110" i="2"/>
  <c r="B110" i="2"/>
  <c r="N109" i="2"/>
  <c r="Y108" i="2"/>
  <c r="K108" i="2"/>
  <c r="Y107" i="2"/>
  <c r="N107" i="2"/>
  <c r="C107" i="2"/>
  <c r="Q106" i="2"/>
  <c r="F106" i="2"/>
  <c r="S105" i="2"/>
  <c r="I105" i="2"/>
  <c r="V104" i="2"/>
  <c r="K104" i="2"/>
  <c r="Y103" i="2"/>
  <c r="N103" i="2"/>
  <c r="C103" i="2"/>
  <c r="Q102" i="2"/>
  <c r="F102" i="2"/>
  <c r="S101" i="2"/>
  <c r="I101" i="2"/>
  <c r="V100" i="2"/>
  <c r="K100" i="2"/>
  <c r="Y99" i="2"/>
  <c r="N99" i="2"/>
  <c r="C99" i="2"/>
  <c r="Q98" i="2"/>
  <c r="F98" i="2"/>
  <c r="S97" i="2"/>
  <c r="I97" i="2"/>
  <c r="V96" i="2"/>
  <c r="K96" i="2"/>
  <c r="Y95" i="2"/>
  <c r="N95" i="2"/>
  <c r="C95" i="2"/>
  <c r="Q94" i="2"/>
  <c r="G94" i="2"/>
  <c r="W93" i="2"/>
  <c r="O93" i="2"/>
  <c r="G93" i="2"/>
  <c r="W92" i="2"/>
  <c r="O92" i="2"/>
  <c r="G92" i="2"/>
  <c r="W91" i="2"/>
  <c r="O91" i="2"/>
  <c r="G91" i="2"/>
  <c r="W90" i="2"/>
  <c r="O90" i="2"/>
  <c r="G90" i="2"/>
  <c r="W89" i="2"/>
  <c r="O89" i="2"/>
  <c r="G89" i="2"/>
  <c r="W88" i="2"/>
  <c r="O88" i="2"/>
  <c r="G88" i="2"/>
  <c r="W87" i="2"/>
  <c r="O87" i="2"/>
  <c r="G87" i="2"/>
  <c r="W86" i="2"/>
  <c r="O86" i="2"/>
  <c r="G86" i="2"/>
  <c r="W85" i="2"/>
  <c r="O85" i="2"/>
  <c r="G85" i="2"/>
  <c r="W84" i="2"/>
  <c r="O84" i="2"/>
  <c r="G84" i="2"/>
  <c r="W83" i="2"/>
  <c r="O83" i="2"/>
  <c r="G83" i="2"/>
  <c r="W82" i="2"/>
  <c r="O82" i="2"/>
  <c r="G82" i="2"/>
  <c r="W81" i="2"/>
  <c r="O81" i="2"/>
  <c r="G81" i="2"/>
  <c r="W80" i="2"/>
  <c r="O80" i="2"/>
  <c r="G80" i="2"/>
  <c r="W79" i="2"/>
  <c r="O79" i="2"/>
  <c r="G79" i="2"/>
  <c r="W78" i="2"/>
  <c r="O78" i="2"/>
  <c r="G78" i="2"/>
  <c r="W77" i="2"/>
  <c r="O77" i="2"/>
  <c r="G77" i="2"/>
  <c r="W76" i="2"/>
  <c r="O76" i="2"/>
  <c r="G76" i="2"/>
  <c r="W75" i="2"/>
  <c r="O75" i="2"/>
  <c r="G75" i="2"/>
  <c r="W74" i="2"/>
  <c r="O74" i="2"/>
  <c r="G74" i="2"/>
  <c r="W73" i="2"/>
  <c r="O73" i="2"/>
  <c r="G73" i="2"/>
  <c r="W72" i="2"/>
  <c r="O72" i="2"/>
  <c r="G72" i="2"/>
  <c r="W71" i="2"/>
  <c r="O71" i="2"/>
  <c r="G71" i="2"/>
  <c r="W70" i="2"/>
  <c r="O70" i="2"/>
  <c r="G70" i="2"/>
  <c r="W69" i="2"/>
  <c r="O69" i="2"/>
  <c r="G69" i="2"/>
  <c r="W68" i="2"/>
  <c r="O68" i="2"/>
  <c r="G68" i="2"/>
  <c r="W67" i="2"/>
  <c r="O67" i="2"/>
  <c r="G67" i="2"/>
  <c r="W66" i="2"/>
  <c r="O66" i="2"/>
  <c r="G66" i="2"/>
  <c r="W65" i="2"/>
  <c r="O65" i="2"/>
  <c r="G65" i="2"/>
  <c r="W64" i="2"/>
  <c r="O64" i="2"/>
  <c r="G64" i="2"/>
  <c r="W63" i="2"/>
  <c r="O63" i="2"/>
  <c r="G63" i="2"/>
  <c r="W62" i="2"/>
  <c r="O62" i="2"/>
  <c r="G62" i="2"/>
  <c r="W61" i="2"/>
  <c r="O61" i="2"/>
  <c r="G61" i="2"/>
  <c r="W60" i="2"/>
  <c r="O60" i="2"/>
  <c r="G60" i="2"/>
  <c r="W59" i="2"/>
  <c r="O59" i="2"/>
  <c r="G59" i="2"/>
  <c r="W58" i="2"/>
  <c r="O58" i="2"/>
  <c r="G58" i="2"/>
  <c r="W57" i="2"/>
  <c r="O57" i="2"/>
  <c r="G57" i="2"/>
  <c r="W56" i="2"/>
  <c r="O56" i="2"/>
  <c r="G56" i="2"/>
  <c r="W55" i="2"/>
  <c r="O55" i="2"/>
  <c r="G55" i="2"/>
  <c r="M236" i="2"/>
  <c r="R204" i="2"/>
  <c r="H193" i="2"/>
  <c r="E185" i="2"/>
  <c r="C178" i="2"/>
  <c r="P171" i="2"/>
  <c r="X167" i="2"/>
  <c r="N164" i="2"/>
  <c r="V161" i="2"/>
  <c r="F159" i="2"/>
  <c r="P156" i="2"/>
  <c r="N154" i="2"/>
  <c r="I152" i="2"/>
  <c r="H150" i="2"/>
  <c r="N148" i="2"/>
  <c r="R146" i="2"/>
  <c r="X144" i="2"/>
  <c r="F143" i="2"/>
  <c r="J141" i="2"/>
  <c r="P139" i="2"/>
  <c r="V137" i="2"/>
  <c r="N136" i="2"/>
  <c r="F135" i="2"/>
  <c r="V133" i="2"/>
  <c r="N132" i="2"/>
  <c r="F131" i="2"/>
  <c r="V129" i="2"/>
  <c r="N128" i="2"/>
  <c r="F127" i="2"/>
  <c r="V125" i="2"/>
  <c r="N124" i="2"/>
  <c r="Q123" i="2"/>
  <c r="R122" i="2"/>
  <c r="V121" i="2"/>
  <c r="Y120" i="2"/>
  <c r="B120" i="2"/>
  <c r="I119" i="2"/>
  <c r="Q118" i="2"/>
  <c r="Y117" i="2"/>
  <c r="I117" i="2"/>
  <c r="Q116" i="2"/>
  <c r="Y115" i="2"/>
  <c r="I115" i="2"/>
  <c r="Q114" i="2"/>
  <c r="Y113" i="2"/>
  <c r="I113" i="2"/>
  <c r="Q112" i="2"/>
  <c r="B112" i="2"/>
  <c r="N111" i="2"/>
  <c r="Y110" i="2"/>
  <c r="K110" i="2"/>
  <c r="X109" i="2"/>
  <c r="J109" i="2"/>
  <c r="V108" i="2"/>
  <c r="I108" i="2"/>
  <c r="V107" i="2"/>
  <c r="K107" i="2"/>
  <c r="Y106" i="2"/>
  <c r="N106" i="2"/>
  <c r="C106" i="2"/>
  <c r="Q105" i="2"/>
  <c r="F105" i="2"/>
  <c r="S104" i="2"/>
  <c r="I104" i="2"/>
  <c r="V103" i="2"/>
  <c r="K103" i="2"/>
  <c r="Y102" i="2"/>
  <c r="N102" i="2"/>
  <c r="C102" i="2"/>
  <c r="Q101" i="2"/>
  <c r="F101" i="2"/>
  <c r="S100" i="2"/>
  <c r="I100" i="2"/>
  <c r="V99" i="2"/>
  <c r="K99" i="2"/>
  <c r="Y98" i="2"/>
  <c r="N98" i="2"/>
  <c r="C98" i="2"/>
  <c r="Q97" i="2"/>
  <c r="F97" i="2"/>
  <c r="S96" i="2"/>
  <c r="I96" i="2"/>
  <c r="V95" i="2"/>
  <c r="K95" i="2"/>
  <c r="Y94" i="2"/>
  <c r="N94" i="2"/>
  <c r="E94" i="2"/>
  <c r="U93" i="2"/>
  <c r="M93" i="2"/>
  <c r="E93" i="2"/>
  <c r="U92" i="2"/>
  <c r="M92" i="2"/>
  <c r="E92" i="2"/>
  <c r="U91" i="2"/>
  <c r="M91" i="2"/>
  <c r="E91" i="2"/>
  <c r="U90" i="2"/>
  <c r="M90" i="2"/>
  <c r="E90" i="2"/>
  <c r="U89" i="2"/>
  <c r="M89" i="2"/>
  <c r="E89" i="2"/>
  <c r="U88" i="2"/>
  <c r="M88" i="2"/>
  <c r="E88" i="2"/>
  <c r="U87" i="2"/>
  <c r="M87" i="2"/>
  <c r="E87" i="2"/>
  <c r="U86" i="2"/>
  <c r="M86" i="2"/>
  <c r="E86" i="2"/>
  <c r="U85" i="2"/>
  <c r="M85" i="2"/>
  <c r="E85" i="2"/>
  <c r="U84" i="2"/>
  <c r="M84" i="2"/>
  <c r="E84" i="2"/>
  <c r="U83" i="2"/>
  <c r="M83" i="2"/>
  <c r="E83" i="2"/>
  <c r="U82" i="2"/>
  <c r="M82" i="2"/>
  <c r="E82" i="2"/>
  <c r="U81" i="2"/>
  <c r="M81" i="2"/>
  <c r="E81" i="2"/>
  <c r="U80" i="2"/>
  <c r="M80" i="2"/>
  <c r="E80" i="2"/>
  <c r="U79" i="2"/>
  <c r="M79" i="2"/>
  <c r="E79" i="2"/>
  <c r="U78" i="2"/>
  <c r="M78" i="2"/>
  <c r="E78" i="2"/>
  <c r="U77" i="2"/>
  <c r="M77" i="2"/>
  <c r="E77" i="2"/>
  <c r="U76" i="2"/>
  <c r="M76" i="2"/>
  <c r="E76" i="2"/>
  <c r="U75" i="2"/>
  <c r="M75" i="2"/>
  <c r="E75" i="2"/>
  <c r="U74" i="2"/>
  <c r="M74" i="2"/>
  <c r="E74" i="2"/>
  <c r="U73" i="2"/>
  <c r="M73" i="2"/>
  <c r="E73" i="2"/>
  <c r="U72" i="2"/>
  <c r="M72" i="2"/>
  <c r="E72" i="2"/>
  <c r="U71" i="2"/>
  <c r="M71" i="2"/>
  <c r="E71" i="2"/>
  <c r="U70" i="2"/>
  <c r="M70" i="2"/>
  <c r="E70" i="2"/>
  <c r="U69" i="2"/>
  <c r="M69" i="2"/>
  <c r="E69" i="2"/>
  <c r="U68" i="2"/>
  <c r="M68" i="2"/>
  <c r="E68" i="2"/>
  <c r="U67" i="2"/>
  <c r="M67" i="2"/>
  <c r="E67" i="2"/>
  <c r="U66" i="2"/>
  <c r="M66" i="2"/>
  <c r="E66" i="2"/>
  <c r="U65" i="2"/>
  <c r="M65" i="2"/>
  <c r="E65" i="2"/>
  <c r="U64" i="2"/>
  <c r="M64" i="2"/>
  <c r="E64" i="2"/>
  <c r="U63" i="2"/>
  <c r="M63" i="2"/>
  <c r="E63" i="2"/>
  <c r="U62" i="2"/>
  <c r="M62" i="2"/>
  <c r="E62" i="2"/>
  <c r="U61" i="2"/>
  <c r="M61" i="2"/>
  <c r="E61" i="2"/>
  <c r="U60" i="2"/>
  <c r="M60" i="2"/>
  <c r="E60" i="2"/>
  <c r="U59" i="2"/>
  <c r="M59" i="2"/>
  <c r="E59" i="2"/>
  <c r="U58" i="2"/>
  <c r="M58" i="2"/>
  <c r="E58" i="2"/>
  <c r="U57" i="2"/>
  <c r="M57" i="2"/>
  <c r="E57" i="2"/>
  <c r="U56" i="2"/>
  <c r="M56" i="2"/>
  <c r="E56" i="2"/>
  <c r="U55" i="2"/>
  <c r="M55" i="2"/>
  <c r="E55" i="2"/>
  <c r="U54" i="2"/>
  <c r="M54" i="2"/>
  <c r="E54" i="2"/>
  <c r="U53" i="2"/>
  <c r="M53" i="2"/>
  <c r="E53" i="2"/>
  <c r="U52" i="2"/>
  <c r="M52" i="2"/>
  <c r="E52" i="2"/>
  <c r="U51" i="2"/>
  <c r="M51" i="2"/>
  <c r="E51" i="2"/>
  <c r="U50" i="2"/>
  <c r="M50" i="2"/>
  <c r="E50" i="2"/>
  <c r="U49" i="2"/>
  <c r="M49" i="2"/>
  <c r="E49" i="2"/>
  <c r="U48" i="2"/>
  <c r="M48" i="2"/>
  <c r="E48" i="2"/>
  <c r="U47" i="2"/>
  <c r="M47" i="2"/>
  <c r="E47" i="2"/>
  <c r="U46" i="2"/>
  <c r="M46" i="2"/>
  <c r="E46" i="2"/>
  <c r="U45" i="2"/>
  <c r="M45" i="2"/>
  <c r="E45" i="2"/>
  <c r="U44" i="2"/>
  <c r="M44" i="2"/>
  <c r="E44" i="2"/>
  <c r="U43" i="2"/>
  <c r="M43" i="2"/>
  <c r="E43" i="2"/>
  <c r="M230" i="2"/>
  <c r="T202" i="2"/>
  <c r="E192" i="2"/>
  <c r="H184" i="2"/>
  <c r="E177" i="2"/>
  <c r="D171" i="2"/>
  <c r="O167" i="2"/>
  <c r="F164" i="2"/>
  <c r="N161" i="2"/>
  <c r="V158" i="2"/>
  <c r="I156" i="2"/>
  <c r="G154" i="2"/>
  <c r="D152" i="2"/>
  <c r="B150" i="2"/>
  <c r="H148" i="2"/>
  <c r="N146" i="2"/>
  <c r="R144" i="2"/>
  <c r="X142" i="2"/>
  <c r="F141" i="2"/>
  <c r="J139" i="2"/>
  <c r="R137" i="2"/>
  <c r="J136" i="2"/>
  <c r="B135" i="2"/>
  <c r="R133" i="2"/>
  <c r="J132" i="2"/>
  <c r="B131" i="2"/>
  <c r="R129" i="2"/>
  <c r="J128" i="2"/>
  <c r="B127" i="2"/>
  <c r="R125" i="2"/>
  <c r="J124" i="2"/>
  <c r="N123" i="2"/>
  <c r="Q122" i="2"/>
  <c r="R121" i="2"/>
  <c r="V120" i="2"/>
  <c r="Y119" i="2"/>
  <c r="H119" i="2"/>
  <c r="P118" i="2"/>
  <c r="X117" i="2"/>
  <c r="H117" i="2"/>
  <c r="P116" i="2"/>
  <c r="X115" i="2"/>
  <c r="H115" i="2"/>
  <c r="P114" i="2"/>
  <c r="X113" i="2"/>
  <c r="H113" i="2"/>
  <c r="P112" i="2"/>
  <c r="Y111" i="2"/>
  <c r="K111" i="2"/>
  <c r="X110" i="2"/>
  <c r="J110" i="2"/>
  <c r="V109" i="2"/>
  <c r="I109" i="2"/>
  <c r="S108" i="2"/>
  <c r="H108" i="2"/>
  <c r="T107" i="2"/>
  <c r="J107" i="2"/>
  <c r="X106" i="2"/>
  <c r="L106" i="2"/>
  <c r="B106" i="2"/>
  <c r="P105" i="2"/>
  <c r="D105" i="2"/>
  <c r="R104" i="2"/>
  <c r="H104" i="2"/>
  <c r="T103" i="2"/>
  <c r="J103" i="2"/>
  <c r="X102" i="2"/>
  <c r="L102" i="2"/>
  <c r="B102" i="2"/>
  <c r="P101" i="2"/>
  <c r="D101" i="2"/>
  <c r="R100" i="2"/>
  <c r="H100" i="2"/>
  <c r="T99" i="2"/>
  <c r="J99" i="2"/>
  <c r="X98" i="2"/>
  <c r="L98" i="2"/>
  <c r="B98" i="2"/>
  <c r="P97" i="2"/>
  <c r="D97" i="2"/>
  <c r="R96" i="2"/>
  <c r="H96" i="2"/>
  <c r="T95" i="2"/>
  <c r="J95" i="2"/>
  <c r="X94" i="2"/>
  <c r="L94" i="2"/>
  <c r="D94" i="2"/>
  <c r="T93" i="2"/>
  <c r="L93" i="2"/>
  <c r="D93" i="2"/>
  <c r="T92" i="2"/>
  <c r="L92" i="2"/>
  <c r="D92" i="2"/>
  <c r="T91" i="2"/>
  <c r="L91" i="2"/>
  <c r="D91" i="2"/>
  <c r="T90" i="2"/>
  <c r="L90" i="2"/>
  <c r="D90" i="2"/>
  <c r="T89" i="2"/>
  <c r="L89" i="2"/>
  <c r="D89" i="2"/>
  <c r="T88" i="2"/>
  <c r="L88" i="2"/>
  <c r="D88" i="2"/>
  <c r="T87" i="2"/>
  <c r="L87" i="2"/>
  <c r="D87" i="2"/>
  <c r="T86" i="2"/>
  <c r="L86" i="2"/>
  <c r="D86" i="2"/>
  <c r="T85" i="2"/>
  <c r="L85" i="2"/>
  <c r="D85" i="2"/>
  <c r="T84" i="2"/>
  <c r="L84" i="2"/>
  <c r="D84" i="2"/>
  <c r="T83" i="2"/>
  <c r="L83" i="2"/>
  <c r="D83" i="2"/>
  <c r="T82" i="2"/>
  <c r="L82" i="2"/>
  <c r="D82" i="2"/>
  <c r="T81" i="2"/>
  <c r="L81" i="2"/>
  <c r="D81" i="2"/>
  <c r="T80" i="2"/>
  <c r="L80" i="2"/>
  <c r="D80" i="2"/>
  <c r="T79" i="2"/>
  <c r="L79" i="2"/>
  <c r="D79" i="2"/>
  <c r="T78" i="2"/>
  <c r="L78" i="2"/>
  <c r="D78" i="2"/>
  <c r="T77" i="2"/>
  <c r="L77" i="2"/>
  <c r="D77" i="2"/>
  <c r="T76" i="2"/>
  <c r="L76" i="2"/>
  <c r="D76" i="2"/>
  <c r="T75" i="2"/>
  <c r="L75" i="2"/>
  <c r="D75" i="2"/>
  <c r="T74" i="2"/>
  <c r="L74" i="2"/>
  <c r="D74" i="2"/>
  <c r="T73" i="2"/>
  <c r="L73" i="2"/>
  <c r="D73" i="2"/>
  <c r="T72" i="2"/>
  <c r="L72" i="2"/>
  <c r="D72" i="2"/>
  <c r="T71" i="2"/>
  <c r="L71" i="2"/>
  <c r="D71" i="2"/>
  <c r="T70" i="2"/>
  <c r="L70" i="2"/>
  <c r="D70" i="2"/>
  <c r="T69" i="2"/>
  <c r="L69" i="2"/>
  <c r="D69" i="2"/>
  <c r="T68" i="2"/>
  <c r="L68" i="2"/>
  <c r="D68" i="2"/>
  <c r="T67" i="2"/>
  <c r="L67" i="2"/>
  <c r="D67" i="2"/>
  <c r="T66" i="2"/>
  <c r="L66" i="2"/>
  <c r="D66" i="2"/>
  <c r="T65" i="2"/>
  <c r="L65" i="2"/>
  <c r="D65" i="2"/>
  <c r="T64" i="2"/>
  <c r="L64" i="2"/>
  <c r="D64" i="2"/>
  <c r="T63" i="2"/>
  <c r="L63" i="2"/>
  <c r="D63" i="2"/>
  <c r="T62" i="2"/>
  <c r="L62" i="2"/>
  <c r="D62" i="2"/>
  <c r="T61" i="2"/>
  <c r="L61" i="2"/>
  <c r="D61" i="2"/>
  <c r="T60" i="2"/>
  <c r="L60" i="2"/>
  <c r="D60" i="2"/>
  <c r="T59" i="2"/>
  <c r="L59" i="2"/>
  <c r="D59" i="2"/>
  <c r="T58" i="2"/>
  <c r="L58" i="2"/>
  <c r="D58" i="2"/>
  <c r="T57" i="2"/>
  <c r="L57" i="2"/>
  <c r="D57" i="2"/>
  <c r="T56" i="2"/>
  <c r="L56" i="2"/>
  <c r="D56" i="2"/>
  <c r="T55" i="2"/>
  <c r="L55" i="2"/>
  <c r="D55" i="2"/>
  <c r="T54" i="2"/>
  <c r="L54" i="2"/>
  <c r="D54" i="2"/>
  <c r="T53" i="2"/>
  <c r="F225" i="2"/>
  <c r="H201" i="2"/>
  <c r="D191" i="2"/>
  <c r="K183" i="2"/>
  <c r="H176" i="2"/>
  <c r="P170" i="2"/>
  <c r="D167" i="2"/>
  <c r="V163" i="2"/>
  <c r="F161" i="2"/>
  <c r="N158" i="2"/>
  <c r="D156" i="2"/>
  <c r="X153" i="2"/>
  <c r="V151" i="2"/>
  <c r="V149" i="2"/>
  <c r="B148" i="2"/>
  <c r="H146" i="2"/>
  <c r="N144" i="2"/>
  <c r="R142" i="2"/>
  <c r="X140" i="2"/>
  <c r="F139" i="2"/>
  <c r="N137" i="2"/>
  <c r="F136" i="2"/>
  <c r="V134" i="2"/>
  <c r="N133" i="2"/>
  <c r="F132" i="2"/>
  <c r="V130" i="2"/>
  <c r="N129" i="2"/>
  <c r="F128" i="2"/>
  <c r="V126" i="2"/>
  <c r="N125" i="2"/>
  <c r="I124" i="2"/>
  <c r="J123" i="2"/>
  <c r="N122" i="2"/>
  <c r="Q121" i="2"/>
  <c r="R120" i="2"/>
  <c r="V119" i="2"/>
  <c r="F119" i="2"/>
  <c r="N118" i="2"/>
  <c r="V117" i="2"/>
  <c r="F117" i="2"/>
  <c r="N116" i="2"/>
  <c r="V115" i="2"/>
  <c r="F115" i="2"/>
  <c r="N114" i="2"/>
  <c r="V113" i="2"/>
  <c r="F113" i="2"/>
  <c r="N112" i="2"/>
  <c r="X111" i="2"/>
  <c r="J111" i="2"/>
  <c r="V110" i="2"/>
  <c r="I110" i="2"/>
  <c r="S109" i="2"/>
  <c r="H109" i="2"/>
  <c r="R108" i="2"/>
  <c r="F108" i="2"/>
  <c r="S107" i="2"/>
  <c r="I107" i="2"/>
  <c r="V106" i="2"/>
  <c r="K106" i="2"/>
  <c r="Y105" i="2"/>
  <c r="N105" i="2"/>
  <c r="C105" i="2"/>
  <c r="Q104" i="2"/>
  <c r="F104" i="2"/>
  <c r="S103" i="2"/>
  <c r="I103" i="2"/>
  <c r="V102" i="2"/>
  <c r="K102" i="2"/>
  <c r="Y101" i="2"/>
  <c r="N101" i="2"/>
  <c r="C101" i="2"/>
  <c r="Q100" i="2"/>
  <c r="F100" i="2"/>
  <c r="S99" i="2"/>
  <c r="I99" i="2"/>
  <c r="V98" i="2"/>
  <c r="K98" i="2"/>
  <c r="Y97" i="2"/>
  <c r="N97" i="2"/>
  <c r="C97" i="2"/>
  <c r="Q96" i="2"/>
  <c r="F96" i="2"/>
  <c r="S95" i="2"/>
  <c r="I95" i="2"/>
  <c r="V94" i="2"/>
  <c r="K94" i="2"/>
  <c r="C94" i="2"/>
  <c r="S93" i="2"/>
  <c r="K93" i="2"/>
  <c r="C93" i="2"/>
  <c r="S92" i="2"/>
  <c r="K92" i="2"/>
  <c r="C92" i="2"/>
  <c r="S91" i="2"/>
  <c r="K91" i="2"/>
  <c r="C91" i="2"/>
  <c r="S90" i="2"/>
  <c r="K90" i="2"/>
  <c r="C90" i="2"/>
  <c r="S89" i="2"/>
  <c r="K89" i="2"/>
  <c r="C89" i="2"/>
  <c r="S88" i="2"/>
  <c r="K88" i="2"/>
  <c r="C88" i="2"/>
  <c r="S87" i="2"/>
  <c r="K87" i="2"/>
  <c r="C87" i="2"/>
  <c r="S86" i="2"/>
  <c r="K86" i="2"/>
  <c r="C86" i="2"/>
  <c r="S85" i="2"/>
  <c r="K85" i="2"/>
  <c r="C85" i="2"/>
  <c r="S84" i="2"/>
  <c r="K84" i="2"/>
  <c r="C84" i="2"/>
  <c r="S83" i="2"/>
  <c r="K83" i="2"/>
  <c r="C83" i="2"/>
  <c r="S82" i="2"/>
  <c r="K82" i="2"/>
  <c r="C82" i="2"/>
  <c r="S81" i="2"/>
  <c r="K81" i="2"/>
  <c r="C81" i="2"/>
  <c r="S80" i="2"/>
  <c r="K80" i="2"/>
  <c r="C80" i="2"/>
  <c r="S79" i="2"/>
  <c r="K79" i="2"/>
  <c r="C79" i="2"/>
  <c r="S78" i="2"/>
  <c r="K78" i="2"/>
  <c r="C78" i="2"/>
  <c r="S77" i="2"/>
  <c r="K77" i="2"/>
  <c r="C77" i="2"/>
  <c r="D217" i="2"/>
  <c r="P198" i="2"/>
  <c r="B189" i="2"/>
  <c r="P181" i="2"/>
  <c r="M174" i="2"/>
  <c r="T169" i="2"/>
  <c r="G166" i="2"/>
  <c r="F163" i="2"/>
  <c r="N160" i="2"/>
  <c r="V157" i="2"/>
  <c r="O155" i="2"/>
  <c r="L153" i="2"/>
  <c r="H151" i="2"/>
  <c r="J149" i="2"/>
  <c r="P147" i="2"/>
  <c r="V145" i="2"/>
  <c r="B144" i="2"/>
  <c r="H142" i="2"/>
  <c r="N140" i="2"/>
  <c r="R138" i="2"/>
  <c r="F137" i="2"/>
  <c r="V135" i="2"/>
  <c r="N134" i="2"/>
  <c r="F133" i="2"/>
  <c r="V131" i="2"/>
  <c r="N130" i="2"/>
  <c r="F129" i="2"/>
  <c r="V127" i="2"/>
  <c r="N126" i="2"/>
  <c r="F125" i="2"/>
  <c r="B124" i="2"/>
  <c r="F123" i="2"/>
  <c r="I122" i="2"/>
  <c r="J121" i="2"/>
  <c r="N120" i="2"/>
  <c r="Q119" i="2"/>
  <c r="Y118" i="2"/>
  <c r="I118" i="2"/>
  <c r="Q117" i="2"/>
  <c r="Y116" i="2"/>
  <c r="I116" i="2"/>
  <c r="Q115" i="2"/>
  <c r="Y114" i="2"/>
  <c r="I114" i="2"/>
  <c r="Q113" i="2"/>
  <c r="Y112" i="2"/>
  <c r="I112" i="2"/>
  <c r="S111" i="2"/>
  <c r="H111" i="2"/>
  <c r="R110" i="2"/>
  <c r="F110" i="2"/>
  <c r="Q109" i="2"/>
  <c r="C109" i="2"/>
  <c r="P108" i="2"/>
  <c r="C108" i="2"/>
  <c r="Q107" i="2"/>
  <c r="F107" i="2"/>
  <c r="S106" i="2"/>
  <c r="I106" i="2"/>
  <c r="V105" i="2"/>
  <c r="K105" i="2"/>
  <c r="Y104" i="2"/>
  <c r="N104" i="2"/>
  <c r="C104" i="2"/>
  <c r="Q103" i="2"/>
  <c r="F103" i="2"/>
  <c r="S102" i="2"/>
  <c r="I102" i="2"/>
  <c r="V101" i="2"/>
  <c r="K101" i="2"/>
  <c r="Y100" i="2"/>
  <c r="N100" i="2"/>
  <c r="C100" i="2"/>
  <c r="Q99" i="2"/>
  <c r="F99" i="2"/>
  <c r="S98" i="2"/>
  <c r="I98" i="2"/>
  <c r="V97" i="2"/>
  <c r="K97" i="2"/>
  <c r="Y96" i="2"/>
  <c r="N96" i="2"/>
  <c r="C96" i="2"/>
  <c r="Q95" i="2"/>
  <c r="F95" i="2"/>
  <c r="S94" i="2"/>
  <c r="I94" i="2"/>
  <c r="Y93" i="2"/>
  <c r="Q93" i="2"/>
  <c r="I93" i="2"/>
  <c r="Y92" i="2"/>
  <c r="Q92" i="2"/>
  <c r="I92" i="2"/>
  <c r="Y91" i="2"/>
  <c r="Q91" i="2"/>
  <c r="I91" i="2"/>
  <c r="Y90" i="2"/>
  <c r="Q90" i="2"/>
  <c r="I90" i="2"/>
  <c r="Y89" i="2"/>
  <c r="Q89" i="2"/>
  <c r="I89" i="2"/>
  <c r="Y88" i="2"/>
  <c r="Q88" i="2"/>
  <c r="I88" i="2"/>
  <c r="Y87" i="2"/>
  <c r="Q87" i="2"/>
  <c r="I87" i="2"/>
  <c r="Y86" i="2"/>
  <c r="Q86" i="2"/>
  <c r="I86" i="2"/>
  <c r="Y85" i="2"/>
  <c r="Q85" i="2"/>
  <c r="I85" i="2"/>
  <c r="Y84" i="2"/>
  <c r="Q84" i="2"/>
  <c r="I84" i="2"/>
  <c r="Y83" i="2"/>
  <c r="Q83" i="2"/>
  <c r="I83" i="2"/>
  <c r="Y82" i="2"/>
  <c r="Q82" i="2"/>
  <c r="I82" i="2"/>
  <c r="Y81" i="2"/>
  <c r="Q81" i="2"/>
  <c r="I81" i="2"/>
  <c r="Y80" i="2"/>
  <c r="Q80" i="2"/>
  <c r="I80" i="2"/>
  <c r="Y79" i="2"/>
  <c r="Q79" i="2"/>
  <c r="I79" i="2"/>
  <c r="Y78" i="2"/>
  <c r="Q78" i="2"/>
  <c r="I78" i="2"/>
  <c r="Y77" i="2"/>
  <c r="Q77" i="2"/>
  <c r="I77" i="2"/>
  <c r="Y76" i="2"/>
  <c r="Q76" i="2"/>
  <c r="I76" i="2"/>
  <c r="Y75" i="2"/>
  <c r="Q75" i="2"/>
  <c r="I75" i="2"/>
  <c r="Y74" i="2"/>
  <c r="Q74" i="2"/>
  <c r="I74" i="2"/>
  <c r="Y73" i="2"/>
  <c r="Q73" i="2"/>
  <c r="I73" i="2"/>
  <c r="Y72" i="2"/>
  <c r="Q72" i="2"/>
  <c r="I72" i="2"/>
  <c r="Y71" i="2"/>
  <c r="Q71" i="2"/>
  <c r="N213" i="2"/>
  <c r="H197" i="2"/>
  <c r="X187" i="2"/>
  <c r="S180" i="2"/>
  <c r="R173" i="2"/>
  <c r="H169" i="2"/>
  <c r="T165" i="2"/>
  <c r="V162" i="2"/>
  <c r="F160" i="2"/>
  <c r="N157" i="2"/>
  <c r="H155" i="2"/>
  <c r="F153" i="2"/>
  <c r="Y150" i="2"/>
  <c r="F149" i="2"/>
  <c r="J147" i="2"/>
  <c r="P145" i="2"/>
  <c r="V143" i="2"/>
  <c r="B142" i="2"/>
  <c r="H140" i="2"/>
  <c r="N138" i="2"/>
  <c r="B137" i="2"/>
  <c r="R135" i="2"/>
  <c r="J134" i="2"/>
  <c r="B133" i="2"/>
  <c r="R131" i="2"/>
  <c r="J130" i="2"/>
  <c r="B129" i="2"/>
  <c r="R127" i="2"/>
  <c r="J126" i="2"/>
  <c r="B125" i="2"/>
  <c r="Y123" i="2"/>
  <c r="B123" i="2"/>
  <c r="F122" i="2"/>
  <c r="I121" i="2"/>
  <c r="J120" i="2"/>
  <c r="P119" i="2"/>
  <c r="X118" i="2"/>
  <c r="H118" i="2"/>
  <c r="P117" i="2"/>
  <c r="X116" i="2"/>
  <c r="H116" i="2"/>
  <c r="P115" i="2"/>
  <c r="X114" i="2"/>
  <c r="H114" i="2"/>
  <c r="P113" i="2"/>
  <c r="X112" i="2"/>
  <c r="H112" i="2"/>
  <c r="R111" i="2"/>
  <c r="F111" i="2"/>
  <c r="Q110" i="2"/>
  <c r="C110" i="2"/>
  <c r="P109" i="2"/>
  <c r="B109" i="2"/>
  <c r="N108" i="2"/>
  <c r="B108" i="2"/>
  <c r="P107" i="2"/>
  <c r="D107" i="2"/>
  <c r="R106" i="2"/>
  <c r="H106" i="2"/>
  <c r="T105" i="2"/>
  <c r="J105" i="2"/>
  <c r="X104" i="2"/>
  <c r="L104" i="2"/>
  <c r="B104" i="2"/>
  <c r="P103" i="2"/>
  <c r="D103" i="2"/>
  <c r="R102" i="2"/>
  <c r="H102" i="2"/>
  <c r="T101" i="2"/>
  <c r="J101" i="2"/>
  <c r="X100" i="2"/>
  <c r="L100" i="2"/>
  <c r="B100" i="2"/>
  <c r="P99" i="2"/>
  <c r="D99" i="2"/>
  <c r="R98" i="2"/>
  <c r="H98" i="2"/>
  <c r="T97" i="2"/>
  <c r="J97" i="2"/>
  <c r="X96" i="2"/>
  <c r="L96" i="2"/>
  <c r="B96" i="2"/>
  <c r="P95" i="2"/>
  <c r="D95" i="2"/>
  <c r="R94" i="2"/>
  <c r="H94" i="2"/>
  <c r="X93" i="2"/>
  <c r="P93" i="2"/>
  <c r="H93" i="2"/>
  <c r="X92" i="2"/>
  <c r="P92" i="2"/>
  <c r="H92" i="2"/>
  <c r="X91" i="2"/>
  <c r="P91" i="2"/>
  <c r="H91" i="2"/>
  <c r="X90" i="2"/>
  <c r="P90" i="2"/>
  <c r="H90" i="2"/>
  <c r="X89" i="2"/>
  <c r="P89" i="2"/>
  <c r="H89" i="2"/>
  <c r="X88" i="2"/>
  <c r="P88" i="2"/>
  <c r="H88" i="2"/>
  <c r="X87" i="2"/>
  <c r="P87" i="2"/>
  <c r="H87" i="2"/>
  <c r="X86" i="2"/>
  <c r="P86" i="2"/>
  <c r="H86" i="2"/>
  <c r="X85" i="2"/>
  <c r="P85" i="2"/>
  <c r="H85" i="2"/>
  <c r="X84" i="2"/>
  <c r="P84" i="2"/>
  <c r="H84" i="2"/>
  <c r="X83" i="2"/>
  <c r="P83" i="2"/>
  <c r="H83" i="2"/>
  <c r="X82" i="2"/>
  <c r="P82" i="2"/>
  <c r="H82" i="2"/>
  <c r="X81" i="2"/>
  <c r="P81" i="2"/>
  <c r="H81" i="2"/>
  <c r="X80" i="2"/>
  <c r="P80" i="2"/>
  <c r="H80" i="2"/>
  <c r="X79" i="2"/>
  <c r="P79" i="2"/>
  <c r="H79" i="2"/>
  <c r="X78" i="2"/>
  <c r="P78" i="2"/>
  <c r="H78" i="2"/>
  <c r="X77" i="2"/>
  <c r="P77" i="2"/>
  <c r="H77" i="2"/>
  <c r="X76" i="2"/>
  <c r="P76" i="2"/>
  <c r="H76" i="2"/>
  <c r="X75" i="2"/>
  <c r="P75" i="2"/>
  <c r="H75" i="2"/>
  <c r="X74" i="2"/>
  <c r="P74" i="2"/>
  <c r="H74" i="2"/>
  <c r="X73" i="2"/>
  <c r="P73" i="2"/>
  <c r="H73" i="2"/>
  <c r="X72" i="2"/>
  <c r="P72" i="2"/>
  <c r="H72" i="2"/>
  <c r="X71" i="2"/>
  <c r="P71" i="2"/>
  <c r="H71" i="2"/>
  <c r="X70" i="2"/>
  <c r="P70" i="2"/>
  <c r="H70" i="2"/>
  <c r="X69" i="2"/>
  <c r="P69" i="2"/>
  <c r="H69" i="2"/>
  <c r="X68" i="2"/>
  <c r="P68" i="2"/>
  <c r="H68" i="2"/>
  <c r="X67" i="2"/>
  <c r="P67" i="2"/>
  <c r="H67" i="2"/>
  <c r="X66" i="2"/>
  <c r="P66" i="2"/>
  <c r="H66" i="2"/>
  <c r="G247" i="2"/>
  <c r="X178" i="2"/>
  <c r="F162" i="2"/>
  <c r="P152" i="2"/>
  <c r="F145" i="2"/>
  <c r="B138" i="2"/>
  <c r="R132" i="2"/>
  <c r="J127" i="2"/>
  <c r="V122" i="2"/>
  <c r="J119" i="2"/>
  <c r="R116" i="2"/>
  <c r="B114" i="2"/>
  <c r="P111" i="2"/>
  <c r="K109" i="2"/>
  <c r="L107" i="2"/>
  <c r="R105" i="2"/>
  <c r="X103" i="2"/>
  <c r="D102" i="2"/>
  <c r="J100" i="2"/>
  <c r="P98" i="2"/>
  <c r="T96" i="2"/>
  <c r="B95" i="2"/>
  <c r="N93" i="2"/>
  <c r="F92" i="2"/>
  <c r="V90" i="2"/>
  <c r="N89" i="2"/>
  <c r="F88" i="2"/>
  <c r="V86" i="2"/>
  <c r="N85" i="2"/>
  <c r="F84" i="2"/>
  <c r="V82" i="2"/>
  <c r="N81" i="2"/>
  <c r="F80" i="2"/>
  <c r="V78" i="2"/>
  <c r="N77" i="2"/>
  <c r="K76" i="2"/>
  <c r="N75" i="2"/>
  <c r="R74" i="2"/>
  <c r="S73" i="2"/>
  <c r="V72" i="2"/>
  <c r="B72" i="2"/>
  <c r="F71" i="2"/>
  <c r="N70" i="2"/>
  <c r="V69" i="2"/>
  <c r="F69" i="2"/>
  <c r="N68" i="2"/>
  <c r="V67" i="2"/>
  <c r="F67" i="2"/>
  <c r="N66" i="2"/>
  <c r="X65" i="2"/>
  <c r="J65" i="2"/>
  <c r="V64" i="2"/>
  <c r="I64" i="2"/>
  <c r="S63" i="2"/>
  <c r="H63" i="2"/>
  <c r="R62" i="2"/>
  <c r="F62" i="2"/>
  <c r="Q61" i="2"/>
  <c r="C61" i="2"/>
  <c r="P60" i="2"/>
  <c r="B60" i="2"/>
  <c r="N59" i="2"/>
  <c r="Y58" i="2"/>
  <c r="K58" i="2"/>
  <c r="X57" i="2"/>
  <c r="J57" i="2"/>
  <c r="V56" i="2"/>
  <c r="I56" i="2"/>
  <c r="S55" i="2"/>
  <c r="H55" i="2"/>
  <c r="S54" i="2"/>
  <c r="I54" i="2"/>
  <c r="W53" i="2"/>
  <c r="L53" i="2"/>
  <c r="C53" i="2"/>
  <c r="R52" i="2"/>
  <c r="I52" i="2"/>
  <c r="X51" i="2"/>
  <c r="O51" i="2"/>
  <c r="F51" i="2"/>
  <c r="T50" i="2"/>
  <c r="K50" i="2"/>
  <c r="B50" i="2"/>
  <c r="Q49" i="2"/>
  <c r="H49" i="2"/>
  <c r="W48" i="2"/>
  <c r="N48" i="2"/>
  <c r="D48" i="2"/>
  <c r="S47" i="2"/>
  <c r="J47" i="2"/>
  <c r="Y46" i="2"/>
  <c r="P46" i="2"/>
  <c r="G46" i="2"/>
  <c r="V45" i="2"/>
  <c r="L45" i="2"/>
  <c r="C45" i="2"/>
  <c r="R44" i="2"/>
  <c r="I44" i="2"/>
  <c r="X43" i="2"/>
  <c r="O43" i="2"/>
  <c r="F43" i="2"/>
  <c r="U42" i="2"/>
  <c r="M42" i="2"/>
  <c r="E42" i="2"/>
  <c r="U41" i="2"/>
  <c r="M41" i="2"/>
  <c r="E41" i="2"/>
  <c r="U40" i="2"/>
  <c r="M40" i="2"/>
  <c r="E40" i="2"/>
  <c r="U39" i="2"/>
  <c r="M39" i="2"/>
  <c r="E39" i="2"/>
  <c r="U38" i="2"/>
  <c r="M38" i="2"/>
  <c r="E38" i="2"/>
  <c r="U37" i="2"/>
  <c r="M37" i="2"/>
  <c r="E37" i="2"/>
  <c r="U36" i="2"/>
  <c r="M36" i="2"/>
  <c r="E36" i="2"/>
  <c r="U35" i="2"/>
  <c r="M35" i="2"/>
  <c r="E35" i="2"/>
  <c r="U34" i="2"/>
  <c r="M34" i="2"/>
  <c r="E34" i="2"/>
  <c r="U33" i="2"/>
  <c r="M33" i="2"/>
  <c r="E33" i="2"/>
  <c r="U32" i="2"/>
  <c r="M32" i="2"/>
  <c r="E32" i="2"/>
  <c r="U31" i="2"/>
  <c r="M31" i="2"/>
  <c r="E31" i="2"/>
  <c r="U30" i="2"/>
  <c r="M30" i="2"/>
  <c r="E30" i="2"/>
  <c r="U29" i="2"/>
  <c r="M29" i="2"/>
  <c r="E29" i="2"/>
  <c r="U28" i="2"/>
  <c r="M28" i="2"/>
  <c r="E28" i="2"/>
  <c r="U27" i="2"/>
  <c r="M27" i="2"/>
  <c r="E27" i="2"/>
  <c r="U26" i="2"/>
  <c r="M26" i="2"/>
  <c r="E26" i="2"/>
  <c r="U25" i="2"/>
  <c r="M25" i="2"/>
  <c r="E25" i="2"/>
  <c r="U24" i="2"/>
  <c r="M24" i="2"/>
  <c r="E24" i="2"/>
  <c r="U23" i="2"/>
  <c r="M23" i="2"/>
  <c r="E23" i="2"/>
  <c r="U22" i="2"/>
  <c r="M22" i="2"/>
  <c r="E22" i="2"/>
  <c r="U21" i="2"/>
  <c r="M21" i="2"/>
  <c r="E21" i="2"/>
  <c r="U20" i="2"/>
  <c r="M20" i="2"/>
  <c r="E20" i="2"/>
  <c r="U19" i="2"/>
  <c r="M19" i="2"/>
  <c r="E19" i="2"/>
  <c r="U18" i="2"/>
  <c r="M18" i="2"/>
  <c r="E18" i="2"/>
  <c r="U17" i="2"/>
  <c r="M17" i="2"/>
  <c r="E17" i="2"/>
  <c r="U16" i="2"/>
  <c r="M16" i="2"/>
  <c r="E16" i="2"/>
  <c r="U15" i="2"/>
  <c r="M15" i="2"/>
  <c r="E15" i="2"/>
  <c r="U14" i="2"/>
  <c r="M14" i="2"/>
  <c r="E14" i="2"/>
  <c r="U13" i="2"/>
  <c r="M13" i="2"/>
  <c r="E13" i="2"/>
  <c r="U12" i="2"/>
  <c r="M12" i="2"/>
  <c r="E12" i="2"/>
  <c r="U11" i="2"/>
  <c r="M11" i="2"/>
  <c r="E11" i="2"/>
  <c r="U10" i="2"/>
  <c r="M10" i="2"/>
  <c r="E10" i="2"/>
  <c r="U9" i="2"/>
  <c r="M9" i="2"/>
  <c r="E9" i="2"/>
  <c r="U8" i="2"/>
  <c r="M8" i="2"/>
  <c r="E8" i="2"/>
  <c r="U7" i="2"/>
  <c r="M7" i="2"/>
  <c r="E7" i="2"/>
  <c r="U6" i="2"/>
  <c r="M6" i="2"/>
  <c r="E6" i="2"/>
  <c r="U5" i="2"/>
  <c r="M5" i="2"/>
  <c r="E5" i="2"/>
  <c r="U4" i="2"/>
  <c r="D207" i="2"/>
  <c r="H172" i="2"/>
  <c r="N159" i="2"/>
  <c r="N150" i="2"/>
  <c r="J143" i="2"/>
  <c r="R136" i="2"/>
  <c r="J131" i="2"/>
  <c r="B126" i="2"/>
  <c r="Y121" i="2"/>
  <c r="R118" i="2"/>
  <c r="B116" i="2"/>
  <c r="J113" i="2"/>
  <c r="B111" i="2"/>
  <c r="X108" i="2"/>
  <c r="B107" i="2"/>
  <c r="H105" i="2"/>
  <c r="L103" i="2"/>
  <c r="R101" i="2"/>
  <c r="X99" i="2"/>
  <c r="D98" i="2"/>
  <c r="J96" i="2"/>
  <c r="P94" i="2"/>
  <c r="F93" i="2"/>
  <c r="V91" i="2"/>
  <c r="N90" i="2"/>
  <c r="F89" i="2"/>
  <c r="V87" i="2"/>
  <c r="N86" i="2"/>
  <c r="F85" i="2"/>
  <c r="V83" i="2"/>
  <c r="N82" i="2"/>
  <c r="F81" i="2"/>
  <c r="V79" i="2"/>
  <c r="N78" i="2"/>
  <c r="F77" i="2"/>
  <c r="F76" i="2"/>
  <c r="J75" i="2"/>
  <c r="K74" i="2"/>
  <c r="N73" i="2"/>
  <c r="R72" i="2"/>
  <c r="S71" i="2"/>
  <c r="B71" i="2"/>
  <c r="J70" i="2"/>
  <c r="R69" i="2"/>
  <c r="B69" i="2"/>
  <c r="J68" i="2"/>
  <c r="R67" i="2"/>
  <c r="B67" i="2"/>
  <c r="J66" i="2"/>
  <c r="S65" i="2"/>
  <c r="H65" i="2"/>
  <c r="R64" i="2"/>
  <c r="F64" i="2"/>
  <c r="Q63" i="2"/>
  <c r="C63" i="2"/>
  <c r="P62" i="2"/>
  <c r="B62" i="2"/>
  <c r="N61" i="2"/>
  <c r="Y60" i="2"/>
  <c r="K60" i="2"/>
  <c r="X59" i="2"/>
  <c r="J59" i="2"/>
  <c r="V58" i="2"/>
  <c r="I58" i="2"/>
  <c r="S57" i="2"/>
  <c r="H57" i="2"/>
  <c r="R56" i="2"/>
  <c r="F56" i="2"/>
  <c r="Q55" i="2"/>
  <c r="C55" i="2"/>
  <c r="Q54" i="2"/>
  <c r="G54" i="2"/>
  <c r="S53" i="2"/>
  <c r="J53" i="2"/>
  <c r="Y52" i="2"/>
  <c r="P52" i="2"/>
  <c r="G52" i="2"/>
  <c r="V51" i="2"/>
  <c r="L51" i="2"/>
  <c r="C51" i="2"/>
  <c r="R50" i="2"/>
  <c r="I50" i="2"/>
  <c r="X49" i="2"/>
  <c r="O49" i="2"/>
  <c r="F49" i="2"/>
  <c r="T48" i="2"/>
  <c r="K48" i="2"/>
  <c r="B48" i="2"/>
  <c r="Q47" i="2"/>
  <c r="H47" i="2"/>
  <c r="W46" i="2"/>
  <c r="N46" i="2"/>
  <c r="D46" i="2"/>
  <c r="S45" i="2"/>
  <c r="J45" i="2"/>
  <c r="Y44" i="2"/>
  <c r="P44" i="2"/>
  <c r="G44" i="2"/>
  <c r="V43" i="2"/>
  <c r="L43" i="2"/>
  <c r="C43" i="2"/>
  <c r="S42" i="2"/>
  <c r="K42" i="2"/>
  <c r="C42" i="2"/>
  <c r="S41" i="2"/>
  <c r="K41" i="2"/>
  <c r="C41" i="2"/>
  <c r="S40" i="2"/>
  <c r="K40" i="2"/>
  <c r="C40" i="2"/>
  <c r="S39" i="2"/>
  <c r="K39" i="2"/>
  <c r="C39" i="2"/>
  <c r="S38" i="2"/>
  <c r="K38" i="2"/>
  <c r="C38" i="2"/>
  <c r="S37" i="2"/>
  <c r="K37" i="2"/>
  <c r="C37" i="2"/>
  <c r="S36" i="2"/>
  <c r="K36" i="2"/>
  <c r="C36" i="2"/>
  <c r="S35" i="2"/>
  <c r="K35" i="2"/>
  <c r="C35" i="2"/>
  <c r="S34" i="2"/>
  <c r="K34" i="2"/>
  <c r="C34" i="2"/>
  <c r="S33" i="2"/>
  <c r="K33" i="2"/>
  <c r="C33" i="2"/>
  <c r="S32" i="2"/>
  <c r="K32" i="2"/>
  <c r="C32" i="2"/>
  <c r="S31" i="2"/>
  <c r="K31" i="2"/>
  <c r="C31" i="2"/>
  <c r="S30" i="2"/>
  <c r="K30" i="2"/>
  <c r="C30" i="2"/>
  <c r="S29" i="2"/>
  <c r="K29" i="2"/>
  <c r="C29" i="2"/>
  <c r="S28" i="2"/>
  <c r="K28" i="2"/>
  <c r="C28" i="2"/>
  <c r="S27" i="2"/>
  <c r="K27" i="2"/>
  <c r="C27" i="2"/>
  <c r="S26" i="2"/>
  <c r="K26" i="2"/>
  <c r="C26" i="2"/>
  <c r="S25" i="2"/>
  <c r="K25" i="2"/>
  <c r="C25" i="2"/>
  <c r="S24" i="2"/>
  <c r="K24" i="2"/>
  <c r="C24" i="2"/>
  <c r="S23" i="2"/>
  <c r="K23" i="2"/>
  <c r="C23" i="2"/>
  <c r="S22" i="2"/>
  <c r="K22" i="2"/>
  <c r="C22" i="2"/>
  <c r="S21" i="2"/>
  <c r="K21" i="2"/>
  <c r="C21" i="2"/>
  <c r="S20" i="2"/>
  <c r="K20" i="2"/>
  <c r="C20" i="2"/>
  <c r="S19" i="2"/>
  <c r="K19" i="2"/>
  <c r="C19" i="2"/>
  <c r="S18" i="2"/>
  <c r="K18" i="2"/>
  <c r="C18" i="2"/>
  <c r="S17" i="2"/>
  <c r="K17" i="2"/>
  <c r="C17" i="2"/>
  <c r="S16" i="2"/>
  <c r="K16" i="2"/>
  <c r="C16" i="2"/>
  <c r="S15" i="2"/>
  <c r="K15" i="2"/>
  <c r="C15" i="2"/>
  <c r="S14" i="2"/>
  <c r="K14" i="2"/>
  <c r="C14" i="2"/>
  <c r="S13" i="2"/>
  <c r="K13" i="2"/>
  <c r="C13" i="2"/>
  <c r="S12" i="2"/>
  <c r="K12" i="2"/>
  <c r="C12" i="2"/>
  <c r="S11" i="2"/>
  <c r="K11" i="2"/>
  <c r="C11" i="2"/>
  <c r="S10" i="2"/>
  <c r="K10" i="2"/>
  <c r="C10" i="2"/>
  <c r="S9" i="2"/>
  <c r="K9" i="2"/>
  <c r="C9" i="2"/>
  <c r="S8" i="2"/>
  <c r="K8" i="2"/>
  <c r="C8" i="2"/>
  <c r="S7" i="2"/>
  <c r="K7" i="2"/>
  <c r="C7" i="2"/>
  <c r="S6" i="2"/>
  <c r="K6" i="2"/>
  <c r="C6" i="2"/>
  <c r="S5" i="2"/>
  <c r="K5" i="2"/>
  <c r="C5" i="2"/>
  <c r="X199" i="2"/>
  <c r="G170" i="2"/>
  <c r="F158" i="2"/>
  <c r="P149" i="2"/>
  <c r="N142" i="2"/>
  <c r="B136" i="2"/>
  <c r="R130" i="2"/>
  <c r="J125" i="2"/>
  <c r="N121" i="2"/>
  <c r="J118" i="2"/>
  <c r="R115" i="2"/>
  <c r="B113" i="2"/>
  <c r="S110" i="2"/>
  <c r="Q108" i="2"/>
  <c r="T106" i="2"/>
  <c r="B105" i="2"/>
  <c r="H103" i="2"/>
  <c r="L101" i="2"/>
  <c r="R99" i="2"/>
  <c r="X97" i="2"/>
  <c r="D96" i="2"/>
  <c r="J94" i="2"/>
  <c r="B93" i="2"/>
  <c r="R91" i="2"/>
  <c r="J90" i="2"/>
  <c r="B89" i="2"/>
  <c r="R87" i="2"/>
  <c r="J86" i="2"/>
  <c r="B85" i="2"/>
  <c r="R83" i="2"/>
  <c r="J82" i="2"/>
  <c r="B81" i="2"/>
  <c r="R79" i="2"/>
  <c r="J78" i="2"/>
  <c r="B77" i="2"/>
  <c r="C76" i="2"/>
  <c r="F75" i="2"/>
  <c r="J74" i="2"/>
  <c r="K73" i="2"/>
  <c r="N72" i="2"/>
  <c r="R71" i="2"/>
  <c r="Y70" i="2"/>
  <c r="I70" i="2"/>
  <c r="Q69" i="2"/>
  <c r="Y68" i="2"/>
  <c r="I68" i="2"/>
  <c r="Q67" i="2"/>
  <c r="Y66" i="2"/>
  <c r="I66" i="2"/>
  <c r="R65" i="2"/>
  <c r="F65" i="2"/>
  <c r="Q64" i="2"/>
  <c r="C64" i="2"/>
  <c r="P63" i="2"/>
  <c r="B63" i="2"/>
  <c r="N62" i="2"/>
  <c r="Y61" i="2"/>
  <c r="K61" i="2"/>
  <c r="X60" i="2"/>
  <c r="J60" i="2"/>
  <c r="V59" i="2"/>
  <c r="I59" i="2"/>
  <c r="S58" i="2"/>
  <c r="H58" i="2"/>
  <c r="R57" i="2"/>
  <c r="F57" i="2"/>
  <c r="Q56" i="2"/>
  <c r="C56" i="2"/>
  <c r="P55" i="2"/>
  <c r="B55" i="2"/>
  <c r="P54" i="2"/>
  <c r="F54" i="2"/>
  <c r="R53" i="2"/>
  <c r="I53" i="2"/>
  <c r="X52" i="2"/>
  <c r="O52" i="2"/>
  <c r="F52" i="2"/>
  <c r="T51" i="2"/>
  <c r="K51" i="2"/>
  <c r="B51" i="2"/>
  <c r="Q50" i="2"/>
  <c r="H50" i="2"/>
  <c r="W49" i="2"/>
  <c r="N49" i="2"/>
  <c r="D49" i="2"/>
  <c r="S48" i="2"/>
  <c r="J48" i="2"/>
  <c r="Y47" i="2"/>
  <c r="P47" i="2"/>
  <c r="G47" i="2"/>
  <c r="V46" i="2"/>
  <c r="L46" i="2"/>
  <c r="C46" i="2"/>
  <c r="R45" i="2"/>
  <c r="I45" i="2"/>
  <c r="X44" i="2"/>
  <c r="O44" i="2"/>
  <c r="F44" i="2"/>
  <c r="T43" i="2"/>
  <c r="K43" i="2"/>
  <c r="B43" i="2"/>
  <c r="R42" i="2"/>
  <c r="J42" i="2"/>
  <c r="B42" i="2"/>
  <c r="R41" i="2"/>
  <c r="J41" i="2"/>
  <c r="B41" i="2"/>
  <c r="R40" i="2"/>
  <c r="J40" i="2"/>
  <c r="B40" i="2"/>
  <c r="R39" i="2"/>
  <c r="J39" i="2"/>
  <c r="B39" i="2"/>
  <c r="R38" i="2"/>
  <c r="J38" i="2"/>
  <c r="B38" i="2"/>
  <c r="R37" i="2"/>
  <c r="J37" i="2"/>
  <c r="B37" i="2"/>
  <c r="R36" i="2"/>
  <c r="J36" i="2"/>
  <c r="B36" i="2"/>
  <c r="R35" i="2"/>
  <c r="J35" i="2"/>
  <c r="B35" i="2"/>
  <c r="R34" i="2"/>
  <c r="J34" i="2"/>
  <c r="B34" i="2"/>
  <c r="R33" i="2"/>
  <c r="J33" i="2"/>
  <c r="B33" i="2"/>
  <c r="R32" i="2"/>
  <c r="J32" i="2"/>
  <c r="B32" i="2"/>
  <c r="R31" i="2"/>
  <c r="J31" i="2"/>
  <c r="B31" i="2"/>
  <c r="R30" i="2"/>
  <c r="J30" i="2"/>
  <c r="B30" i="2"/>
  <c r="R29" i="2"/>
  <c r="J29" i="2"/>
  <c r="B29" i="2"/>
  <c r="R28" i="2"/>
  <c r="J28" i="2"/>
  <c r="B28" i="2"/>
  <c r="R27" i="2"/>
  <c r="J27" i="2"/>
  <c r="B27" i="2"/>
  <c r="R26" i="2"/>
  <c r="J26" i="2"/>
  <c r="B26" i="2"/>
  <c r="R25" i="2"/>
  <c r="J25" i="2"/>
  <c r="B25" i="2"/>
  <c r="R24" i="2"/>
  <c r="J24" i="2"/>
  <c r="B24" i="2"/>
  <c r="R23" i="2"/>
  <c r="J23" i="2"/>
  <c r="B23" i="2"/>
  <c r="R22" i="2"/>
  <c r="J22" i="2"/>
  <c r="B22" i="2"/>
  <c r="R21" i="2"/>
  <c r="J21" i="2"/>
  <c r="B21" i="2"/>
  <c r="R20" i="2"/>
  <c r="J20" i="2"/>
  <c r="B20" i="2"/>
  <c r="R19" i="2"/>
  <c r="J19" i="2"/>
  <c r="B19" i="2"/>
  <c r="R18" i="2"/>
  <c r="P194" i="2"/>
  <c r="L168" i="2"/>
  <c r="W156" i="2"/>
  <c r="R148" i="2"/>
  <c r="P141" i="2"/>
  <c r="J135" i="2"/>
  <c r="B130" i="2"/>
  <c r="R124" i="2"/>
  <c r="B121" i="2"/>
  <c r="B118" i="2"/>
  <c r="J115" i="2"/>
  <c r="R112" i="2"/>
  <c r="N110" i="2"/>
  <c r="J108" i="2"/>
  <c r="P106" i="2"/>
  <c r="T104" i="2"/>
  <c r="B103" i="2"/>
  <c r="H101" i="2"/>
  <c r="L99" i="2"/>
  <c r="R97" i="2"/>
  <c r="X95" i="2"/>
  <c r="F94" i="2"/>
  <c r="V92" i="2"/>
  <c r="N91" i="2"/>
  <c r="F90" i="2"/>
  <c r="V88" i="2"/>
  <c r="N87" i="2"/>
  <c r="F86" i="2"/>
  <c r="V84" i="2"/>
  <c r="N83" i="2"/>
  <c r="F82" i="2"/>
  <c r="V80" i="2"/>
  <c r="N79" i="2"/>
  <c r="F78" i="2"/>
  <c r="V76" i="2"/>
  <c r="B76" i="2"/>
  <c r="C75" i="2"/>
  <c r="F74" i="2"/>
  <c r="J73" i="2"/>
  <c r="K72" i="2"/>
  <c r="N71" i="2"/>
  <c r="V70" i="2"/>
  <c r="F70" i="2"/>
  <c r="N69" i="2"/>
  <c r="V68" i="2"/>
  <c r="F68" i="2"/>
  <c r="N67" i="2"/>
  <c r="V66" i="2"/>
  <c r="F66" i="2"/>
  <c r="Q65" i="2"/>
  <c r="C65" i="2"/>
  <c r="P64" i="2"/>
  <c r="B64" i="2"/>
  <c r="N63" i="2"/>
  <c r="Y62" i="2"/>
  <c r="K62" i="2"/>
  <c r="X61" i="2"/>
  <c r="J61" i="2"/>
  <c r="V60" i="2"/>
  <c r="I60" i="2"/>
  <c r="S59" i="2"/>
  <c r="H59" i="2"/>
  <c r="R58" i="2"/>
  <c r="F58" i="2"/>
  <c r="Q57" i="2"/>
  <c r="C57" i="2"/>
  <c r="P56" i="2"/>
  <c r="B56" i="2"/>
  <c r="N55" i="2"/>
  <c r="Y54" i="2"/>
  <c r="O54" i="2"/>
  <c r="C54" i="2"/>
  <c r="Q53" i="2"/>
  <c r="H53" i="2"/>
  <c r="W52" i="2"/>
  <c r="N52" i="2"/>
  <c r="D52" i="2"/>
  <c r="S51" i="2"/>
  <c r="J51" i="2"/>
  <c r="Y50" i="2"/>
  <c r="P50" i="2"/>
  <c r="G50" i="2"/>
  <c r="V49" i="2"/>
  <c r="L49" i="2"/>
  <c r="C49" i="2"/>
  <c r="R48" i="2"/>
  <c r="I48" i="2"/>
  <c r="X47" i="2"/>
  <c r="O47" i="2"/>
  <c r="F47" i="2"/>
  <c r="T46" i="2"/>
  <c r="K46" i="2"/>
  <c r="B46" i="2"/>
  <c r="Q45" i="2"/>
  <c r="H45" i="2"/>
  <c r="W44" i="2"/>
  <c r="N44" i="2"/>
  <c r="D44" i="2"/>
  <c r="S43" i="2"/>
  <c r="J43" i="2"/>
  <c r="Y42" i="2"/>
  <c r="Q42" i="2"/>
  <c r="I42" i="2"/>
  <c r="Y41" i="2"/>
  <c r="Q41" i="2"/>
  <c r="I41" i="2"/>
  <c r="Y40" i="2"/>
  <c r="Q40" i="2"/>
  <c r="I40" i="2"/>
  <c r="Y39" i="2"/>
  <c r="Q39" i="2"/>
  <c r="I39" i="2"/>
  <c r="Y38" i="2"/>
  <c r="Q38" i="2"/>
  <c r="I38" i="2"/>
  <c r="Y37" i="2"/>
  <c r="Q37" i="2"/>
  <c r="I37" i="2"/>
  <c r="Y36" i="2"/>
  <c r="Q36" i="2"/>
  <c r="I36" i="2"/>
  <c r="Y35" i="2"/>
  <c r="Q35" i="2"/>
  <c r="I35" i="2"/>
  <c r="Y34" i="2"/>
  <c r="Q34" i="2"/>
  <c r="I34" i="2"/>
  <c r="Y33" i="2"/>
  <c r="Q33" i="2"/>
  <c r="I33" i="2"/>
  <c r="Y32" i="2"/>
  <c r="Q32" i="2"/>
  <c r="I32" i="2"/>
  <c r="Y31" i="2"/>
  <c r="Q31" i="2"/>
  <c r="I31" i="2"/>
  <c r="Y30" i="2"/>
  <c r="Q30" i="2"/>
  <c r="I30" i="2"/>
  <c r="Y29" i="2"/>
  <c r="Q29" i="2"/>
  <c r="I29" i="2"/>
  <c r="Y28" i="2"/>
  <c r="Q28" i="2"/>
  <c r="I28" i="2"/>
  <c r="Y27" i="2"/>
  <c r="Q27" i="2"/>
  <c r="I27" i="2"/>
  <c r="Y26" i="2"/>
  <c r="Q26" i="2"/>
  <c r="I26" i="2"/>
  <c r="Y25" i="2"/>
  <c r="Q25" i="2"/>
  <c r="I25" i="2"/>
  <c r="Y24" i="2"/>
  <c r="Q24" i="2"/>
  <c r="I24" i="2"/>
  <c r="Y23" i="2"/>
  <c r="Q23" i="2"/>
  <c r="I23" i="2"/>
  <c r="Y22" i="2"/>
  <c r="Q22" i="2"/>
  <c r="I22" i="2"/>
  <c r="Y21" i="2"/>
  <c r="Q21" i="2"/>
  <c r="I21" i="2"/>
  <c r="Y20" i="2"/>
  <c r="Q20" i="2"/>
  <c r="I20" i="2"/>
  <c r="Y19" i="2"/>
  <c r="C186" i="2"/>
  <c r="W164" i="2"/>
  <c r="T154" i="2"/>
  <c r="X146" i="2"/>
  <c r="V139" i="2"/>
  <c r="B134" i="2"/>
  <c r="R128" i="2"/>
  <c r="R123" i="2"/>
  <c r="F120" i="2"/>
  <c r="J117" i="2"/>
  <c r="R114" i="2"/>
  <c r="C112" i="2"/>
  <c r="Y109" i="2"/>
  <c r="X107" i="2"/>
  <c r="D106" i="2"/>
  <c r="J104" i="2"/>
  <c r="P102" i="2"/>
  <c r="T100" i="2"/>
  <c r="B99" i="2"/>
  <c r="H97" i="2"/>
  <c r="L95" i="2"/>
  <c r="V93" i="2"/>
  <c r="N92" i="2"/>
  <c r="F91" i="2"/>
  <c r="V89" i="2"/>
  <c r="N88" i="2"/>
  <c r="F87" i="2"/>
  <c r="V85" i="2"/>
  <c r="N84" i="2"/>
  <c r="F83" i="2"/>
  <c r="V81" i="2"/>
  <c r="N80" i="2"/>
  <c r="F79" i="2"/>
  <c r="V77" i="2"/>
  <c r="R76" i="2"/>
  <c r="S75" i="2"/>
  <c r="V74" i="2"/>
  <c r="B74" i="2"/>
  <c r="C73" i="2"/>
  <c r="F72" i="2"/>
  <c r="J71" i="2"/>
  <c r="R70" i="2"/>
  <c r="B70" i="2"/>
  <c r="J69" i="2"/>
  <c r="R68" i="2"/>
  <c r="B68" i="2"/>
  <c r="J67" i="2"/>
  <c r="R66" i="2"/>
  <c r="B66" i="2"/>
  <c r="N65" i="2"/>
  <c r="Y64" i="2"/>
  <c r="K64" i="2"/>
  <c r="X63" i="2"/>
  <c r="J63" i="2"/>
  <c r="V62" i="2"/>
  <c r="I62" i="2"/>
  <c r="S61" i="2"/>
  <c r="H61" i="2"/>
  <c r="R60" i="2"/>
  <c r="F60" i="2"/>
  <c r="Q59" i="2"/>
  <c r="C59" i="2"/>
  <c r="P58" i="2"/>
  <c r="B58" i="2"/>
  <c r="N57" i="2"/>
  <c r="Y56" i="2"/>
  <c r="K56" i="2"/>
  <c r="X55" i="2"/>
  <c r="J55" i="2"/>
  <c r="W54" i="2"/>
  <c r="K54" i="2"/>
  <c r="Y53" i="2"/>
  <c r="O53" i="2"/>
  <c r="F53" i="2"/>
  <c r="T52" i="2"/>
  <c r="K52" i="2"/>
  <c r="B52" i="2"/>
  <c r="Q51" i="2"/>
  <c r="H51" i="2"/>
  <c r="W50" i="2"/>
  <c r="N50" i="2"/>
  <c r="D50" i="2"/>
  <c r="S49" i="2"/>
  <c r="J49" i="2"/>
  <c r="Y48" i="2"/>
  <c r="P48" i="2"/>
  <c r="G48" i="2"/>
  <c r="V47" i="2"/>
  <c r="L47" i="2"/>
  <c r="C47" i="2"/>
  <c r="R46" i="2"/>
  <c r="I46" i="2"/>
  <c r="X45" i="2"/>
  <c r="O45" i="2"/>
  <c r="F45" i="2"/>
  <c r="T44" i="2"/>
  <c r="K44" i="2"/>
  <c r="B44" i="2"/>
  <c r="Q43" i="2"/>
  <c r="H43" i="2"/>
  <c r="W42" i="2"/>
  <c r="O42" i="2"/>
  <c r="G42" i="2"/>
  <c r="W41" i="2"/>
  <c r="O41" i="2"/>
  <c r="G41" i="2"/>
  <c r="W40" i="2"/>
  <c r="O40" i="2"/>
  <c r="G40" i="2"/>
  <c r="W39" i="2"/>
  <c r="O39" i="2"/>
  <c r="G39" i="2"/>
  <c r="W38" i="2"/>
  <c r="O38" i="2"/>
  <c r="G38" i="2"/>
  <c r="W37" i="2"/>
  <c r="O37" i="2"/>
  <c r="G37" i="2"/>
  <c r="W36" i="2"/>
  <c r="M182" i="2"/>
  <c r="N163" i="2"/>
  <c r="Q153" i="2"/>
  <c r="B146" i="2"/>
  <c r="X138" i="2"/>
  <c r="J133" i="2"/>
  <c r="B128" i="2"/>
  <c r="I123" i="2"/>
  <c r="R119" i="2"/>
  <c r="B117" i="2"/>
  <c r="J114" i="2"/>
  <c r="V111" i="2"/>
  <c r="R109" i="2"/>
  <c r="R107" i="2"/>
  <c r="X105" i="2"/>
  <c r="D104" i="2"/>
  <c r="J102" i="2"/>
  <c r="P100" i="2"/>
  <c r="T98" i="2"/>
  <c r="B97" i="2"/>
  <c r="H95" i="2"/>
  <c r="R93" i="2"/>
  <c r="J92" i="2"/>
  <c r="B91" i="2"/>
  <c r="R89" i="2"/>
  <c r="J88" i="2"/>
  <c r="B87" i="2"/>
  <c r="R85" i="2"/>
  <c r="J84" i="2"/>
  <c r="B83" i="2"/>
  <c r="R81" i="2"/>
  <c r="J80" i="2"/>
  <c r="B79" i="2"/>
  <c r="R77" i="2"/>
  <c r="N76" i="2"/>
  <c r="R75" i="2"/>
  <c r="S74" i="2"/>
  <c r="V73" i="2"/>
  <c r="B73" i="2"/>
  <c r="C72" i="2"/>
  <c r="I71" i="2"/>
  <c r="Q70" i="2"/>
  <c r="Y69" i="2"/>
  <c r="I69" i="2"/>
  <c r="Q68" i="2"/>
  <c r="Y67" i="2"/>
  <c r="I67" i="2"/>
  <c r="Q66" i="2"/>
  <c r="Y65" i="2"/>
  <c r="K65" i="2"/>
  <c r="X64" i="2"/>
  <c r="J64" i="2"/>
  <c r="V63" i="2"/>
  <c r="I63" i="2"/>
  <c r="S62" i="2"/>
  <c r="H62" i="2"/>
  <c r="R61" i="2"/>
  <c r="F61" i="2"/>
  <c r="Q60" i="2"/>
  <c r="C60" i="2"/>
  <c r="P59" i="2"/>
  <c r="B59" i="2"/>
  <c r="N58" i="2"/>
  <c r="Y57" i="2"/>
  <c r="K57" i="2"/>
  <c r="X56" i="2"/>
  <c r="J56" i="2"/>
  <c r="V55" i="2"/>
  <c r="I55" i="2"/>
  <c r="V54" i="2"/>
  <c r="J54" i="2"/>
  <c r="X53" i="2"/>
  <c r="N53" i="2"/>
  <c r="D53" i="2"/>
  <c r="S52" i="2"/>
  <c r="J52" i="2"/>
  <c r="Y51" i="2"/>
  <c r="P51" i="2"/>
  <c r="G51" i="2"/>
  <c r="V50" i="2"/>
  <c r="L50" i="2"/>
  <c r="C50" i="2"/>
  <c r="R49" i="2"/>
  <c r="I49" i="2"/>
  <c r="X48" i="2"/>
  <c r="O48" i="2"/>
  <c r="F48" i="2"/>
  <c r="T47" i="2"/>
  <c r="K47" i="2"/>
  <c r="B47" i="2"/>
  <c r="Q46" i="2"/>
  <c r="H46" i="2"/>
  <c r="W45" i="2"/>
  <c r="N45" i="2"/>
  <c r="D45" i="2"/>
  <c r="S44" i="2"/>
  <c r="J44" i="2"/>
  <c r="Y43" i="2"/>
  <c r="P43" i="2"/>
  <c r="G43" i="2"/>
  <c r="V42" i="2"/>
  <c r="N42" i="2"/>
  <c r="F42" i="2"/>
  <c r="V41" i="2"/>
  <c r="N41" i="2"/>
  <c r="F41" i="2"/>
  <c r="V40" i="2"/>
  <c r="N40" i="2"/>
  <c r="F40" i="2"/>
  <c r="V39" i="2"/>
  <c r="N39" i="2"/>
  <c r="F39" i="2"/>
  <c r="V38" i="2"/>
  <c r="N38" i="2"/>
  <c r="F38" i="2"/>
  <c r="V37" i="2"/>
  <c r="N37" i="2"/>
  <c r="F37" i="2"/>
  <c r="V36" i="2"/>
  <c r="N36" i="2"/>
  <c r="F36" i="2"/>
  <c r="V35" i="2"/>
  <c r="N35" i="2"/>
  <c r="F35" i="2"/>
  <c r="V34" i="2"/>
  <c r="N34" i="2"/>
  <c r="F34" i="2"/>
  <c r="V33" i="2"/>
  <c r="N33" i="2"/>
  <c r="F33" i="2"/>
  <c r="V32" i="2"/>
  <c r="N32" i="2"/>
  <c r="F32" i="2"/>
  <c r="V31" i="2"/>
  <c r="N31" i="2"/>
  <c r="F31" i="2"/>
  <c r="W220" i="2"/>
  <c r="H144" i="2"/>
  <c r="J122" i="2"/>
  <c r="I111" i="2"/>
  <c r="R103" i="2"/>
  <c r="P96" i="2"/>
  <c r="R90" i="2"/>
  <c r="J85" i="2"/>
  <c r="B80" i="2"/>
  <c r="K75" i="2"/>
  <c r="V71" i="2"/>
  <c r="C69" i="2"/>
  <c r="K66" i="2"/>
  <c r="H64" i="2"/>
  <c r="C62" i="2"/>
  <c r="Y59" i="2"/>
  <c r="V57" i="2"/>
  <c r="R55" i="2"/>
  <c r="V53" i="2"/>
  <c r="H52" i="2"/>
  <c r="S50" i="2"/>
  <c r="G49" i="2"/>
  <c r="R47" i="2"/>
  <c r="F46" i="2"/>
  <c r="Q44" i="2"/>
  <c r="D43" i="2"/>
  <c r="T41" i="2"/>
  <c r="L40" i="2"/>
  <c r="D39" i="2"/>
  <c r="T37" i="2"/>
  <c r="O36" i="2"/>
  <c r="P35" i="2"/>
  <c r="T34" i="2"/>
  <c r="W33" i="2"/>
  <c r="X32" i="2"/>
  <c r="D32" i="2"/>
  <c r="G31" i="2"/>
  <c r="N30" i="2"/>
  <c r="V29" i="2"/>
  <c r="F29" i="2"/>
  <c r="N28" i="2"/>
  <c r="V27" i="2"/>
  <c r="F27" i="2"/>
  <c r="N26" i="2"/>
  <c r="V25" i="2"/>
  <c r="F25" i="2"/>
  <c r="N24" i="2"/>
  <c r="V23" i="2"/>
  <c r="F23" i="2"/>
  <c r="N22" i="2"/>
  <c r="V21" i="2"/>
  <c r="F21" i="2"/>
  <c r="N20" i="2"/>
  <c r="V19" i="2"/>
  <c r="H19" i="2"/>
  <c r="T18" i="2"/>
  <c r="H18" i="2"/>
  <c r="V17" i="2"/>
  <c r="J17" i="2"/>
  <c r="X16" i="2"/>
  <c r="N16" i="2"/>
  <c r="B16" i="2"/>
  <c r="P15" i="2"/>
  <c r="F15" i="2"/>
  <c r="R14" i="2"/>
  <c r="H14" i="2"/>
  <c r="V13" i="2"/>
  <c r="J13" i="2"/>
  <c r="X12" i="2"/>
  <c r="N12" i="2"/>
  <c r="B12" i="2"/>
  <c r="P11" i="2"/>
  <c r="F11" i="2"/>
  <c r="R10" i="2"/>
  <c r="H10" i="2"/>
  <c r="V9" i="2"/>
  <c r="J9" i="2"/>
  <c r="X8" i="2"/>
  <c r="N8" i="2"/>
  <c r="B8" i="2"/>
  <c r="P7" i="2"/>
  <c r="F7" i="2"/>
  <c r="R6" i="2"/>
  <c r="H6" i="2"/>
  <c r="V5" i="2"/>
  <c r="J5" i="2"/>
  <c r="X4" i="2"/>
  <c r="O4" i="2"/>
  <c r="G4" i="2"/>
  <c r="W3" i="2"/>
  <c r="O3" i="2"/>
  <c r="G3" i="2"/>
  <c r="W2" i="2"/>
  <c r="O2" i="2"/>
  <c r="G2" i="2"/>
  <c r="C190" i="2"/>
  <c r="R140" i="2"/>
  <c r="Q120" i="2"/>
  <c r="H110" i="2"/>
  <c r="T102" i="2"/>
  <c r="R95" i="2"/>
  <c r="B90" i="2"/>
  <c r="R84" i="2"/>
  <c r="J79" i="2"/>
  <c r="B75" i="2"/>
  <c r="K71" i="2"/>
  <c r="S68" i="2"/>
  <c r="C66" i="2"/>
  <c r="Y63" i="2"/>
  <c r="V61" i="2"/>
  <c r="R59" i="2"/>
  <c r="P57" i="2"/>
  <c r="K55" i="2"/>
  <c r="P53" i="2"/>
  <c r="C52" i="2"/>
  <c r="O50" i="2"/>
  <c r="B49" i="2"/>
  <c r="N47" i="2"/>
  <c r="Y45" i="2"/>
  <c r="L44" i="2"/>
  <c r="X42" i="2"/>
  <c r="P41" i="2"/>
  <c r="H40" i="2"/>
  <c r="X38" i="2"/>
  <c r="P37" i="2"/>
  <c r="L36" i="2"/>
  <c r="O35" i="2"/>
  <c r="P34" i="2"/>
  <c r="T33" i="2"/>
  <c r="W32" i="2"/>
  <c r="X31" i="2"/>
  <c r="D31" i="2"/>
  <c r="L30" i="2"/>
  <c r="T29" i="2"/>
  <c r="D29" i="2"/>
  <c r="L28" i="2"/>
  <c r="T27" i="2"/>
  <c r="D27" i="2"/>
  <c r="L26" i="2"/>
  <c r="T25" i="2"/>
  <c r="D25" i="2"/>
  <c r="L24" i="2"/>
  <c r="T23" i="2"/>
  <c r="D23" i="2"/>
  <c r="L22" i="2"/>
  <c r="T21" i="2"/>
  <c r="D21" i="2"/>
  <c r="L20" i="2"/>
  <c r="T19" i="2"/>
  <c r="G19" i="2"/>
  <c r="Q18" i="2"/>
  <c r="G18" i="2"/>
  <c r="T17" i="2"/>
  <c r="I17" i="2"/>
  <c r="W16" i="2"/>
  <c r="L16" i="2"/>
  <c r="Y15" i="2"/>
  <c r="O15" i="2"/>
  <c r="D15" i="2"/>
  <c r="Q14" i="2"/>
  <c r="G14" i="2"/>
  <c r="T13" i="2"/>
  <c r="I13" i="2"/>
  <c r="W12" i="2"/>
  <c r="L12" i="2"/>
  <c r="Y11" i="2"/>
  <c r="O11" i="2"/>
  <c r="D11" i="2"/>
  <c r="Q10" i="2"/>
  <c r="G10" i="2"/>
  <c r="T9" i="2"/>
  <c r="I9" i="2"/>
  <c r="W8" i="2"/>
  <c r="L8" i="2"/>
  <c r="Y7" i="2"/>
  <c r="O7" i="2"/>
  <c r="D7" i="2"/>
  <c r="Q6" i="2"/>
  <c r="G6" i="2"/>
  <c r="T5" i="2"/>
  <c r="K175" i="2"/>
  <c r="J137" i="2"/>
  <c r="B119" i="2"/>
  <c r="F109" i="2"/>
  <c r="X101" i="2"/>
  <c r="T94" i="2"/>
  <c r="J89" i="2"/>
  <c r="B84" i="2"/>
  <c r="R78" i="2"/>
  <c r="N74" i="2"/>
  <c r="C71" i="2"/>
  <c r="K68" i="2"/>
  <c r="V65" i="2"/>
  <c r="R63" i="2"/>
  <c r="P61" i="2"/>
  <c r="K59" i="2"/>
  <c r="I57" i="2"/>
  <c r="F55" i="2"/>
  <c r="K53" i="2"/>
  <c r="W51" i="2"/>
  <c r="J50" i="2"/>
  <c r="V48" i="2"/>
  <c r="I47" i="2"/>
  <c r="T45" i="2"/>
  <c r="H44" i="2"/>
  <c r="T42" i="2"/>
  <c r="L41" i="2"/>
  <c r="D40" i="2"/>
  <c r="T38" i="2"/>
  <c r="L37" i="2"/>
  <c r="H36" i="2"/>
  <c r="L35" i="2"/>
  <c r="O34" i="2"/>
  <c r="P33" i="2"/>
  <c r="T32" i="2"/>
  <c r="W31" i="2"/>
  <c r="X30" i="2"/>
  <c r="H30" i="2"/>
  <c r="P29" i="2"/>
  <c r="X28" i="2"/>
  <c r="H28" i="2"/>
  <c r="P27" i="2"/>
  <c r="X26" i="2"/>
  <c r="H26" i="2"/>
  <c r="P25" i="2"/>
  <c r="X24" i="2"/>
  <c r="H24" i="2"/>
  <c r="P23" i="2"/>
  <c r="X22" i="2"/>
  <c r="H22" i="2"/>
  <c r="P21" i="2"/>
  <c r="X20" i="2"/>
  <c r="H20" i="2"/>
  <c r="Q19" i="2"/>
  <c r="F19" i="2"/>
  <c r="P18" i="2"/>
  <c r="F18" i="2"/>
  <c r="R17" i="2"/>
  <c r="H17" i="2"/>
  <c r="V16" i="2"/>
  <c r="J16" i="2"/>
  <c r="X15" i="2"/>
  <c r="N15" i="2"/>
  <c r="B15" i="2"/>
  <c r="P14" i="2"/>
  <c r="F14" i="2"/>
  <c r="R13" i="2"/>
  <c r="H13" i="2"/>
  <c r="V12" i="2"/>
  <c r="J12" i="2"/>
  <c r="X11" i="2"/>
  <c r="N11" i="2"/>
  <c r="B11" i="2"/>
  <c r="P10" i="2"/>
  <c r="F10" i="2"/>
  <c r="R9" i="2"/>
  <c r="H9" i="2"/>
  <c r="V8" i="2"/>
  <c r="J8" i="2"/>
  <c r="X7" i="2"/>
  <c r="N7" i="2"/>
  <c r="B7" i="2"/>
  <c r="P6" i="2"/>
  <c r="F6" i="2"/>
  <c r="R5" i="2"/>
  <c r="H5" i="2"/>
  <c r="V4" i="2"/>
  <c r="M4" i="2"/>
  <c r="E4" i="2"/>
  <c r="U3" i="2"/>
  <c r="M3" i="2"/>
  <c r="E3" i="2"/>
  <c r="U2" i="2"/>
  <c r="M2" i="2"/>
  <c r="E2" i="2"/>
  <c r="P166" i="2"/>
  <c r="R134" i="2"/>
  <c r="R117" i="2"/>
  <c r="D108" i="2"/>
  <c r="B101" i="2"/>
  <c r="B94" i="2"/>
  <c r="R88" i="2"/>
  <c r="J83" i="2"/>
  <c r="B78" i="2"/>
  <c r="C74" i="2"/>
  <c r="S70" i="2"/>
  <c r="C68" i="2"/>
  <c r="P65" i="2"/>
  <c r="K63" i="2"/>
  <c r="I61" i="2"/>
  <c r="F59" i="2"/>
  <c r="B57" i="2"/>
  <c r="X54" i="2"/>
  <c r="G53" i="2"/>
  <c r="R51" i="2"/>
  <c r="F50" i="2"/>
  <c r="Q48" i="2"/>
  <c r="D47" i="2"/>
  <c r="P45" i="2"/>
  <c r="C44" i="2"/>
  <c r="P42" i="2"/>
  <c r="H41" i="2"/>
  <c r="X39" i="2"/>
  <c r="P38" i="2"/>
  <c r="H37" i="2"/>
  <c r="G36" i="2"/>
  <c r="H35" i="2"/>
  <c r="L34" i="2"/>
  <c r="O33" i="2"/>
  <c r="P32" i="2"/>
  <c r="T31" i="2"/>
  <c r="W30" i="2"/>
  <c r="G30" i="2"/>
  <c r="O29" i="2"/>
  <c r="W28" i="2"/>
  <c r="G28" i="2"/>
  <c r="O27" i="2"/>
  <c r="W26" i="2"/>
  <c r="G26" i="2"/>
  <c r="O25" i="2"/>
  <c r="W24" i="2"/>
  <c r="G24" i="2"/>
  <c r="O23" i="2"/>
  <c r="W22" i="2"/>
  <c r="G22" i="2"/>
  <c r="O21" i="2"/>
  <c r="W20" i="2"/>
  <c r="G20" i="2"/>
  <c r="P19" i="2"/>
  <c r="D19" i="2"/>
  <c r="O18" i="2"/>
  <c r="D18" i="2"/>
  <c r="Q17" i="2"/>
  <c r="G17" i="2"/>
  <c r="T16" i="2"/>
  <c r="I16" i="2"/>
  <c r="W15" i="2"/>
  <c r="L15" i="2"/>
  <c r="Y14" i="2"/>
  <c r="O14" i="2"/>
  <c r="D14" i="2"/>
  <c r="Q13" i="2"/>
  <c r="G13" i="2"/>
  <c r="T12" i="2"/>
  <c r="I12" i="2"/>
  <c r="W11" i="2"/>
  <c r="L11" i="2"/>
  <c r="Y10" i="2"/>
  <c r="O10" i="2"/>
  <c r="D10" i="2"/>
  <c r="Q9" i="2"/>
  <c r="G9" i="2"/>
  <c r="T8" i="2"/>
  <c r="I8" i="2"/>
  <c r="W7" i="2"/>
  <c r="L7" i="2"/>
  <c r="Y6" i="2"/>
  <c r="O6" i="2"/>
  <c r="D6" i="2"/>
  <c r="Q5" i="2"/>
  <c r="G5" i="2"/>
  <c r="T4" i="2"/>
  <c r="L4" i="2"/>
  <c r="D4" i="2"/>
  <c r="T3" i="2"/>
  <c r="L3" i="2"/>
  <c r="D3" i="2"/>
  <c r="T2" i="2"/>
  <c r="L2" i="2"/>
  <c r="D2" i="2"/>
  <c r="V160" i="2"/>
  <c r="B132" i="2"/>
  <c r="J116" i="2"/>
  <c r="H107" i="2"/>
  <c r="D100" i="2"/>
  <c r="J93" i="2"/>
  <c r="B88" i="2"/>
  <c r="R82" i="2"/>
  <c r="J77" i="2"/>
  <c r="R73" i="2"/>
  <c r="K70" i="2"/>
  <c r="S67" i="2"/>
  <c r="I65" i="2"/>
  <c r="F63" i="2"/>
  <c r="B61" i="2"/>
  <c r="X58" i="2"/>
  <c r="S56" i="2"/>
  <c r="R54" i="2"/>
  <c r="B53" i="2"/>
  <c r="N51" i="2"/>
  <c r="Y49" i="2"/>
  <c r="L48" i="2"/>
  <c r="X46" i="2"/>
  <c r="K45" i="2"/>
  <c r="W43" i="2"/>
  <c r="L42" i="2"/>
  <c r="D41" i="2"/>
  <c r="T39" i="2"/>
  <c r="L38" i="2"/>
  <c r="D37" i="2"/>
  <c r="D36" i="2"/>
  <c r="G35" i="2"/>
  <c r="H34" i="2"/>
  <c r="L33" i="2"/>
  <c r="O32" i="2"/>
  <c r="P31" i="2"/>
  <c r="V30" i="2"/>
  <c r="F30" i="2"/>
  <c r="N29" i="2"/>
  <c r="V28" i="2"/>
  <c r="F28" i="2"/>
  <c r="N27" i="2"/>
  <c r="V26" i="2"/>
  <c r="F26" i="2"/>
  <c r="N25" i="2"/>
  <c r="V24" i="2"/>
  <c r="F24" i="2"/>
  <c r="N23" i="2"/>
  <c r="V22" i="2"/>
  <c r="F22" i="2"/>
  <c r="N21" i="2"/>
  <c r="V20" i="2"/>
  <c r="F20" i="2"/>
  <c r="O19" i="2"/>
  <c r="Y18" i="2"/>
  <c r="N18" i="2"/>
  <c r="B18" i="2"/>
  <c r="P17" i="2"/>
  <c r="F17" i="2"/>
  <c r="R16" i="2"/>
  <c r="H16" i="2"/>
  <c r="V15" i="2"/>
  <c r="J15" i="2"/>
  <c r="X14" i="2"/>
  <c r="N14" i="2"/>
  <c r="B14" i="2"/>
  <c r="P13" i="2"/>
  <c r="F13" i="2"/>
  <c r="R12" i="2"/>
  <c r="H12" i="2"/>
  <c r="V11" i="2"/>
  <c r="J11" i="2"/>
  <c r="X10" i="2"/>
  <c r="N10" i="2"/>
  <c r="B10" i="2"/>
  <c r="P9" i="2"/>
  <c r="F9" i="2"/>
  <c r="R8" i="2"/>
  <c r="H8" i="2"/>
  <c r="V7" i="2"/>
  <c r="J7" i="2"/>
  <c r="X6" i="2"/>
  <c r="N6" i="2"/>
  <c r="B6" i="2"/>
  <c r="P5" i="2"/>
  <c r="F5" i="2"/>
  <c r="S4" i="2"/>
  <c r="K4" i="2"/>
  <c r="C4" i="2"/>
  <c r="S3" i="2"/>
  <c r="K3" i="2"/>
  <c r="C3" i="2"/>
  <c r="S2" i="2"/>
  <c r="K2" i="2"/>
  <c r="C2" i="2"/>
  <c r="V155" i="2"/>
  <c r="J129" i="2"/>
  <c r="B115" i="2"/>
  <c r="J106" i="2"/>
  <c r="H99" i="2"/>
  <c r="R92" i="2"/>
  <c r="J87" i="2"/>
  <c r="B82" i="2"/>
  <c r="S76" i="2"/>
  <c r="F73" i="2"/>
  <c r="C70" i="2"/>
  <c r="K67" i="2"/>
  <c r="B65" i="2"/>
  <c r="X62" i="2"/>
  <c r="S60" i="2"/>
  <c r="Q58" i="2"/>
  <c r="N56" i="2"/>
  <c r="N54" i="2"/>
  <c r="V52" i="2"/>
  <c r="I51" i="2"/>
  <c r="T49" i="2"/>
  <c r="H48" i="2"/>
  <c r="S46" i="2"/>
  <c r="G45" i="2"/>
  <c r="R43" i="2"/>
  <c r="H42" i="2"/>
  <c r="X40" i="2"/>
  <c r="P39" i="2"/>
  <c r="H38" i="2"/>
  <c r="X36" i="2"/>
  <c r="X35" i="2"/>
  <c r="D35" i="2"/>
  <c r="G34" i="2"/>
  <c r="H33" i="2"/>
  <c r="L32" i="2"/>
  <c r="O31" i="2"/>
  <c r="T30" i="2"/>
  <c r="D30" i="2"/>
  <c r="L29" i="2"/>
  <c r="T28" i="2"/>
  <c r="D28" i="2"/>
  <c r="L27" i="2"/>
  <c r="T26" i="2"/>
  <c r="D26" i="2"/>
  <c r="L25" i="2"/>
  <c r="T24" i="2"/>
  <c r="D24" i="2"/>
  <c r="L23" i="2"/>
  <c r="T22" i="2"/>
  <c r="D22" i="2"/>
  <c r="L21" i="2"/>
  <c r="T20" i="2"/>
  <c r="D20" i="2"/>
  <c r="N19" i="2"/>
  <c r="X18" i="2"/>
  <c r="L18" i="2"/>
  <c r="Y17" i="2"/>
  <c r="O17" i="2"/>
  <c r="D17" i="2"/>
  <c r="Q16" i="2"/>
  <c r="G16" i="2"/>
  <c r="T15" i="2"/>
  <c r="I15" i="2"/>
  <c r="W14" i="2"/>
  <c r="L14" i="2"/>
  <c r="Y13" i="2"/>
  <c r="O13" i="2"/>
  <c r="D13" i="2"/>
  <c r="Q12" i="2"/>
  <c r="G12" i="2"/>
  <c r="T11" i="2"/>
  <c r="I11" i="2"/>
  <c r="W10" i="2"/>
  <c r="L10" i="2"/>
  <c r="Y9" i="2"/>
  <c r="O9" i="2"/>
  <c r="D9" i="2"/>
  <c r="Q8" i="2"/>
  <c r="G8" i="2"/>
  <c r="T7" i="2"/>
  <c r="I7" i="2"/>
  <c r="W6" i="2"/>
  <c r="L6" i="2"/>
  <c r="Y5" i="2"/>
  <c r="O5" i="2"/>
  <c r="O151" i="2"/>
  <c r="R126" i="2"/>
  <c r="R113" i="2"/>
  <c r="L105" i="2"/>
  <c r="J98" i="2"/>
  <c r="B92" i="2"/>
  <c r="R86" i="2"/>
  <c r="J81" i="2"/>
  <c r="J76" i="2"/>
  <c r="S72" i="2"/>
  <c r="S69" i="2"/>
  <c r="C67" i="2"/>
  <c r="S64" i="2"/>
  <c r="Q62" i="2"/>
  <c r="N60" i="2"/>
  <c r="J58" i="2"/>
  <c r="H56" i="2"/>
  <c r="H54" i="2"/>
  <c r="Q52" i="2"/>
  <c r="D51" i="2"/>
  <c r="P49" i="2"/>
  <c r="C48" i="2"/>
  <c r="O46" i="2"/>
  <c r="B45" i="2"/>
  <c r="N43" i="2"/>
  <c r="D42" i="2"/>
  <c r="T40" i="2"/>
  <c r="L39" i="2"/>
  <c r="D38" i="2"/>
  <c r="T36" i="2"/>
  <c r="W35" i="2"/>
  <c r="X34" i="2"/>
  <c r="D34" i="2"/>
  <c r="G33" i="2"/>
  <c r="H32" i="2"/>
  <c r="L31" i="2"/>
  <c r="P30" i="2"/>
  <c r="X29" i="2"/>
  <c r="H29" i="2"/>
  <c r="P28" i="2"/>
  <c r="X27" i="2"/>
  <c r="H27" i="2"/>
  <c r="P26" i="2"/>
  <c r="X25" i="2"/>
  <c r="H25" i="2"/>
  <c r="P24" i="2"/>
  <c r="X23" i="2"/>
  <c r="H23" i="2"/>
  <c r="P22" i="2"/>
  <c r="X21" i="2"/>
  <c r="H21" i="2"/>
  <c r="P20" i="2"/>
  <c r="X19" i="2"/>
  <c r="L19" i="2"/>
  <c r="W18" i="2"/>
  <c r="J18" i="2"/>
  <c r="X17" i="2"/>
  <c r="N17" i="2"/>
  <c r="B17" i="2"/>
  <c r="P16" i="2"/>
  <c r="F16" i="2"/>
  <c r="R15" i="2"/>
  <c r="H15" i="2"/>
  <c r="V14" i="2"/>
  <c r="J14" i="2"/>
  <c r="X13" i="2"/>
  <c r="N13" i="2"/>
  <c r="B13" i="2"/>
  <c r="P12" i="2"/>
  <c r="F12" i="2"/>
  <c r="R11" i="2"/>
  <c r="H11" i="2"/>
  <c r="V10" i="2"/>
  <c r="J10" i="2"/>
  <c r="X9" i="2"/>
  <c r="N9" i="2"/>
  <c r="B9" i="2"/>
  <c r="P8" i="2"/>
  <c r="F8" i="2"/>
  <c r="R7" i="2"/>
  <c r="H7" i="2"/>
  <c r="V6" i="2"/>
  <c r="J6" i="2"/>
  <c r="X5" i="2"/>
  <c r="N5" i="2"/>
  <c r="B5" i="2"/>
  <c r="Q4" i="2"/>
  <c r="I4" i="2"/>
  <c r="Y3" i="2"/>
  <c r="Q3" i="2"/>
  <c r="I3" i="2"/>
  <c r="Y2" i="2"/>
  <c r="Q2" i="2"/>
  <c r="I2" i="2"/>
  <c r="B2" i="2"/>
  <c r="V147" i="2"/>
  <c r="F124" i="2"/>
  <c r="J112" i="2"/>
  <c r="P104" i="2"/>
  <c r="L97" i="2"/>
  <c r="J91" i="2"/>
  <c r="B86" i="2"/>
  <c r="R80" i="2"/>
  <c r="V75" i="2"/>
  <c r="J72" i="2"/>
  <c r="K69" i="2"/>
  <c r="S66" i="2"/>
  <c r="N64" i="2"/>
  <c r="J62" i="2"/>
  <c r="H60" i="2"/>
  <c r="C58" i="2"/>
  <c r="Y55" i="2"/>
  <c r="B54" i="2"/>
  <c r="L52" i="2"/>
  <c r="X50" i="2"/>
  <c r="K49" i="2"/>
  <c r="W47" i="2"/>
  <c r="J46" i="2"/>
  <c r="V44" i="2"/>
  <c r="I43" i="2"/>
  <c r="X41" i="2"/>
  <c r="P40" i="2"/>
  <c r="H39" i="2"/>
  <c r="X37" i="2"/>
  <c r="P36" i="2"/>
  <c r="T35" i="2"/>
  <c r="W34" i="2"/>
  <c r="X33" i="2"/>
  <c r="D33" i="2"/>
  <c r="G32" i="2"/>
  <c r="H31" i="2"/>
  <c r="O30" i="2"/>
  <c r="W29" i="2"/>
  <c r="G29" i="2"/>
  <c r="O28" i="2"/>
  <c r="W27" i="2"/>
  <c r="G27" i="2"/>
  <c r="O26" i="2"/>
  <c r="W25" i="2"/>
  <c r="G25" i="2"/>
  <c r="O24" i="2"/>
  <c r="W23" i="2"/>
  <c r="G23" i="2"/>
  <c r="O22" i="2"/>
  <c r="W21" i="2"/>
  <c r="G21" i="2"/>
  <c r="O20" i="2"/>
  <c r="W19" i="2"/>
  <c r="I19" i="2"/>
  <c r="V18" i="2"/>
  <c r="I18" i="2"/>
  <c r="W17" i="2"/>
  <c r="L17" i="2"/>
  <c r="Y16" i="2"/>
  <c r="O16" i="2"/>
  <c r="D16" i="2"/>
  <c r="Q15" i="2"/>
  <c r="G15" i="2"/>
  <c r="T14" i="2"/>
  <c r="I14" i="2"/>
  <c r="W13" i="2"/>
  <c r="L13" i="2"/>
  <c r="Y12" i="2"/>
  <c r="O12" i="2"/>
  <c r="D12" i="2"/>
  <c r="Q11" i="2"/>
  <c r="G11" i="2"/>
  <c r="T10" i="2"/>
  <c r="I10" i="2"/>
  <c r="W9" i="2"/>
  <c r="L9" i="2"/>
  <c r="Y8" i="2"/>
  <c r="O8" i="2"/>
  <c r="D8" i="2"/>
  <c r="Q7" i="2"/>
  <c r="G7" i="2"/>
  <c r="T6" i="2"/>
  <c r="I6" i="2"/>
  <c r="W5" i="2"/>
  <c r="L5" i="2"/>
  <c r="Y4" i="2"/>
  <c r="P4" i="2"/>
  <c r="H4" i="2"/>
  <c r="X3" i="2"/>
  <c r="P3" i="2"/>
  <c r="H3" i="2"/>
  <c r="X2" i="2"/>
  <c r="P2" i="2"/>
  <c r="H2" i="2"/>
  <c r="I5" i="2"/>
  <c r="V3" i="2"/>
  <c r="N2" i="2"/>
  <c r="D5" i="2"/>
  <c r="R3" i="2"/>
  <c r="J2" i="2"/>
  <c r="W4" i="2"/>
  <c r="N3" i="2"/>
  <c r="F2" i="2"/>
  <c r="R4" i="2"/>
  <c r="J3" i="2"/>
  <c r="N4" i="2"/>
  <c r="F3" i="2"/>
  <c r="J4" i="2"/>
  <c r="B3" i="2"/>
  <c r="F4" i="2"/>
  <c r="V2" i="2"/>
  <c r="B4" i="2"/>
  <c r="R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tc={687259dd-4d8e-4b9b-9715-c93d28e81850}</author>
    <author/>
    <author>tc={051bb7f3-7c30-4b31-8040-aa97fc936fee}</author>
    <author>tc={498cfe5c-39d1-47bc-9be3-e8d222a16162}</author>
    <author>tc={f0a2843e-d4bf-4c52-a538-d795a9ab19bf}</author>
    <author>tc={b1272697-f561-4d35-99e5-51db0c810fd2}</author>
    <author>tc={9cddc06f-dcf4-454c-bd37-8ef267a6953d}</author>
    <author>tc={542a6f84-8836-4262-995b-8abacd396a78}</author>
  </authors>
  <commentList>
    <comment ref="B15" authorId="0" shapeId="0" xr:uid="{687259DD-4D8E-4B9B-9715-C93D28E81850}">
      <text>
        <t>[Comentario encadenado]
Su versión de Excel le permite leer este comentario encadenado; sin embargo, las ediciones que se apliquen se quitarán si el archivo se abre en una versión más reciente de Excel. Más información: https://go.microsoft.com/fwlink/?linkid=870924
Comentario:
    Tuvimos que mandar un formulario en Drive al Pastor</t>
      </text>
    </comment>
    <comment ref="B16" authorId="1" shapeId="0" xr:uid="{00000000-0006-0000-0100-000001000000}">
      <text>
        <r>
          <rPr>
            <sz val="10"/>
            <color rgb="FF000000"/>
            <rFont val="Arial"/>
            <scheme val="minor"/>
          </rPr>
          <t>Su Pastor no tiene Whatsapp</t>
        </r>
      </text>
    </comment>
    <comment ref="H16" authorId="2" shapeId="0" xr:uid="{051BB7F3-7C30-4B31-8040-AA97FC936FEE}">
      <text>
        <t>[Comentario encadenado]
Su versión de Excel le permite leer este comentario encadenado; sin embargo, las ediciones que se apliquen se quitarán si el archivo se abre en una versión más reciente de Excel. Más información: https://go.microsoft.com/fwlink/?linkid=870924
Comentario:
    Semana 1,2,3</t>
      </text>
    </comment>
    <comment ref="L16" authorId="1" shapeId="0" xr:uid="{00000000-0006-0000-0100-000004000000}">
      <text>
        <r>
          <rPr>
            <sz val="10"/>
            <color rgb="FF000000"/>
            <rFont val="Arial"/>
            <scheme val="minor"/>
          </rPr>
          <t>No tiene whatsapp &amp; no contesta al convencional</t>
        </r>
      </text>
    </comment>
    <comment ref="G33" authorId="1" shapeId="0" xr:uid="{00000000-0006-0000-0100-000003000000}">
      <text>
        <r>
          <rPr>
            <sz val="10"/>
            <color rgb="FF000000"/>
            <rFont val="Arial"/>
            <scheme val="minor"/>
          </rPr>
          <t>7443189774</t>
        </r>
      </text>
    </comment>
    <comment ref="B92" authorId="3" shapeId="0" xr:uid="{498CFE5C-39D1-47BC-9BE3-E8D222A16162}">
      <text>
        <t>[Comentario encadenado]
Su versión de Excel le permite leer este comentario encadenado; sin embargo, las ediciones que se apliquen se quitarán si el archivo se abre en una versión más reciente de Excel. Más información: https://go.microsoft.com/fwlink/?linkid=870924
Comentario:
    Stef comenzó a trabajar a partir de aquí</t>
      </text>
    </comment>
    <comment ref="L92" authorId="4" shapeId="0" xr:uid="{F0A2843E-D4BF-4C52-A538-D795A9AB19BF}">
      <text>
        <t>[Comentario encadenado]
Su versión de Excel le permite leer este comentario encadenado; sin embargo, las ediciones que se apliquen se quitarán si el archivo se abre en una versión más reciente de Excel. Más información: https://go.microsoft.com/fwlink/?linkid=870924
Comentario:
    No nos contesta el pastor</t>
      </text>
    </comment>
    <comment ref="B109" authorId="5" shapeId="0" xr:uid="{B1272697-F561-4D35-99E5-51DB0C810FD2}">
      <text>
        <t>[Comentario encadenado]
Su versión de Excel le permite leer este comentario encadenado; sin embargo, las ediciones que se apliquen se quitarán si el archivo se abre en una versión más reciente de Excel. Más información: https://go.microsoft.com/fwlink/?linkid=870924
Comentario:
    Su Pastor contestará por mensajes</t>
      </text>
    </comment>
    <comment ref="B131" authorId="6" shapeId="0" xr:uid="{9CDDC06F-DCF4-454C-BD37-8EF267A6953D}">
      <text>
        <t>[Comentario encadenado]
Su versión de Excel le permite leer este comentario encadenado; sin embargo, las ediciones que se apliquen se quitarán si el archivo se abre en una versión más reciente de Excel. Más información: https://go.microsoft.com/fwlink/?linkid=870924
Comentario:
    Tiene mal su número de whatsapp</t>
      </text>
    </comment>
    <comment ref="L140" authorId="7" shapeId="0" xr:uid="{542A6F84-8836-4262-995B-8ABACD396A78}">
      <text>
        <t>[Comentario encadenado]
Su versión de Excel le permite leer este comentario encadenado; sin embargo, las ediciones que se apliquen se quitarán si el archivo se abre en una versión más reciente de Excel. Más información: https://go.microsoft.com/fwlink/?linkid=870924
Comentario:
    Buscar el numero de whatsaap en el contacto de él.</t>
      </text>
    </comment>
    <comment ref="L159" authorId="1" shapeId="0" xr:uid="{00000000-0006-0000-0100-000005000000}">
      <text>
        <r>
          <rPr>
            <sz val="10"/>
            <color rgb="FF000000"/>
            <rFont val="Arial"/>
            <scheme val="minor"/>
          </rPr>
          <t>No tiene whatsapp</t>
        </r>
      </text>
    </comment>
    <comment ref="B207" authorId="1" shapeId="0" xr:uid="{00000000-0006-0000-0100-000002000000}">
      <text>
        <r>
          <rPr>
            <sz val="10"/>
            <color rgb="FF000000"/>
            <rFont val="Arial"/>
            <scheme val="minor"/>
          </rPr>
          <t>Llamada a su pastor</t>
        </r>
      </text>
    </comment>
  </commentList>
</comments>
</file>

<file path=xl/sharedStrings.xml><?xml version="1.0" encoding="utf-8"?>
<sst xmlns="http://schemas.openxmlformats.org/spreadsheetml/2006/main" count="633" uniqueCount="162">
  <si>
    <t>i</t>
  </si>
  <si>
    <t>*Escribe tu nombre completo*:</t>
  </si>
  <si>
    <t>*¿Cuál es tu edad?*</t>
  </si>
  <si>
    <t>*Marca la opción que corresponde:*</t>
  </si>
  <si>
    <t>*De que estado de la República Mexicana vienes o de que **país:*</t>
  </si>
  <si>
    <t>*Escribe tu correo electrónico para contactarte*:</t>
  </si>
  <si>
    <t>*Escribe tu número de WhatsApp.*</t>
  </si>
  <si>
    <t>*Selecciona las semanas en las que podrás participar. Recuerda que es necesario asistir a la Semana de Entrenamiento. *</t>
  </si>
  <si>
    <t>*ESCRIBE EL NOMBRE DEL DEVOCIONAL DIARIO QUE USAS: *</t>
  </si>
  <si>
    <t>*ESCRIBE EL NOMBRE DE TU IGLESIA:*</t>
  </si>
  <si>
    <t>*ESCRIBE EL NOMBRE DEL PASTOR QUE TE AUTORIZÓ PARTICIPAR COMO EQUIPANTE VOLUNTARIO: *</t>
  </si>
  <si>
    <t xml:space="preserve">*ESCRIBE EL NÚMERO CELULAR DEL PASTOR:* </t>
  </si>
  <si>
    <t xml:space="preserve">ESCRIBE EL CORREO ELECTRÓNICO DEL PASTOR: </t>
  </si>
  <si>
    <t xml:space="preserve">*¿CUÁL ES EL MINISTERIO QUE EJERCES EN TU IGLESIA LOCAL?* </t>
  </si>
  <si>
    <t xml:space="preserve">*CUÉNTANOS BREVEMENTE TU TESTIMONIO DE SALVACIÓN:* </t>
  </si>
  <si>
    <t>*CUÉNTANOS BREVEMENTE ¿POR QUÉ DESEAS SER PARTE DEL EQUIPO DE VERANO? *</t>
  </si>
  <si>
    <t xml:space="preserve">*¿Practicas un deporte?* </t>
  </si>
  <si>
    <t>¿Cuál?</t>
  </si>
  <si>
    <t>*¿Tocas algún instrumento?*</t>
  </si>
  <si>
    <t>*Cuéntanos brevemente qué estudias*</t>
  </si>
  <si>
    <t xml:space="preserve">*¿Qué habilidades, oficios o profesión tienes?* </t>
  </si>
  <si>
    <t>*¿Con cuál de estas cualidades te identificas? *</t>
  </si>
  <si>
    <t>*¿Has sido campero en nuestros campamentos de PV? *</t>
  </si>
  <si>
    <t>ACEPTADO-EN ESPERA- RECHAZADO</t>
  </si>
  <si>
    <t>OBSERVACIONES</t>
  </si>
  <si>
    <t>ACEPTADA</t>
  </si>
  <si>
    <t>CONSEJERA</t>
  </si>
  <si>
    <t>Primer año como equipante formal</t>
  </si>
  <si>
    <t>RECHAZADO</t>
  </si>
  <si>
    <t xml:space="preserve">El pastor es su papá, menciona que es una hica muy responsable y que la recomienda para el área de multimedia (por su carrera), podríamos ver de que sea consejera en la semana de niños </t>
  </si>
  <si>
    <t>CANCELÓ</t>
  </si>
  <si>
    <t xml:space="preserve">Está estudiando enfermería </t>
  </si>
  <si>
    <t>CANCELO</t>
  </si>
  <si>
    <t>Su pastor nos la recomienda de consejera pero tiene problemas de espalda, la temporada pasada le fue complicado ser consejera</t>
  </si>
  <si>
    <t>Solo viene para semana de niños, pero es buena en manualidades (No ha sido campera)</t>
  </si>
  <si>
    <t>En espera correo enviado</t>
  </si>
  <si>
    <t xml:space="preserve">*yo creo que sería buena en programa. Su pastor la recomienda en programa, apoyo de consejera </t>
  </si>
  <si>
    <t xml:space="preserve">APOYO DE CONSEJERA. </t>
  </si>
  <si>
    <t>checar su numero ya que no responde ni tiene whats</t>
  </si>
  <si>
    <t xml:space="preserve">Recomendada para consjera. El pastor pide que su consejera esté cerca de ella animandola constantemente </t>
  </si>
  <si>
    <t>corrección correo mopacmarisolmorpach27@outlook.es</t>
  </si>
  <si>
    <t>su pastor no la conoce tanto ya que es nuevo pero la recomienda para escuela de verano. CANCELÓ</t>
  </si>
  <si>
    <t>Su pastor la recomienda para consejera ya que es lo que se está animando a hacer en su iglesia. viene con su novio (proximos a comprometerse) y se anima a que se pueda seguir caminando con ellos en el campamento.</t>
  </si>
  <si>
    <t>APOYO DE CONSEJERA</t>
  </si>
  <si>
    <t>Primero equipante, luego consejera</t>
  </si>
  <si>
    <t>CONSEJERO</t>
  </si>
  <si>
    <t>Su Pastor lo recomendo para consejero</t>
  </si>
  <si>
    <t xml:space="preserve">EN ESPERA </t>
  </si>
  <si>
    <t>Prospecto para CREATIVA</t>
  </si>
  <si>
    <t>El contacto que dio de su pastor, fue su pastor hasta el 2023, actualmente el pastor vive en otro estado y no sabemos si ella se reune en otra iglesia. sin embargo el pastor dio buenas refrerencias de ella y la recomienda para algun área donde se mantenga ocupada. el año pasado estuvo en programa</t>
  </si>
  <si>
    <t>ACEPTADO</t>
  </si>
  <si>
    <t>NINGUNO</t>
  </si>
  <si>
    <t>el numero de su pastor es incorrecto, se va a comunicar con nosotros para darnos el de su esposa</t>
  </si>
  <si>
    <t>#5 (Está duplicada la solicitud)</t>
  </si>
  <si>
    <t xml:space="preserve">Su pastor la ha animado a que pueda infleucniar la vida de otras chica smenores que ella, la recomienda como consejera de niños. </t>
  </si>
  <si>
    <t>solo viene 2 semnaas (contando la semana de entrenamiento) su pastor la recomienda para programa porque le gusta el deporte</t>
  </si>
  <si>
    <t>podría ser consejera de apoyo, pero no solita ni como consejera principal porque le abruma un poco, pero su pastor la anima a que pueda crecer en esa área</t>
  </si>
  <si>
    <t>APOYO DE CONSJERA</t>
  </si>
  <si>
    <t>solo viene 3 semanas (contando la de entrenamiento)  correo de contacto: hgbety7@gmail.com</t>
  </si>
  <si>
    <t>Ella canceló</t>
  </si>
  <si>
    <t>Ha tenido episodios de depresion muy fuertes, su pastor pide que le cuidemos en ese aspecto. el deporte es su pasion y el pastor anima a que este en el area de programa donde ella estaria comoda y animada</t>
  </si>
  <si>
    <t>4422009595 numero de su pastor</t>
  </si>
  <si>
    <t>solo viene a las semanas de adolescentes, su pastor la recomienda para escuela de verano</t>
  </si>
  <si>
    <t>Semana de entrenamineto, +18 y niños</t>
  </si>
  <si>
    <t>Semana de entrenamineto, +18 y niños, tiene un bebé de menos de 1 año y probablemnte referirla a voluntarios de cocina.</t>
  </si>
  <si>
    <t>Viene 2 semanas incluyendo la semana de entrenamiento</t>
  </si>
  <si>
    <t>Nef la recomienda para consejera</t>
  </si>
  <si>
    <t>tiene un caminar incosntante con el Señor, "por etapas", su testimonio de slavación suena dudoso, sirve en la cafetería de su iglesia. Nef no la recomienda para algun area especifica</t>
  </si>
  <si>
    <t>El Pastor lo sugiere para Consejero de Niños o programa</t>
  </si>
  <si>
    <t>solo viene 1 semana (No ha sido campera)</t>
  </si>
  <si>
    <t>No ha sido Campero</t>
  </si>
  <si>
    <t>Su pastor sugiere que esté en un ára donde pueda esforzarse fisicamente</t>
  </si>
  <si>
    <t xml:space="preserve">trabaja en la cafeteria de su iglesia, tiene un novio inconverso que es lo que la aleja del Señor. el año pasado sirvio en escuela de verano y le gustó mucho, es buena con los niños </t>
  </si>
  <si>
    <t>solo viene 1 semana . su pastor la recomienda de consejera.</t>
  </si>
  <si>
    <t>solo viene a+18 su pastor la recomienda como consejera</t>
  </si>
  <si>
    <t>viene a la de entranamiento y las ultimas 2, el numero de su pastor es 527351365595</t>
  </si>
  <si>
    <t>cuidado con sus relaciones con el sexo opuesto</t>
  </si>
  <si>
    <t xml:space="preserve">4411019796 numero del pastor </t>
  </si>
  <si>
    <t>No es claro su testimonio, pero su pastor habla de que ella es muy participativa</t>
  </si>
  <si>
    <t>Viene a la semana de entrenamiento, El Pastor lo recomienda para programa, viene todas las semanas, excepto Jóvenes Mayores</t>
  </si>
  <si>
    <t xml:space="preserve">Se tendria que retirar el 04 de Agosto. </t>
  </si>
  <si>
    <t>el año pasado estuvo en programa, este año podría ser consejera. su pastor habló bien de ella</t>
  </si>
  <si>
    <t>su pastor la recomienda ocmo consejera, ya no viene a la de entrenamiento</t>
  </si>
  <si>
    <t>Recomendada para consjera</t>
  </si>
  <si>
    <t xml:space="preserve">Viene 4 semanas, incluyendo Semana de Entrenamiento. </t>
  </si>
  <si>
    <t>El equipante CANCELÓ</t>
  </si>
  <si>
    <t>es americano, no habla español pero Nef lo recomienda como consejero si es que hay quien le traduzca o camperos que hablen inglés</t>
  </si>
  <si>
    <t>no escribio su numero de whats</t>
  </si>
  <si>
    <t>checar su numero de whats</t>
  </si>
  <si>
    <t>NO puede estar en lavado. su pastor recomienda que pueda estar en cafeteria omo el año pasado y porque lo hace en su iglesia. pero no puede tocar productos de limpieza por sus alergias</t>
  </si>
  <si>
    <t>CANCELÓ POR CIRUGÍA (Revisar Whatsapp para ver fechas)</t>
  </si>
  <si>
    <t>Viene hasta el Jueves</t>
  </si>
  <si>
    <r>
      <rPr>
        <sz val="10"/>
        <color rgb="FFFF0000"/>
        <rFont val="Arial"/>
      </rPr>
      <t xml:space="preserve">No estará ninguna semana de Adolescente. </t>
    </r>
    <r>
      <rPr>
        <sz val="10"/>
        <color theme="1"/>
        <rFont val="Arial"/>
      </rPr>
      <t>Campamento será un buen momento para que puedan invertir en la vida de Andrés, el necesita crecer y ver a personas que vivan genuina y constantemente la vida en Cristo. 
Palabras de su Pastor.</t>
    </r>
  </si>
  <si>
    <t>cambió le numero de su pastor* 4151144450. VENDRIAA SERVIR EN ALABANZA Y CAFETERIA</t>
  </si>
  <si>
    <t>No puede estar en la semana de entrenamiento, Solo estará en Semana de Jóvenes Mayores &amp; Niños</t>
  </si>
  <si>
    <t xml:space="preserve">esrudia administracion. tiene una dieta especial, preguntar acerca de eso </t>
  </si>
  <si>
    <t>EL CANCELÓ</t>
  </si>
  <si>
    <t>su pastor la recomienda ocmo consejera, apoyo de consejera</t>
  </si>
  <si>
    <t xml:space="preserve">Solo va a estar 3 semanas, contando la de entrenamiento. </t>
  </si>
  <si>
    <t>su pastor la recomienda ocmo consejera</t>
  </si>
  <si>
    <t>Recomendada para consejera</t>
  </si>
  <si>
    <t>su pastor la recomienda como consejera</t>
  </si>
  <si>
    <t>viene 2 semanas contando la de entrenamiento. su pastor la recomienda como consjera</t>
  </si>
  <si>
    <t>Solo viene la primer semana de Adolescente. TIENE TDAH</t>
  </si>
  <si>
    <t>Programa, es americana habla poco espaañol</t>
  </si>
  <si>
    <t xml:space="preserve">No estaría las últimas 2 semanas de Adolescentes. </t>
  </si>
  <si>
    <t>repetida #12</t>
  </si>
  <si>
    <t xml:space="preserve">su pastora no esta de acuerdo que venga, </t>
  </si>
  <si>
    <t>No ha sido campera</t>
  </si>
  <si>
    <t xml:space="preserve">Viene por 3 semanas, desde comunidad Jovén, hasta la primer semana de adolescente. El Pastor lo recomendó como consejero para semana de niños. </t>
  </si>
  <si>
    <t>No contestó whatsapp</t>
  </si>
  <si>
    <t>Es médico (Viene toda la temporada, excepto la semana de entrenamiento )</t>
  </si>
  <si>
    <t>su pastor la recomienda como consjera</t>
  </si>
  <si>
    <t>viene semana de niños</t>
  </si>
  <si>
    <t>viene +18</t>
  </si>
  <si>
    <t>Prospecto para compartir testimonio en la fogata. Evaluar para ver si puede ser consejero</t>
  </si>
  <si>
    <t>semana de niños</t>
  </si>
  <si>
    <t xml:space="preserve">Solo viene 2 semanas, metiendo la semana de entrenamiento. </t>
  </si>
  <si>
    <t>hay que animarlo a que sea campero primero</t>
  </si>
  <si>
    <t>Llega Miércoles o semana comunidad jovén</t>
  </si>
  <si>
    <t>no ha sido campera</t>
  </si>
  <si>
    <t>Viene hasta el Jueves en la tarde</t>
  </si>
  <si>
    <t>Trae ideas Ortodoxas (Separarlo del equipante 119-120)</t>
  </si>
  <si>
    <t>ELLA CANCELÓ POR WHATSAAP</t>
  </si>
  <si>
    <t>Viene desde la semana de entrenamiento hasta la primer semana de adolescentes</t>
  </si>
  <si>
    <t>Primeras semanas como Equipante, ultimas 2 semanas, evaluarlo como consejero</t>
  </si>
  <si>
    <t>semana +18</t>
  </si>
  <si>
    <t xml:space="preserve">Semana de entrenamiento &amp; jóvenes mayores. </t>
  </si>
  <si>
    <t>Su Pastor la recomienda para Programa</t>
  </si>
  <si>
    <t>Prospecto de consejera</t>
  </si>
  <si>
    <t>CANCELÓ SU SOLICITUD EN EL CORREO</t>
  </si>
  <si>
    <t>Le vamos aceptar como campera en +18 (Candidata para consejera, según su Pastor)</t>
  </si>
  <si>
    <t>solo podía venir media semana</t>
  </si>
  <si>
    <t xml:space="preserve">Hermana de Gerson Acuña/ No está para consejero. </t>
  </si>
  <si>
    <t>Semana de niños y primer semana de adolescente</t>
  </si>
  <si>
    <t>Prospecto de consejero</t>
  </si>
  <si>
    <t>ES MISIONERA (Consejera para semana de niños)</t>
  </si>
  <si>
    <t>Le da muchos ataques de ansiedad</t>
  </si>
  <si>
    <t>Canceló la solicitud</t>
  </si>
  <si>
    <t>Candidato a Consejeros</t>
  </si>
  <si>
    <t>CASO ESPECIAL SALVACIÓN</t>
  </si>
  <si>
    <t>No puede estar mucho tiempo en el sol, y con los quimicos (Dermatitis en las manos y eccezema)</t>
  </si>
  <si>
    <t>Se irá de VIERNES 8 DE Agosto, a Lunes 10. Pedirle que haga la solicitud del permiso especial</t>
  </si>
  <si>
    <t>Aventura Extrema (Maikel)</t>
  </si>
  <si>
    <t>No es homosexual, pero su forma de ser es un poco amenerada.</t>
  </si>
  <si>
    <t>Será consejero las primeras 2 semanas.</t>
  </si>
  <si>
    <t>Va para el área de Producción</t>
  </si>
  <si>
    <t>Ella canceló por motivos de transporte</t>
  </si>
  <si>
    <t>Asignado a Tiendita (Asegurarse que tiene consejerias)</t>
  </si>
  <si>
    <t>No hay espacio</t>
  </si>
  <si>
    <t>2-3 semana de Adolescente</t>
  </si>
  <si>
    <t>Canceló su solicitud</t>
  </si>
  <si>
    <t>Canceló la Solicitud</t>
  </si>
  <si>
    <t>Pastor dijo que puede ser consejera pero su hermana (Tere) pide que no la pongan de consejera</t>
  </si>
  <si>
    <t>Canceló</t>
  </si>
  <si>
    <t>No ha sido campero</t>
  </si>
  <si>
    <t>MANDARLO A CAFETERÍA</t>
  </si>
  <si>
    <t>No siguió contestando</t>
  </si>
  <si>
    <t xml:space="preserve">Canceló de última hora. </t>
  </si>
  <si>
    <t>Autismo, creemos que el contexto de las cabañas será muy dificil para él.</t>
  </si>
  <si>
    <t>No tiene buenas referencias pastorales</t>
  </si>
  <si>
    <t>Al final, sus padres no aprobaron el permiso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</si>
</sst>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yy\ h:mm:ss"/>
    <numFmt numFmtId="165" formatCode="dd\-mmm\-yyyy\ h:mm:ss"/>
  </numFmts>
  <fonts count="11" x14ac:knownFonts="1">
    <font>
      <sz val="10"/>
      <color rgb="FF000000"/>
      <name val="Arial"/>
      <scheme val="minor"/>
    </font>
    <font>
      <sz val="10"/>
      <color theme="1"/>
      <name val="Arial"/>
      <scheme val="minor"/>
    </font>
    <font>
      <b/>
      <sz val="10"/>
      <color theme="1"/>
      <name val="Arial"/>
    </font>
    <font>
      <b/>
      <sz val="10"/>
      <color theme="1"/>
      <name val="Arial"/>
      <scheme val="minor"/>
    </font>
    <font>
      <sz val="8"/>
      <color theme="1"/>
      <name val="Arial"/>
      <scheme val="minor"/>
    </font>
    <font>
      <sz val="10"/>
      <color rgb="FF000000"/>
      <name val="Arial"/>
      <scheme val="minor"/>
    </font>
    <font>
      <sz val="10"/>
      <color rgb="FFFFFFFF"/>
      <name val="Arial"/>
      <scheme val="minor"/>
    </font>
    <font>
      <sz val="11"/>
      <color theme="1"/>
      <name val="Arial"/>
      <scheme val="minor"/>
    </font>
    <font>
      <sz val="10"/>
      <color rgb="FFFF0000"/>
      <name val="Arial"/>
    </font>
    <font>
      <sz val="10"/>
      <color theme="1"/>
      <name val="Arial"/>
    </font>
    <font>
      <b/>
      <u/>
      <sz val="8"/>
      <color theme="1"/>
      <name val="Arial"/>
      <family val="2"/>
    </font>
  </fonts>
  <fills count="12">
    <fill>
      <patternFill patternType="none"/>
    </fill>
    <fill>
      <patternFill patternType="gray125"/>
    </fill>
    <fill>
      <patternFill patternType="solid">
        <fgColor rgb="FFFFFFFF"/>
        <bgColor rgb="FFFFFFFF"/>
      </patternFill>
    </fill>
    <fill>
      <patternFill patternType="solid">
        <fgColor rgb="FF999999"/>
        <bgColor rgb="FF999999"/>
      </patternFill>
    </fill>
    <fill>
      <patternFill patternType="solid">
        <fgColor rgb="FFB7B7B7"/>
        <bgColor rgb="FFB7B7B7"/>
      </patternFill>
    </fill>
    <fill>
      <patternFill patternType="solid">
        <fgColor rgb="FF666666"/>
        <bgColor rgb="FF666666"/>
      </patternFill>
    </fill>
    <fill>
      <patternFill patternType="solid">
        <fgColor theme="8"/>
        <bgColor theme="8"/>
      </patternFill>
    </fill>
    <fill>
      <patternFill patternType="solid">
        <fgColor rgb="FF434343"/>
        <bgColor rgb="FF434343"/>
      </patternFill>
    </fill>
    <fill>
      <patternFill patternType="solid">
        <fgColor rgb="FFF4CCCC"/>
        <bgColor rgb="FFF4CCCC"/>
      </patternFill>
    </fill>
    <fill>
      <patternFill patternType="solid">
        <fgColor rgb="FF00FF00"/>
        <bgColor rgb="FF00FF00"/>
      </patternFill>
    </fill>
    <fill>
      <patternFill patternType="solid">
        <fgColor rgb="FFCFE2F3"/>
        <bgColor rgb="FFCFE2F3"/>
      </patternFill>
    </fill>
    <fill>
      <patternFill patternType="solid">
        <fgColor rgb="FF980000"/>
        <bgColor rgb="FF980000"/>
      </patternFill>
    </fill>
  </fills>
  <borders count="6">
    <border>
      <left/>
      <right/>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73">
    <xf numFmtId="0" fontId="0" fillId="0" borderId="0" xfId="0"/>
    <xf numFmtId="0" fontId="1" fillId="0" borderId="0" xfId="0" applyFont="1"/>
    <xf numFmtId="164" fontId="1" fillId="0" borderId="0" xfId="0" applyNumberFormat="1" applyFont="1"/>
    <xf numFmtId="165" fontId="1" fillId="0" borderId="0" xfId="0" applyNumberFormat="1" applyFont="1"/>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3" fillId="0" borderId="0" xfId="0" applyFont="1" applyAlignment="1">
      <alignment horizontal="center" vertical="center"/>
    </xf>
    <xf numFmtId="0" fontId="2" fillId="0" borderId="3" xfId="0" applyFont="1" applyBorder="1" applyAlignment="1">
      <alignment horizontal="center" vertical="center" wrapText="1"/>
    </xf>
    <xf numFmtId="0" fontId="2" fillId="0" borderId="0" xfId="0" applyFont="1" applyAlignment="1">
      <alignment vertical="center" wrapText="1"/>
    </xf>
    <xf numFmtId="0" fontId="4" fillId="0" borderId="4" xfId="0" applyFont="1" applyBorder="1" applyAlignment="1">
      <alignment horizontal="center"/>
    </xf>
    <xf numFmtId="0" fontId="5" fillId="2" borderId="4" xfId="0" applyFont="1" applyFill="1" applyBorder="1"/>
    <xf numFmtId="0" fontId="5" fillId="2" borderId="4" xfId="0" applyFont="1" applyFill="1" applyBorder="1" applyAlignment="1">
      <alignment horizontal="center"/>
    </xf>
    <xf numFmtId="0" fontId="1" fillId="2" borderId="4" xfId="0" applyFont="1" applyFill="1" applyBorder="1"/>
    <xf numFmtId="0" fontId="1" fillId="2" borderId="4" xfId="0" applyFont="1" applyFill="1" applyBorder="1" applyAlignment="1">
      <alignment wrapText="1"/>
    </xf>
    <xf numFmtId="0" fontId="1" fillId="2" borderId="4" xfId="0" applyFont="1" applyFill="1" applyBorder="1" applyAlignment="1">
      <alignment vertical="center"/>
    </xf>
    <xf numFmtId="0" fontId="1" fillId="0" borderId="4" xfId="0" applyFont="1" applyBorder="1" applyAlignment="1">
      <alignment vertical="center"/>
    </xf>
    <xf numFmtId="0" fontId="1" fillId="0" borderId="4" xfId="0" applyFont="1" applyBorder="1" applyAlignment="1">
      <alignment wrapText="1"/>
    </xf>
    <xf numFmtId="0" fontId="1" fillId="0" borderId="0" xfId="0" applyFont="1" applyAlignment="1">
      <alignment wrapText="1"/>
    </xf>
    <xf numFmtId="0" fontId="5" fillId="3" borderId="4" xfId="0" applyFont="1" applyFill="1" applyBorder="1"/>
    <xf numFmtId="0" fontId="5" fillId="3" borderId="4" xfId="0" applyFont="1" applyFill="1" applyBorder="1" applyAlignment="1">
      <alignment horizontal="center"/>
    </xf>
    <xf numFmtId="0" fontId="1" fillId="3" borderId="4" xfId="0" applyFont="1" applyFill="1" applyBorder="1"/>
    <xf numFmtId="0" fontId="1" fillId="3" borderId="4" xfId="0" applyFont="1" applyFill="1" applyBorder="1" applyAlignment="1">
      <alignment wrapText="1"/>
    </xf>
    <xf numFmtId="0" fontId="1" fillId="3" borderId="5" xfId="0" applyFont="1" applyFill="1" applyBorder="1" applyAlignment="1">
      <alignment vertical="center"/>
    </xf>
    <xf numFmtId="0" fontId="1" fillId="0" borderId="5" xfId="0" applyFont="1" applyBorder="1" applyAlignment="1">
      <alignment vertical="center"/>
    </xf>
    <xf numFmtId="0" fontId="1" fillId="2" borderId="5" xfId="0" applyFont="1" applyFill="1" applyBorder="1" applyAlignment="1">
      <alignment vertical="center"/>
    </xf>
    <xf numFmtId="0" fontId="5" fillId="4" borderId="4" xfId="0" applyFont="1" applyFill="1" applyBorder="1"/>
    <xf numFmtId="0" fontId="5" fillId="4" borderId="4" xfId="0" applyFont="1" applyFill="1" applyBorder="1" applyAlignment="1">
      <alignment horizontal="center"/>
    </xf>
    <xf numFmtId="0" fontId="1" fillId="4" borderId="4" xfId="0" applyFont="1" applyFill="1" applyBorder="1"/>
    <xf numFmtId="0" fontId="1" fillId="4" borderId="4" xfId="0" applyFont="1" applyFill="1" applyBorder="1" applyAlignment="1">
      <alignment wrapText="1"/>
    </xf>
    <xf numFmtId="0" fontId="1" fillId="4" borderId="5" xfId="0" applyFont="1" applyFill="1" applyBorder="1" applyAlignment="1">
      <alignment vertical="center"/>
    </xf>
    <xf numFmtId="0" fontId="1" fillId="0" borderId="4" xfId="0" applyFont="1" applyBorder="1"/>
    <xf numFmtId="0" fontId="1" fillId="0" borderId="4" xfId="0" applyFont="1" applyBorder="1" applyAlignment="1">
      <alignment horizontal="center"/>
    </xf>
    <xf numFmtId="0" fontId="1" fillId="4" borderId="4" xfId="0" applyFont="1" applyFill="1" applyBorder="1" applyAlignment="1">
      <alignment horizontal="center"/>
    </xf>
    <xf numFmtId="0" fontId="1" fillId="3" borderId="4" xfId="0" applyFont="1" applyFill="1" applyBorder="1" applyAlignment="1">
      <alignment horizontal="center"/>
    </xf>
    <xf numFmtId="0" fontId="1" fillId="5" borderId="4" xfId="0" applyFont="1" applyFill="1" applyBorder="1"/>
    <xf numFmtId="0" fontId="1" fillId="5" borderId="4" xfId="0" applyFont="1" applyFill="1" applyBorder="1" applyAlignment="1">
      <alignment horizontal="center"/>
    </xf>
    <xf numFmtId="0" fontId="1" fillId="5" borderId="4" xfId="0" applyFont="1" applyFill="1" applyBorder="1" applyAlignment="1">
      <alignment wrapText="1"/>
    </xf>
    <xf numFmtId="0" fontId="1" fillId="5" borderId="5" xfId="0" applyFont="1" applyFill="1" applyBorder="1" applyAlignment="1">
      <alignment vertical="center"/>
    </xf>
    <xf numFmtId="0" fontId="6" fillId="0" borderId="4" xfId="0" applyFont="1" applyBorder="1" applyAlignment="1">
      <alignment wrapText="1"/>
    </xf>
    <xf numFmtId="0" fontId="1" fillId="6" borderId="4" xfId="0" applyFont="1" applyFill="1" applyBorder="1" applyAlignment="1">
      <alignment horizontal="center"/>
    </xf>
    <xf numFmtId="0" fontId="6" fillId="0" borderId="4" xfId="0" applyFont="1" applyBorder="1"/>
    <xf numFmtId="0" fontId="1" fillId="7" borderId="4" xfId="0" applyFont="1" applyFill="1" applyBorder="1"/>
    <xf numFmtId="0" fontId="1" fillId="7" borderId="4" xfId="0" applyFont="1" applyFill="1" applyBorder="1" applyAlignment="1">
      <alignment horizontal="center"/>
    </xf>
    <xf numFmtId="0" fontId="1" fillId="7" borderId="4" xfId="0" applyFont="1" applyFill="1" applyBorder="1" applyAlignment="1">
      <alignment wrapText="1"/>
    </xf>
    <xf numFmtId="0" fontId="1" fillId="7" borderId="5" xfId="0" applyFont="1" applyFill="1" applyBorder="1" applyAlignment="1">
      <alignment vertical="center"/>
    </xf>
    <xf numFmtId="0" fontId="4" fillId="5" borderId="4" xfId="0" applyFont="1" applyFill="1" applyBorder="1" applyAlignment="1">
      <alignment horizontal="center"/>
    </xf>
    <xf numFmtId="0" fontId="7" fillId="0" borderId="5" xfId="0" applyFont="1" applyBorder="1" applyAlignment="1">
      <alignment vertical="center"/>
    </xf>
    <xf numFmtId="0" fontId="1" fillId="8" borderId="4" xfId="0" applyFont="1" applyFill="1" applyBorder="1"/>
    <xf numFmtId="0" fontId="1" fillId="8" borderId="4" xfId="0" applyFont="1" applyFill="1" applyBorder="1" applyAlignment="1">
      <alignment horizontal="center"/>
    </xf>
    <xf numFmtId="0" fontId="1" fillId="8" borderId="4" xfId="0" applyFont="1" applyFill="1" applyBorder="1" applyAlignment="1">
      <alignment wrapText="1"/>
    </xf>
    <xf numFmtId="0" fontId="1" fillId="8" borderId="0" xfId="0" applyFont="1" applyFill="1"/>
    <xf numFmtId="0" fontId="1" fillId="8" borderId="0" xfId="0" applyFont="1" applyFill="1" applyAlignment="1">
      <alignment horizontal="center"/>
    </xf>
    <xf numFmtId="0" fontId="1" fillId="8" borderId="0" xfId="0" applyFont="1" applyFill="1" applyAlignment="1">
      <alignment wrapText="1"/>
    </xf>
    <xf numFmtId="0" fontId="1" fillId="8" borderId="5" xfId="0" applyFont="1" applyFill="1" applyBorder="1" applyAlignment="1">
      <alignment vertical="center"/>
    </xf>
    <xf numFmtId="0" fontId="1" fillId="8" borderId="0" xfId="0" applyFont="1" applyFill="1" applyAlignment="1">
      <alignment vertical="center"/>
    </xf>
    <xf numFmtId="0" fontId="1" fillId="0" borderId="0" xfId="0" applyFont="1" applyAlignment="1">
      <alignment vertical="center"/>
    </xf>
    <xf numFmtId="0" fontId="1" fillId="0" borderId="0" xfId="0" applyFont="1" applyAlignment="1">
      <alignment horizontal="center"/>
    </xf>
    <xf numFmtId="0" fontId="1" fillId="7" borderId="0" xfId="0" applyFont="1" applyFill="1"/>
    <xf numFmtId="0" fontId="1" fillId="7" borderId="0" xfId="0" applyFont="1" applyFill="1" applyAlignment="1">
      <alignment horizontal="center"/>
    </xf>
    <xf numFmtId="0" fontId="1" fillId="7" borderId="0" xfId="0" applyFont="1" applyFill="1" applyAlignment="1">
      <alignment wrapText="1"/>
    </xf>
    <xf numFmtId="0" fontId="1" fillId="7" borderId="0" xfId="0" applyFont="1" applyFill="1" applyAlignment="1">
      <alignment vertical="center"/>
    </xf>
    <xf numFmtId="0" fontId="1" fillId="9" borderId="0" xfId="0" applyFont="1" applyFill="1"/>
    <xf numFmtId="0" fontId="1" fillId="10" borderId="0" xfId="0" applyFont="1" applyFill="1"/>
    <xf numFmtId="0" fontId="1" fillId="10" borderId="0" xfId="0" applyFont="1" applyFill="1" applyAlignment="1">
      <alignment horizontal="center"/>
    </xf>
    <xf numFmtId="0" fontId="1" fillId="10" borderId="0" xfId="0" applyFont="1" applyFill="1" applyAlignment="1">
      <alignment wrapText="1"/>
    </xf>
    <xf numFmtId="0" fontId="1" fillId="10" borderId="0" xfId="0" applyFont="1" applyFill="1" applyAlignment="1">
      <alignment vertical="center"/>
    </xf>
    <xf numFmtId="0" fontId="1" fillId="11" borderId="0" xfId="0" applyFont="1" applyFill="1"/>
    <xf numFmtId="0" fontId="1" fillId="11" borderId="0" xfId="0" applyFont="1" applyFill="1" applyAlignment="1">
      <alignment horizontal="center"/>
    </xf>
    <xf numFmtId="0" fontId="1" fillId="11" borderId="0" xfId="0" applyFont="1" applyFill="1" applyAlignment="1">
      <alignment wrapText="1"/>
    </xf>
    <xf numFmtId="0" fontId="4" fillId="7" borderId="4" xfId="0" applyFont="1" applyFill="1" applyBorder="1" applyAlignment="1">
      <alignment horizontal="center"/>
    </xf>
    <xf numFmtId="0" fontId="6" fillId="7" borderId="0" xfId="0" applyFont="1" applyFill="1"/>
    <xf numFmtId="0" fontId="4" fillId="0" borderId="0" xfId="0" applyFont="1" applyAlignment="1">
      <alignment horizontal="center"/>
    </xf>
    <xf numFmtId="0" fontId="10"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12</xdr:col>
      <xdr:colOff>142875</xdr:colOff>
      <xdr:row>16</xdr:row>
      <xdr:rowOff>95250</xdr:rowOff>
    </xdr:from>
    <xdr:to>
      <xdr:col>16</xdr:col>
      <xdr:colOff>142875</xdr:colOff>
      <xdr:row>22</xdr:row>
      <xdr:rowOff>38100</xdr:rowOff>
    </xdr:to>
    <xdr:sp macro="" textlink="">
      <xdr:nvSpPr>
        <xdr:cNvPr id="1028" name="Text Box 4" hidden="1">
          <a:extLst>
            <a:ext uri="{FF2B5EF4-FFF2-40B4-BE49-F238E27FC236}">
              <a16:creationId xmlns:a16="http://schemas.microsoft.com/office/drawing/2014/main" id="{B5099468-10E8-3969-56AB-3AB1093F1629}"/>
            </a:ext>
          </a:extLst>
        </xdr:cNvPr>
        <xdr:cNvSpPr txBox="1">
          <a:spLocks noChangeArrowheads="1"/>
        </xdr:cNvSpPr>
      </xdr:nvSpPr>
      <xdr:spPr bwMode="auto">
        <a:xfrm>
          <a:off x="14606588" y="8763000"/>
          <a:ext cx="3600450" cy="237172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person displayName="Equipo de Verano Bernal PV México" id="{C5752B5F-5B82-48B5-8AE9-0345747EF8E1}"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5" dT="2025-06-05T23:32:24.00" personId="{C5752B5F-5B82-48B5-8AE9-0345747EF8E1}" id="{687259DD-4D8E-4B9B-9715-C93D28E81850}" done="1">
    <text>Tuvimos que mandar un formulario en Drive al Pastor</text>
  </threadedComment>
  <threadedComment ref="H16" dT="2025-07-05T18:16:55.00" personId="{C5752B5F-5B82-48B5-8AE9-0345747EF8E1}" id="{051BB7F3-7C30-4B31-8040-AA97FC936FEE}">
    <text>Semana 1,2,3</text>
  </threadedComment>
  <threadedComment ref="B92" dT="2025-07-03T18:22:34.00" personId="{C5752B5F-5B82-48B5-8AE9-0345747EF8E1}" id="{498CFE5C-39D1-47BC-9BE3-E8D222A16162}">
    <text>Stef comenzó a trabajar a partir de aquí</text>
  </threadedComment>
  <threadedComment ref="L92" dT="2025-07-01T02:44:21.00" personId="{C5752B5F-5B82-48B5-8AE9-0345747EF8E1}" id="{F0A2843E-D4BF-4C52-A538-D795A9AB19BF}">
    <text>No nos contesta el pastor</text>
  </threadedComment>
  <threadedComment ref="B109" dT="2025-07-01T03:18:45.00" personId="{C5752B5F-5B82-48B5-8AE9-0345747EF8E1}" id="{B1272697-F561-4D35-99E5-51DB0C810FD2}">
    <text>Su Pastor contestará por mensajes</text>
  </threadedComment>
  <threadedComment ref="B131" dT="2025-07-01T03:24:38.00" personId="{C5752B5F-5B82-48B5-8AE9-0345747EF8E1}" id="{9CDDC06F-DCF4-454C-BD37-8EF267A6953D}">
    <text>Tiene mal su número de whatsapp</text>
  </threadedComment>
  <threadedComment ref="L140" dT="2025-07-03T00:10:09.00" personId="{C5752B5F-5B82-48B5-8AE9-0345747EF8E1}" id="{542A6F84-8836-4262-995B-8ABACD396A78}">
    <text>Buscar el numero de whatsaap en el contacto de él.</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3:Z502"/>
  <sheetViews>
    <sheetView workbookViewId="0"/>
  </sheetViews>
  <sheetFormatPr baseColWidth="10" defaultColWidth="12.59765625" defaultRowHeight="15.75" customHeight="1" x14ac:dyDescent="0.35"/>
  <cols>
    <col min="3" max="3" width="28.73046875" customWidth="1"/>
    <col min="9" max="9" width="246.46484375" customWidth="1"/>
  </cols>
  <sheetData>
    <row r="3" spans="1:26" x14ac:dyDescent="0.35">
      <c r="A3" s="1" t="str">
        <f ca="1">IFERROR(__xludf.DUMMYFUNCTION("IMPORTRANGE(""https://docs.google.com/spreadsheets/d/1gcs06T9uBEqgdLBZkFi-lZJnDun--dZNPrXjlLHSUbc/edit?gid=0#gid=0"",""HOJA 1!A1:AC500"")"),"Added Time")</f>
        <v>Added Time</v>
      </c>
      <c r="B3" s="1" t="str">
        <f ca="1">IFERROR(__xludf.DUMMYFUNCTION("""COMPUTED_VALUE"""),"IP Address")</f>
        <v>IP Address</v>
      </c>
      <c r="C3" s="1" t="str">
        <f ca="1">IFERROR(__xludf.DUMMYFUNCTION("""COMPUTED_VALUE"""),"Nombre y Apellidos")</f>
        <v>Nombre y Apellidos</v>
      </c>
      <c r="D3" s="1" t="str">
        <f ca="1">IFERROR(__xludf.DUMMYFUNCTION("""COMPUTED_VALUE"""),"Edad")</f>
        <v>Edad</v>
      </c>
      <c r="E3" s="1" t="str">
        <f ca="1">IFERROR(__xludf.DUMMYFUNCTION("""COMPUTED_VALUE"""),"Marca la opción que corresponde")</f>
        <v>Marca la opción que corresponde</v>
      </c>
      <c r="F3" s="1" t="str">
        <f ca="1">IFERROR(__xludf.DUMMYFUNCTION("""COMPUTED_VALUE"""),"Dirección")</f>
        <v>Dirección</v>
      </c>
      <c r="G3" s="1" t="str">
        <f ca="1">IFERROR(__xludf.DUMMYFUNCTION("""COMPUTED_VALUE"""),"Escribe tu correo electrónico")</f>
        <v>Escribe tu correo electrónico</v>
      </c>
      <c r="H3" s="1" t="str">
        <f ca="1">IFERROR(__xludf.DUMMYFUNCTION("""COMPUTED_VALUE"""),"Escribe tu número de teléfono de whatsapp")</f>
        <v>Escribe tu número de teléfono de whatsapp</v>
      </c>
      <c r="I3" s="1" t="str">
        <f ca="1">IFERROR(__xludf.DUMMYFUNCTION("""COMPUTED_VALUE"""),"Elige la fecha en la que consideras asistir como Equipante Voluntario:")</f>
        <v>Elige la fecha en la que consideras asistir como Equipante Voluntario:</v>
      </c>
      <c r="J3" s="1" t="str">
        <f ca="1">IFERROR(__xludf.DUMMYFUNCTION("""COMPUTED_VALUE"""),"Nombre del devocional diario que usas")</f>
        <v>Nombre del devocional diario que usas</v>
      </c>
      <c r="K3" s="1" t="str">
        <f ca="1">IFERROR(__xludf.DUMMYFUNCTION("""COMPUTED_VALUE"""),"Nombre de tu iglesia")</f>
        <v>Nombre de tu iglesia</v>
      </c>
      <c r="L3" s="1" t="str">
        <f ca="1">IFERROR(__xludf.DUMMYFUNCTION("""COMPUTED_VALUE"""),"Escribe el nombre del pastor que te autorizó como equipante voluntario.")</f>
        <v>Escribe el nombre del pastor que te autorizó como equipante voluntario.</v>
      </c>
      <c r="M3" s="1" t="str">
        <f ca="1">IFERROR(__xludf.DUMMYFUNCTION("""COMPUTED_VALUE"""),"Escribe el número del celular del pastor")</f>
        <v>Escribe el número del celular del pastor</v>
      </c>
      <c r="N3" s="1" t="str">
        <f ca="1">IFERROR(__xludf.DUMMYFUNCTION("""COMPUTED_VALUE"""),"ESCRIBE EL CORREO ELECTRÓNICO DEL PASTOR")</f>
        <v>ESCRIBE EL CORREO ELECTRÓNICO DEL PASTOR</v>
      </c>
      <c r="O3" s="1" t="str">
        <f ca="1">IFERROR(__xludf.DUMMYFUNCTION("""COMPUTED_VALUE"""),"¿CUÁL ES EL MINISTERIO QUE EJERCES EN TU IGLESIA LOCAL?")</f>
        <v>¿CUÁL ES EL MINISTERIO QUE EJERCES EN TU IGLESIA LOCAL?</v>
      </c>
      <c r="P3" s="1" t="str">
        <f ca="1">IFERROR(__xludf.DUMMYFUNCTION("""COMPUTED_VALUE"""),"CUÉNTANOS BREVEMENTE TU TESTIMONIO DE SALVACIÓN")</f>
        <v>CUÉNTANOS BREVEMENTE TU TESTIMONIO DE SALVACIÓN</v>
      </c>
      <c r="Q3" s="1" t="str">
        <f ca="1">IFERROR(__xludf.DUMMYFUNCTION("""COMPUTED_VALUE"""),"CUÉNTANOS BREVEMENTE ¿POR QUÉ DESEAS SER PARTE DEL EQUIPO DE VERANO?")</f>
        <v>CUÉNTANOS BREVEMENTE ¿POR QUÉ DESEAS SER PARTE DEL EQUIPO DE VERANO?</v>
      </c>
      <c r="R3" s="1" t="str">
        <f ca="1">IFERROR(__xludf.DUMMYFUNCTION("""COMPUTED_VALUE"""),"¿Practicas un deporte?")</f>
        <v>¿Practicas un deporte?</v>
      </c>
      <c r="S3" s="1" t="str">
        <f ca="1">IFERROR(__xludf.DUMMYFUNCTION("""COMPUTED_VALUE"""),"Especifica")</f>
        <v>Especifica</v>
      </c>
      <c r="T3" s="1" t="str">
        <f ca="1">IFERROR(__xludf.DUMMYFUNCTION("""COMPUTED_VALUE"""),"¿Tocas algún instrumento?")</f>
        <v>¿Tocas algún instrumento?</v>
      </c>
      <c r="U3" s="1" t="str">
        <f ca="1">IFERROR(__xludf.DUMMYFUNCTION("""COMPUTED_VALUE"""),"Especifica")</f>
        <v>Especifica</v>
      </c>
      <c r="V3" s="1" t="str">
        <f ca="1">IFERROR(__xludf.DUMMYFUNCTION("""COMPUTED_VALUE"""),"Cuéntanos brevemente qué estudias")</f>
        <v>Cuéntanos brevemente qué estudias</v>
      </c>
      <c r="W3" s="1" t="str">
        <f ca="1">IFERROR(__xludf.DUMMYFUNCTION("""COMPUTED_VALUE"""),"¿Qué habilidades, oficios o profesión tienes?")</f>
        <v>¿Qué habilidades, oficios o profesión tienes?</v>
      </c>
      <c r="X3" s="1" t="str">
        <f ca="1">IFERROR(__xludf.DUMMYFUNCTION("""COMPUTED_VALUE"""),"¿Con cuál de estas cualidades te identificas?")</f>
        <v>¿Con cuál de estas cualidades te identificas?</v>
      </c>
      <c r="Y3" s="1" t="str">
        <f ca="1">IFERROR(__xludf.DUMMYFUNCTION("""COMPUTED_VALUE"""),"¿Has sido campero en nuestros campamentos de PV? ¿En qué temporada?")</f>
        <v>¿Has sido campero en nuestros campamentos de PV? ¿En qué temporada?</v>
      </c>
      <c r="Z3" s="1"/>
    </row>
    <row r="4" spans="1:26" x14ac:dyDescent="0.35">
      <c r="A4" s="2">
        <f ca="1">IFERROR(__xludf.DUMMYFUNCTION("""COMPUTED_VALUE"""),45736.6570023148)</f>
        <v>45736.657002314802</v>
      </c>
      <c r="B4" s="1"/>
      <c r="C4" s="1" t="str">
        <f ca="1">IFERROR(__xludf.DUMMYFUNCTION("""COMPUTED_VALUE"""),"Zoe Saraí, Pereira Campos")</f>
        <v>Zoe Saraí, Pereira Campos</v>
      </c>
      <c r="D4" s="1">
        <f ca="1">IFERROR(__xludf.DUMMYFUNCTION("""COMPUTED_VALUE"""),15)</f>
        <v>15</v>
      </c>
      <c r="E4" s="1" t="str">
        <f ca="1">IFERROR(__xludf.DUMMYFUNCTION("""COMPUTED_VALUE"""),"Mujer")</f>
        <v>Mujer</v>
      </c>
      <c r="F4" s="1" t="str">
        <f ca="1">IFERROR(__xludf.DUMMYFUNCTION("""COMPUTED_VALUE"""),"Veracruz, Mexico")</f>
        <v>Veracruz, Mexico</v>
      </c>
      <c r="G4" s="1" t="str">
        <f ca="1">IFERROR(__xludf.DUMMYFUNCTION("""COMPUTED_VALUE"""),"alexanderpereira120305@gmail.com")</f>
        <v>alexanderpereira120305@gmail.com</v>
      </c>
      <c r="H4" s="1">
        <f ca="1">IFERROR(__xludf.DUMMYFUNCTION("""COMPUTED_VALUE"""),524422730204)</f>
        <v>524422730204</v>
      </c>
      <c r="I4" s="1" t="str">
        <f ca="1">IFERROR(__xludf.DUMMYFUNCTION("""COMPUTED_VALUE"""),"Semana de entrenamiento (07 - 13) Julio, Comunidad Jóvenes + 18 (14-19) Julio, Semana de niños y niñas (21-25) Julio, Jóvenes de 13 – 17 años / SEM1/ (28 Julio a 02 de agosto)")</f>
        <v>Semana de entrenamiento (07 - 13) Julio, Comunidad Jóvenes + 18 (14-19) Julio, Semana de niños y niñas (21-25) Julio, Jóvenes de 13 – 17 años / SEM1/ (28 Julio a 02 de agosto)</v>
      </c>
      <c r="J4" s="1" t="str">
        <f ca="1">IFERROR(__xludf.DUMMYFUNCTION("""COMPUTED_VALUE"""),"Quiet time")</f>
        <v>Quiet time</v>
      </c>
      <c r="K4" s="1" t="str">
        <f ca="1">IFERROR(__xludf.DUMMYFUNCTION("""COMPUTED_VALUE"""),"CEOP ( Centro Evangelico Orizaba Poniente)")</f>
        <v>CEOP ( Centro Evangelico Orizaba Poniente)</v>
      </c>
      <c r="L4" s="1" t="str">
        <f ca="1">IFERROR(__xludf.DUMMYFUNCTION("""COMPUTED_VALUE"""),"David Alvarez")</f>
        <v>David Alvarez</v>
      </c>
      <c r="M4" s="1">
        <f ca="1">IFERROR(__xludf.DUMMYFUNCTION("""COMPUTED_VALUE"""),522721389477)</f>
        <v>522721389477</v>
      </c>
      <c r="N4" s="1" t="str">
        <f ca="1">IFERROR(__xludf.DUMMYFUNCTION("""COMPUTED_VALUE"""),"davealrey@hotmail.com")</f>
        <v>davealrey@hotmail.com</v>
      </c>
      <c r="O4" s="1" t="str">
        <f ca="1">IFERROR(__xludf.DUMMYFUNCTION("""COMPUTED_VALUE"""),"Ministerio de niños")</f>
        <v>Ministerio de niños</v>
      </c>
      <c r="P4" s="1" t="str">
        <f ca="1">IFERROR(__xludf.DUMMYFUNCTION("""COMPUTED_VALUE"""),"Yo a los 6 años pense que era salva, pero vi que solo vivía una vida de religión. A los 10 años mi madre me predico el evangelio y ese fue el dia en que yo puse mi confianza en Jésus para que fuera mi unico salvador.
Sigo creciendo en muchas cosas, pero s"&amp;"e que el Señor esta conmigo en cada paso.")</f>
        <v>Yo a los 6 años pense que era salva, pero vi que solo vivía una vida de religión. A los 10 años mi madre me predico el evangelio y ese fue el dia en que yo puse mi confianza en Jésus para que fuera mi unico salvador.
Sigo creciendo en muchas cosas, pero se que el Señor esta conmigo en cada paso.</v>
      </c>
      <c r="Q4" s="1" t="str">
        <f ca="1">IFERROR(__xludf.DUMMYFUNCTION("""COMPUTED_VALUE"""),"Desde la temporada pasada Dios puso un deseo de dedicarle un mes a servirle a Él. 
También quiero seguir descubriendo dones que El Señor me haya dado, y ejercitar los que ya se que tengo.
También quiero ponerme a prueba con nuevos desafíos que póngan a pr"&amp;"ueba mi fe.")</f>
        <v>Desde la temporada pasada Dios puso un deseo de dedicarle un mes a servirle a Él. 
También quiero seguir descubriendo dones que El Señor me haya dado, y ejercitar los que ya se que tengo.
También quiero ponerme a prueba con nuevos desafíos que póngan a prueba mi fe.</v>
      </c>
      <c r="R4" s="1" t="str">
        <f ca="1">IFERROR(__xludf.DUMMYFUNCTION("""COMPUTED_VALUE"""),"No")</f>
        <v>No</v>
      </c>
      <c r="S4" s="1"/>
      <c r="T4" s="1" t="str">
        <f ca="1">IFERROR(__xludf.DUMMYFUNCTION("""COMPUTED_VALUE"""),"Si")</f>
        <v>Si</v>
      </c>
      <c r="U4" s="1" t="str">
        <f ca="1">IFERROR(__xludf.DUMMYFUNCTION("""COMPUTED_VALUE"""),"Bateria y Guitarra")</f>
        <v>Bateria y Guitarra</v>
      </c>
      <c r="V4" s="1" t="str">
        <f ca="1">IFERROR(__xludf.DUMMYFUNCTION("""COMPUTED_VALUE"""),"Escuela, prepa")</f>
        <v>Escuela, prepa</v>
      </c>
      <c r="W4" s="1" t="str">
        <f ca="1">IFERROR(__xludf.DUMMYFUNCTION("""COMPUTED_VALUE"""),"Pues se tratar con niños, soy buena haciendo planes, relativamente inteligente, lider (creo), se me dan los deportes, y yap creo")</f>
        <v>Pues se tratar con niños, soy buena haciendo planes, relativamente inteligente, lider (creo), se me dan los deportes, y yap creo</v>
      </c>
      <c r="X4" s="1" t="str">
        <f ca="1">IFERROR(__xludf.DUMMYFUNCTION("""COMPUTED_VALUE"""),"B. Me gusta animar a las personas, C. Suelo buscar que el trabajo se realice en equipo, D. Me gustan los deportes, E. Me gusta el trabajo con niños, I. Se me facilita el trabajo físico, L. Soy bueno (a) en canto o algún instrumento, M. Soy bueno (a) con l"&amp;"os números, N. Suelo llevar el liderazgo en un grupo, O. Puedo enseñar con facilidad")</f>
        <v>B. Me gusta animar a las personas, C. Suelo buscar que el trabajo se realice en equipo, D. Me gustan los deportes, E. Me gusta el trabajo con niños, I. Se me facilita el trabajo físico, L. Soy bueno (a) en canto o algún instrumento, M. Soy bueno (a) con los números, N. Suelo llevar el liderazgo en un grupo, O. Puedo enseñar con facilidad</v>
      </c>
      <c r="Y4" s="1" t="str">
        <f ca="1">IFERROR(__xludf.DUMMYFUNCTION("""COMPUTED_VALUE"""),"Sip ( 2017, 2018. 2019, 2020, 2021, 2022, 2023. 2024)")</f>
        <v>Sip ( 2017, 2018. 2019, 2020, 2021, 2022, 2023. 2024)</v>
      </c>
      <c r="Z4" s="1"/>
    </row>
    <row r="5" spans="1:26" x14ac:dyDescent="0.35">
      <c r="A5" s="2">
        <f ca="1">IFERROR(__xludf.DUMMYFUNCTION("""COMPUTED_VALUE"""),45736.8455092592)</f>
        <v>45736.845509259198</v>
      </c>
      <c r="B5" s="1"/>
      <c r="C5" s="1" t="str">
        <f ca="1">IFERROR(__xludf.DUMMYFUNCTION("""COMPUTED_VALUE"""),"Jehieli, Dimas Alonso")</f>
        <v>Jehieli, Dimas Alonso</v>
      </c>
      <c r="D5" s="1">
        <f ca="1">IFERROR(__xludf.DUMMYFUNCTION("""COMPUTED_VALUE"""),20)</f>
        <v>20</v>
      </c>
      <c r="E5" s="1" t="str">
        <f ca="1">IFERROR(__xludf.DUMMYFUNCTION("""COMPUTED_VALUE"""),"Mujer")</f>
        <v>Mujer</v>
      </c>
      <c r="F5" s="1" t="str">
        <f ca="1">IFERROR(__xludf.DUMMYFUNCTION("""COMPUTED_VALUE"""),"Veracruz, Mexico")</f>
        <v>Veracruz, Mexico</v>
      </c>
      <c r="G5" s="1" t="str">
        <f ca="1">IFERROR(__xludf.DUMMYFUNCTION("""COMPUTED_VALUE"""),"alonsojehi@gmail.com")</f>
        <v>alonsojehi@gmail.com</v>
      </c>
      <c r="H5" s="1">
        <f ca="1">IFERROR(__xludf.DUMMYFUNCTION("""COMPUTED_VALUE"""),522722582655)</f>
        <v>522722582655</v>
      </c>
      <c r="I5" s="1" t="str">
        <f ca="1">IFERROR(__xludf.DUMMYFUNCTION("""COMPUTED_VALUE"""),"Toda la temporada (07 de Julio al 16 de agosto)")</f>
        <v>Toda la temporada (07 de Julio al 16 de agosto)</v>
      </c>
      <c r="J5" s="1" t="str">
        <f ca="1">IFERROR(__xludf.DUMMYFUNCTION("""COMPUTED_VALUE"""),"Nuestro Pan Diario")</f>
        <v>Nuestro Pan Diario</v>
      </c>
      <c r="K5" s="1" t="str">
        <f ca="1">IFERROR(__xludf.DUMMYFUNCTION("""COMPUTED_VALUE"""),"Templo Evangélico Orizaba Oriente")</f>
        <v>Templo Evangélico Orizaba Oriente</v>
      </c>
      <c r="L5" s="1" t="str">
        <f ca="1">IFERROR(__xludf.DUMMYFUNCTION("""COMPUTED_VALUE"""),"Samuel Dimas Cortés")</f>
        <v>Samuel Dimas Cortés</v>
      </c>
      <c r="M5" s="1">
        <f ca="1">IFERROR(__xludf.DUMMYFUNCTION("""COMPUTED_VALUE"""),522721884527)</f>
        <v>522721884527</v>
      </c>
      <c r="N5" s="1" t="str">
        <f ca="1">IFERROR(__xludf.DUMMYFUNCTION("""COMPUTED_VALUE"""),"orizaba-oriente@hotmail.com")</f>
        <v>orizaba-oriente@hotmail.com</v>
      </c>
      <c r="O5" s="1" t="str">
        <f ca="1">IFERROR(__xludf.DUMMYFUNCTION("""COMPUTED_VALUE"""),"Maestra de niños")</f>
        <v>Maestra de niños</v>
      </c>
      <c r="P5" s="1" t="str">
        <f ca="1">IFERROR(__xludf.DUMMYFUNCTION("""COMPUTED_VALUE"""),"He sido guiada en el evangelio desde pequeña, gracias a Dios mis padres son creyentes, a la edad de 12 años acepte al Señor Jesucristo en mi corazón y a los 15 me bauticé, he participado desde mi niñez en las actividades de la iglesia.
Dios me ayuda y me "&amp;"va perfeccionando dia a dia.")</f>
        <v>He sido guiada en el evangelio desde pequeña, gracias a Dios mis padres son creyentes, a la edad de 12 años acepte al Señor Jesucristo en mi corazón y a los 15 me bauticé, he participado desde mi niñez en las actividades de la iglesia.
Dios me ayuda y me va perfeccionando dia a dia.</v>
      </c>
      <c r="Q5" s="1" t="str">
        <f ca="1">IFERROR(__xludf.DUMMYFUNCTION("""COMPUTED_VALUE"""),"Conocer mas afuera de mi iglesia y poder ser apoyo para jovenes o niños, nada mejor hay que compartir a otros de su palabra.")</f>
        <v>Conocer mas afuera de mi iglesia y poder ser apoyo para jovenes o niños, nada mejor hay que compartir a otros de su palabra.</v>
      </c>
      <c r="R5" s="1" t="str">
        <f ca="1">IFERROR(__xludf.DUMMYFUNCTION("""COMPUTED_VALUE"""),"No")</f>
        <v>No</v>
      </c>
      <c r="S5" s="1"/>
      <c r="T5" s="1" t="str">
        <f ca="1">IFERROR(__xludf.DUMMYFUNCTION("""COMPUTED_VALUE"""),"No")</f>
        <v>No</v>
      </c>
      <c r="U5" s="1"/>
      <c r="V5" s="1" t="str">
        <f ca="1">IFERROR(__xludf.DUMMYFUNCTION("""COMPUTED_VALUE"""),"Estoy en cuarto semestre de diseño y comunicacion visual, mas conocido como diseño gráfico, en el cual entra creacion de comtenido, marketing")</f>
        <v>Estoy en cuarto semestre de diseño y comunicacion visual, mas conocido como diseño gráfico, en el cual entra creacion de comtenido, marketing</v>
      </c>
      <c r="W5" s="1" t="str">
        <f ca="1">IFERROR(__xludf.DUMMYFUNCTION("""COMPUTED_VALUE"""),"Tengo conocimientos en las plataformas de adobe")</f>
        <v>Tengo conocimientos en las plataformas de adobe</v>
      </c>
      <c r="X5" s="1" t="str">
        <f ca="1">IFERROR(__xludf.DUMMYFUNCTION("""COMPUTED_VALUE"""),"B. Me gusta animar a las personas, C. Suelo buscar que el trabajo se realice en equipo, D. Me gustan los deportes, E. Me gusta el trabajo con niños, H. Soy organizado (a), I. Se me facilita el trabajo físico, J. Me gusta la atención a las personas, K. Soy"&amp;" creativo (a), L. Soy bueno (a) en canto o algún instrumento, M. Soy bueno (a) con los números, O. Puedo enseñar con facilidad")</f>
        <v>B. Me gusta animar a las personas, C. Suelo buscar que el trabajo se realice en equipo, D. Me gustan los deportes, E. Me gusta el trabajo con niños, H. Soy organizado (a), I. Se me facilita el trabajo físico, J. Me gusta la atención a las personas, K. Soy creativo (a), L. Soy bueno (a) en canto o algún instrumento, M. Soy bueno (a) con los números, O. Puedo enseñar con facilidad</v>
      </c>
      <c r="Y5" s="1" t="str">
        <f ca="1">IFERROR(__xludf.DUMMYFUNCTION("""COMPUTED_VALUE"""),"Claro, fue hace año, no sabria decir en que temporada")</f>
        <v>Claro, fue hace año, no sabria decir en que temporada</v>
      </c>
      <c r="Z5" s="1"/>
    </row>
    <row r="6" spans="1:26" x14ac:dyDescent="0.35">
      <c r="A6" s="2">
        <f ca="1">IFERROR(__xludf.DUMMYFUNCTION("""COMPUTED_VALUE"""),45737.3622800925)</f>
        <v>45737.3622800925</v>
      </c>
      <c r="B6" s="1"/>
      <c r="C6" s="1" t="str">
        <f ca="1">IFERROR(__xludf.DUMMYFUNCTION("""COMPUTED_VALUE"""),"Elisabet, González Salazar")</f>
        <v>Elisabet, González Salazar</v>
      </c>
      <c r="D6" s="1">
        <f ca="1">IFERROR(__xludf.DUMMYFUNCTION("""COMPUTED_VALUE"""),22)</f>
        <v>22</v>
      </c>
      <c r="E6" s="1" t="str">
        <f ca="1">IFERROR(__xludf.DUMMYFUNCTION("""COMPUTED_VALUE"""),"Mujer")</f>
        <v>Mujer</v>
      </c>
      <c r="F6" s="1" t="str">
        <f ca="1">IFERROR(__xludf.DUMMYFUNCTION("""COMPUTED_VALUE"""),"Veracruz, Mexico")</f>
        <v>Veracruz, Mexico</v>
      </c>
      <c r="G6" s="1" t="str">
        <f ca="1">IFERROR(__xludf.DUMMYFUNCTION("""COMPUTED_VALUE"""),"elisabetglezsalazar012103@gmail.com")</f>
        <v>elisabetglezsalazar012103@gmail.com</v>
      </c>
      <c r="H6" s="1">
        <f ca="1">IFERROR(__xludf.DUMMYFUNCTION("""COMPUTED_VALUE"""),522723348309)</f>
        <v>522723348309</v>
      </c>
      <c r="I6" s="1" t="str">
        <f ca="1">IFERROR(__xludf.DUMMYFUNCTION("""COMPUTED_VALUE"""),"Toda la temporada (07 de Julio al 16 de agosto)")</f>
        <v>Toda la temporada (07 de Julio al 16 de agosto)</v>
      </c>
      <c r="J6" s="1" t="str">
        <f ca="1">IFERROR(__xludf.DUMMYFUNCTION("""COMPUTED_VALUE"""),"Aviva nuestros corazones")</f>
        <v>Aviva nuestros corazones</v>
      </c>
      <c r="K6" s="1" t="str">
        <f ca="1">IFERROR(__xludf.DUMMYFUNCTION("""COMPUTED_VALUE"""),"Templo evangélico Orizaba-Oriente")</f>
        <v>Templo evangélico Orizaba-Oriente</v>
      </c>
      <c r="L6" s="1" t="str">
        <f ca="1">IFERROR(__xludf.DUMMYFUNCTION("""COMPUTED_VALUE"""),"Samuel Dimas Cortés")</f>
        <v>Samuel Dimas Cortés</v>
      </c>
      <c r="M6" s="1">
        <f ca="1">IFERROR(__xludf.DUMMYFUNCTION("""COMPUTED_VALUE"""),522721884528)</f>
        <v>522721884528</v>
      </c>
      <c r="N6" s="1" t="str">
        <f ca="1">IFERROR(__xludf.DUMMYFUNCTION("""COMPUTED_VALUE"""),"elisabetglezsalazar012103@gmail.com")</f>
        <v>elisabetglezsalazar012103@gmail.com</v>
      </c>
      <c r="O6" s="1" t="str">
        <f ca="1">IFERROR(__xludf.DUMMYFUNCTION("""COMPUTED_VALUE"""),"Servicio con los niños en la misión de la iglesia")</f>
        <v>Servicio con los niños en la misión de la iglesia</v>
      </c>
      <c r="P6" s="1" t="str">
        <f ca="1">IFERROR(__xludf.DUMMYFUNCTION("""COMPUTED_VALUE"""),"Recibí a Cristo en mi vida en un campamento, desde ese día hasta la fecha me reúno en una iglesia y sirvo en los ministerios con los niños.")</f>
        <v>Recibí a Cristo en mi vida en un campamento, desde ese día hasta la fecha me reúno en una iglesia y sirvo en los ministerios con los niños.</v>
      </c>
      <c r="Q6" s="1" t="str">
        <f ca="1">IFERROR(__xludf.DUMMYFUNCTION("""COMPUTED_VALUE"""),"Quiero servir durante el verano, quiero poner al servicio de Dios mis dones")</f>
        <v>Quiero servir durante el verano, quiero poner al servicio de Dios mis dones</v>
      </c>
      <c r="R6" s="1" t="str">
        <f ca="1">IFERROR(__xludf.DUMMYFUNCTION("""COMPUTED_VALUE"""),"No")</f>
        <v>No</v>
      </c>
      <c r="S6" s="1"/>
      <c r="T6" s="1" t="str">
        <f ca="1">IFERROR(__xludf.DUMMYFUNCTION("""COMPUTED_VALUE"""),"No")</f>
        <v>No</v>
      </c>
      <c r="U6" s="1"/>
      <c r="V6" s="1" t="str">
        <f ca="1">IFERROR(__xludf.DUMMYFUNCTION("""COMPUTED_VALUE"""),"Estoy en el último año de enfermería")</f>
        <v>Estoy en el último año de enfermería</v>
      </c>
      <c r="W6" s="1" t="str">
        <f ca="1">IFERROR(__xludf.DUMMYFUNCTION("""COMPUTED_VALUE"""),"Soy creativa, me gusta decorar, soy ágil en las tareas de la cocina, me desenvuelvo bien con los niños y se los primeros auxilios, y los cuidados de enfermería")</f>
        <v>Soy creativa, me gusta decorar, soy ágil en las tareas de la cocina, me desenvuelvo bien con los niños y se los primeros auxilios, y los cuidados de enfermería</v>
      </c>
      <c r="X6" s="1" t="str">
        <f ca="1">IFERROR(__xludf.DUMMYFUNCTION("""COMPUTED_VALUE"""),"B. Me gusta animar a las personas, E. Me gusta el trabajo con niños, H. Soy organizado (a), J. Me gusta la atención a las personas, K. Soy creativo (a), N. Suelo llevar el liderazgo en un grupo, O. Puedo enseñar con facilidad")</f>
        <v>B. Me gusta animar a las personas, E. Me gusta el trabajo con niños, H. Soy organizado (a), J. Me gusta la atención a las personas, K. Soy creativo (a), N. Suelo llevar el liderazgo en un grupo, O. Puedo enseñar con facilidad</v>
      </c>
      <c r="Y6" s="1" t="str">
        <f ca="1">IFERROR(__xludf.DUMMYFUNCTION("""COMPUTED_VALUE"""),"Si he sido campero en campamento de niños")</f>
        <v>Si he sido campero en campamento de niños</v>
      </c>
      <c r="Z6" s="1"/>
    </row>
    <row r="7" spans="1:26" x14ac:dyDescent="0.35">
      <c r="A7" s="2">
        <f ca="1">IFERROR(__xludf.DUMMYFUNCTION("""COMPUTED_VALUE"""),45738.6351388888)</f>
        <v>45738.6351388888</v>
      </c>
      <c r="B7" s="1"/>
      <c r="C7" s="1" t="str">
        <f ca="1">IFERROR(__xludf.DUMMYFUNCTION("""COMPUTED_VALUE"""),"Monica Regina, Saucedo Hernadez")</f>
        <v>Monica Regina, Saucedo Hernadez</v>
      </c>
      <c r="D7" s="1">
        <f ca="1">IFERROR(__xludf.DUMMYFUNCTION("""COMPUTED_VALUE"""),16)</f>
        <v>16</v>
      </c>
      <c r="E7" s="1" t="str">
        <f ca="1">IFERROR(__xludf.DUMMYFUNCTION("""COMPUTED_VALUE"""),"Mujer")</f>
        <v>Mujer</v>
      </c>
      <c r="F7" s="1" t="str">
        <f ca="1">IFERROR(__xludf.DUMMYFUNCTION("""COMPUTED_VALUE"""),"Mexico City, Mexico")</f>
        <v>Mexico City, Mexico</v>
      </c>
      <c r="G7" s="1" t="str">
        <f ca="1">IFERROR(__xludf.DUMMYFUNCTION("""COMPUTED_VALUE"""),"rhablack01@gmail.com")</f>
        <v>rhablack01@gmail.com</v>
      </c>
      <c r="H7" s="1">
        <f ca="1">IFERROR(__xludf.DUMMYFUNCTION("""COMPUTED_VALUE"""),525533525972)</f>
        <v>525533525972</v>
      </c>
      <c r="I7" s="1" t="str">
        <f ca="1">IFERROR(__xludf.DUMMYFUNCTION("""COMPUTED_VALUE"""),"Toda la temporada (07 de Julio al 16 de agosto)")</f>
        <v>Toda la temporada (07 de Julio al 16 de agosto)</v>
      </c>
      <c r="J7" s="1" t="str">
        <f ca="1">IFERROR(__xludf.DUMMYFUNCTION("""COMPUTED_VALUE"""),"Quiet Time")</f>
        <v>Quiet Time</v>
      </c>
      <c r="K7" s="1" t="str">
        <f ca="1">IFERROR(__xludf.DUMMYFUNCTION("""COMPUTED_VALUE"""),"G3:16 Aragon")</f>
        <v>G3:16 Aragon</v>
      </c>
      <c r="L7" s="1" t="str">
        <f ca="1">IFERROR(__xludf.DUMMYFUNCTION("""COMPUTED_VALUE"""),"Carlos Alberto López de Nava")</f>
        <v>Carlos Alberto López de Nava</v>
      </c>
      <c r="M7" s="1">
        <f ca="1">IFERROR(__xludf.DUMMYFUNCTION("""COMPUTED_VALUE"""),525554321356)</f>
        <v>525554321356</v>
      </c>
      <c r="N7" s="1" t="str">
        <f ca="1">IFERROR(__xludf.DUMMYFUNCTION("""COMPUTED_VALUE"""),"carlos_lopezn@yahoo.como.mx")</f>
        <v>carlos_lopezn@yahoo.como.mx</v>
      </c>
      <c r="O7" s="1" t="str">
        <f ca="1">IFERROR(__xludf.DUMMYFUNCTION("""COMPUTED_VALUE"""),"Por el momento ninguno")</f>
        <v>Por el momento ninguno</v>
      </c>
      <c r="P7" s="1" t="str">
        <f ca="1">IFERROR(__xludf.DUMMYFUNCTION("""COMPUTED_VALUE"""),"Vengo de cuna cristiana, desde pequeña siempre me hablaron de él,a los siete años tome la decisión de creer en Jesús como Salvador, después de una época difícil de mi familia y donde el Señor me mostró que siempre cuida de mi.")</f>
        <v>Vengo de cuna cristiana, desde pequeña siempre me hablaron de él,a los siete años tome la decisión de creer en Jesús como Salvador, después de una época difícil de mi familia y donde el Señor me mostró que siempre cuida de mi.</v>
      </c>
      <c r="Q7" s="1" t="str">
        <f ca="1">IFERROR(__xludf.DUMMYFUNCTION("""COMPUTED_VALUE"""),"Me gustaría asistir para poder servirle al señor y ayudar a que más personas puedan conocer de él.")</f>
        <v>Me gustaría asistir para poder servirle al señor y ayudar a que más personas puedan conocer de él.</v>
      </c>
      <c r="R7" s="1" t="str">
        <f ca="1">IFERROR(__xludf.DUMMYFUNCTION("""COMPUTED_VALUE"""),"Si")</f>
        <v>Si</v>
      </c>
      <c r="S7" s="1" t="str">
        <f ca="1">IFERROR(__xludf.DUMMYFUNCTION("""COMPUTED_VALUE"""),"Halterofilia y CrossFit")</f>
        <v>Halterofilia y CrossFit</v>
      </c>
      <c r="T7" s="1" t="str">
        <f ca="1">IFERROR(__xludf.DUMMYFUNCTION("""COMPUTED_VALUE"""),"No")</f>
        <v>No</v>
      </c>
      <c r="U7" s="1"/>
      <c r="V7" s="1" t="str">
        <f ca="1">IFERROR(__xludf.DUMMYFUNCTION("""COMPUTED_VALUE"""),"Bachillerato")</f>
        <v>Bachillerato</v>
      </c>
      <c r="W7" s="1" t="str">
        <f ca="1">IFERROR(__xludf.DUMMYFUNCTION("""COMPUTED_VALUE"""),"Tengo habilidades de organización,trabajo en equipo y deportivas")</f>
        <v>Tengo habilidades de organización,trabajo en equipo y deportivas</v>
      </c>
      <c r="X7" s="1" t="str">
        <f ca="1">IFERROR(__xludf.DUMMYFUNCTION("""COMPUTED_VALUE"""),"B. Me gusta animar a las personas, C. Suelo buscar que el trabajo se realice en equipo, D. Me gustan los deportes, E. Me gusta el trabajo con niños, H. Soy organizado (a), I. Se me facilita el trabajo físico, N. Suelo llevar el liderazgo en un grupo, O. P"&amp;"uedo enseñar con facilidad")</f>
        <v>B. Me gusta animar a las personas, C. Suelo buscar que el trabajo se realice en equipo, D. Me gustan los deportes, E. Me gusta el trabajo con niños, H. Soy organizado (a), I. Se me facilita el trabajo físico, N. Suelo llevar el liderazgo en un grupo, O. Puedo enseñar con facilidad</v>
      </c>
      <c r="Y7" s="1" t="str">
        <f ca="1">IFERROR(__xludf.DUMMYFUNCTION("""COMPUTED_VALUE"""),"2022,2023,2024")</f>
        <v>2022,2023,2024</v>
      </c>
      <c r="Z7" s="1"/>
    </row>
    <row r="8" spans="1:26" x14ac:dyDescent="0.35">
      <c r="A8" s="2">
        <f ca="1">IFERROR(__xludf.DUMMYFUNCTION("""COMPUTED_VALUE"""),45740.4078935185)</f>
        <v>45740.407893518503</v>
      </c>
      <c r="B8" s="1"/>
      <c r="C8" s="1" t="str">
        <f ca="1">IFERROR(__xludf.DUMMYFUNCTION("""COMPUTED_VALUE"""),"Juliette Marie Louise, Colas")</f>
        <v>Juliette Marie Louise, Colas</v>
      </c>
      <c r="D8" s="1">
        <f ca="1">IFERROR(__xludf.DUMMYFUNCTION("""COMPUTED_VALUE"""),23)</f>
        <v>23</v>
      </c>
      <c r="E8" s="1" t="str">
        <f ca="1">IFERROR(__xludf.DUMMYFUNCTION("""COMPUTED_VALUE"""),"Mujer")</f>
        <v>Mujer</v>
      </c>
      <c r="F8" s="1" t="str">
        <f ca="1">IFERROR(__xludf.DUMMYFUNCTION("""COMPUTED_VALUE"""),"Ile-de-France, France")</f>
        <v>Ile-de-France, France</v>
      </c>
      <c r="G8" s="1" t="str">
        <f ca="1">IFERROR(__xludf.DUMMYFUNCTION("""COMPUTED_VALUE"""),"julietecolas1@gmail.com")</f>
        <v>julietecolas1@gmail.com</v>
      </c>
      <c r="H8" s="1">
        <f ca="1">IFERROR(__xludf.DUMMYFUNCTION("""COMPUTED_VALUE"""),33782232182)</f>
        <v>33782232182</v>
      </c>
      <c r="I8" s="1" t="str">
        <f ca="1">IFERROR(__xludf.DUMMYFUNCTION("""COMPUTED_VALUE"""),"Toda la temporada (07 de Julio al 16 de agosto)")</f>
        <v>Toda la temporada (07 de Julio al 16 de agosto)</v>
      </c>
      <c r="J8" s="1" t="str">
        <f ca="1">IFERROR(__xludf.DUMMYFUNCTION("""COMPUTED_VALUE"""),"Vivre aujourd'hui (vivir hoy)")</f>
        <v>Vivre aujourd'hui (vivir hoy)</v>
      </c>
      <c r="K8" s="1" t="str">
        <f ca="1">IFERROR(__xludf.DUMMYFUNCTION("""COMPUTED_VALUE"""),"Iglesia evangélica de Paris Cardinet")</f>
        <v>Iglesia evangélica de Paris Cardinet</v>
      </c>
      <c r="L8" s="1" t="str">
        <f ca="1">IFERROR(__xludf.DUMMYFUNCTION("""COMPUTED_VALUE"""),"Jonathan Vaughan")</f>
        <v>Jonathan Vaughan</v>
      </c>
      <c r="M8" s="1">
        <f ca="1">IFERROR(__xludf.DUMMYFUNCTION("""COMPUTED_VALUE"""),33641821712)</f>
        <v>33641821712</v>
      </c>
      <c r="N8" s="1" t="str">
        <f ca="1">IFERROR(__xludf.DUMMYFUNCTION("""COMPUTED_VALUE"""),"jony.vaughan@gmail.com")</f>
        <v>jony.vaughan@gmail.com</v>
      </c>
      <c r="O8" s="1" t="str">
        <f ca="1">IFERROR(__xludf.DUMMYFUNCTION("""COMPUTED_VALUE"""),"sierviendo en lo que se necesita")</f>
        <v>sierviendo en lo que se necesita</v>
      </c>
      <c r="P8" s="1" t="str">
        <f ca="1">IFERROR(__xludf.DUMMYFUNCTION("""COMPUTED_VALUE"""),"Voy a la iglesia desde que estoy pequeña y en campamentos también, un día un líder preguntó su quería que orara por mí y yo dije que sí y acepté a Jesús.")</f>
        <v>Voy a la iglesia desde que estoy pequeña y en campamentos también, un día un líder preguntó su quería que orara por mí y yo dije que sí y acepté a Jesús.</v>
      </c>
      <c r="Q8" s="1" t="str">
        <f ca="1">IFERROR(__xludf.DUMMYFUNCTION("""COMPUTED_VALUE"""),"Quiero servir a Dios donde Él me mande.")</f>
        <v>Quiero servir a Dios donde Él me mande.</v>
      </c>
      <c r="R8" s="1" t="str">
        <f ca="1">IFERROR(__xludf.DUMMYFUNCTION("""COMPUTED_VALUE"""),"Si")</f>
        <v>Si</v>
      </c>
      <c r="S8" s="1" t="str">
        <f ca="1">IFERROR(__xludf.DUMMYFUNCTION("""COMPUTED_VALUE"""),"tennis, natación, crossfit")</f>
        <v>tennis, natación, crossfit</v>
      </c>
      <c r="T8" s="1" t="str">
        <f ca="1">IFERROR(__xludf.DUMMYFUNCTION("""COMPUTED_VALUE"""),"No")</f>
        <v>No</v>
      </c>
      <c r="U8" s="1"/>
      <c r="V8" s="1" t="str">
        <f ca="1">IFERROR(__xludf.DUMMYFUNCTION("""COMPUTED_VALUE"""),"el idioma español y cómo ser profesora")</f>
        <v>el idioma español y cómo ser profesora</v>
      </c>
      <c r="W8" s="1" t="str">
        <f ca="1">IFERROR(__xludf.DUMMYFUNCTION("""COMPUTED_VALUE"""),"me llevo bien con la gente, y tengo un diploma de responsabilidad con niños.")</f>
        <v>me llevo bien con la gente, y tengo un diploma de responsabilidad con niños.</v>
      </c>
      <c r="X8" s="1" t="str">
        <f ca="1">IFERROR(__xludf.DUMMYFUNCTION("""COMPUTED_VALUE"""),"A. Soy un discipulador activo, B. Me gusta animar a las personas, C. Suelo buscar que el trabajo se realice en equipo, D. Me gustan los deportes, E. Me gusta el trabajo con niños, H. Soy organizado (a), J. Me gusta la atención a las personas, N. Suelo lle"&amp;"var el liderazgo en un grupo, O. Puedo enseñar con facilidad")</f>
        <v>A. Soy un discipulador activo, B. Me gusta animar a las personas, C. Suelo buscar que el trabajo se realice en equipo, D. Me gustan los deportes, E. Me gusta el trabajo con niños, H. Soy organizado (a), J. Me gusta la atención a las personas, N. Suelo llevar el liderazgo en un grupo, O. Puedo enseñar con facilidad</v>
      </c>
      <c r="Y8" s="1" t="str">
        <f ca="1">IFERROR(__xludf.DUMMYFUNCTION("""COMPUTED_VALUE"""),"no, pero he servido el año pasado")</f>
        <v>no, pero he servido el año pasado</v>
      </c>
      <c r="Z8" s="1"/>
    </row>
    <row r="9" spans="1:26" x14ac:dyDescent="0.35">
      <c r="A9" s="2">
        <f ca="1">IFERROR(__xludf.DUMMYFUNCTION("""COMPUTED_VALUE"""),45740.7371643518)</f>
        <v>45740.737164351798</v>
      </c>
      <c r="B9" s="1"/>
      <c r="C9" s="1" t="str">
        <f ca="1">IFERROR(__xludf.DUMMYFUNCTION("""COMPUTED_VALUE"""),"Anna Sofia, Medina")</f>
        <v>Anna Sofia, Medina</v>
      </c>
      <c r="D9" s="1">
        <f ca="1">IFERROR(__xludf.DUMMYFUNCTION("""COMPUTED_VALUE"""),19)</f>
        <v>19</v>
      </c>
      <c r="E9" s="1" t="str">
        <f ca="1">IFERROR(__xludf.DUMMYFUNCTION("""COMPUTED_VALUE"""),"Mujer")</f>
        <v>Mujer</v>
      </c>
      <c r="F9" s="1" t="str">
        <f ca="1">IFERROR(__xludf.DUMMYFUNCTION("""COMPUTED_VALUE"""),"Queretaro, Mexico")</f>
        <v>Queretaro, Mexico</v>
      </c>
      <c r="G9" s="1" t="str">
        <f ca="1">IFERROR(__xludf.DUMMYFUNCTION("""COMPUTED_VALUE"""),"annasofm@gmail.com")</f>
        <v>annasofm@gmail.com</v>
      </c>
      <c r="H9" s="1">
        <f ca="1">IFERROR(__xludf.DUMMYFUNCTION("""COMPUTED_VALUE"""),524423391732)</f>
        <v>524423391732</v>
      </c>
      <c r="I9" s="1" t="str">
        <f ca="1">IFERROR(__xludf.DUMMYFUNCTION("""COMPUTED_VALUE"""),"Semana de niños y niñas (21-25) Julio")</f>
        <v>Semana de niños y niñas (21-25) Julio</v>
      </c>
      <c r="J9" s="1" t="str">
        <f ca="1">IFERROR(__xludf.DUMMYFUNCTION("""COMPUTED_VALUE"""),"You Version")</f>
        <v>You Version</v>
      </c>
      <c r="K9" s="1" t="str">
        <f ca="1">IFERROR(__xludf.DUMMYFUNCTION("""COMPUTED_VALUE"""),"El Sello")</f>
        <v>El Sello</v>
      </c>
      <c r="L9" s="1" t="str">
        <f ca="1">IFERROR(__xludf.DUMMYFUNCTION("""COMPUTED_VALUE"""),"Toño García")</f>
        <v>Toño García</v>
      </c>
      <c r="M9" s="1">
        <f ca="1">IFERROR(__xludf.DUMMYFUNCTION("""COMPUTED_VALUE"""),524427405161)</f>
        <v>524427405161</v>
      </c>
      <c r="N9" s="1" t="str">
        <f ca="1">IFERROR(__xludf.DUMMYFUNCTION("""COMPUTED_VALUE"""),"palabraespada@gmail.com")</f>
        <v>palabraespada@gmail.com</v>
      </c>
      <c r="O9" s="1" t="str">
        <f ca="1">IFERROR(__xludf.DUMMYFUNCTION("""COMPUTED_VALUE"""),"Alabanza")</f>
        <v>Alabanza</v>
      </c>
      <c r="P9" s="1" t="str">
        <f ca="1">IFERROR(__xludf.DUMMYFUNCTION("""COMPUTED_VALUE"""),"Desde que estoy chiquita voy a la iglesia. Pero hace unos años, comprendí que necesitaba el perdón de Dios y que Jesús era el único que podía darme vida verdadera. Decidí entregar mi vida a Él, y desde entonces mi vida ha cambiado por completo. Dios ha tr"&amp;"ansformado mi corazón y me ha dado paz a su lado.")</f>
        <v>Desde que estoy chiquita voy a la iglesia. Pero hace unos años, comprendí que necesitaba el perdón de Dios y que Jesús era el único que podía darme vida verdadera. Decidí entregar mi vida a Él, y desde entonces mi vida ha cambiado por completo. Dios ha transformado mi corazón y me ha dado paz a su lado.</v>
      </c>
      <c r="Q9" s="1" t="str">
        <f ca="1">IFERROR(__xludf.DUMMYFUNCTION("""COMPUTED_VALUE"""),"Porque es una oportunidad para que pueda servirle a Dios y a los demás. Poder reflejar el amor de Jesús y glorificar a Dios. De la misma manera quiero mostrarles a los niños el Dios tan grande y amoroso que tenemos.")</f>
        <v>Porque es una oportunidad para que pueda servirle a Dios y a los demás. Poder reflejar el amor de Jesús y glorificar a Dios. De la misma manera quiero mostrarles a los niños el Dios tan grande y amoroso que tenemos.</v>
      </c>
      <c r="R9" s="1" t="str">
        <f ca="1">IFERROR(__xludf.DUMMYFUNCTION("""COMPUTED_VALUE"""),"Si")</f>
        <v>Si</v>
      </c>
      <c r="S9" s="1" t="str">
        <f ca="1">IFERROR(__xludf.DUMMYFUNCTION("""COMPUTED_VALUE"""),"Pesas y cycling")</f>
        <v>Pesas y cycling</v>
      </c>
      <c r="T9" s="1" t="str">
        <f ca="1">IFERROR(__xludf.DUMMYFUNCTION("""COMPUTED_VALUE"""),"No")</f>
        <v>No</v>
      </c>
      <c r="U9" s="1"/>
      <c r="V9" s="1" t="str">
        <f ca="1">IFERROR(__xludf.DUMMYFUNCTION("""COMPUTED_VALUE"""),"Terminado la preparatoria.")</f>
        <v>Terminado la preparatoria.</v>
      </c>
      <c r="W9" s="1" t="str">
        <f ca="1">IFERROR(__xludf.DUMMYFUNCTION("""COMPUTED_VALUE"""),"Pintar, cantar, atletismo, soy muy empática.")</f>
        <v>Pintar, cantar, atletismo, soy muy empática.</v>
      </c>
      <c r="X9" s="1" t="str">
        <f ca="1">IFERROR(__xludf.DUMMYFUNCTION("""COMPUTED_VALUE"""),"A. Soy un discipulador activo, B. Me gusta animar a las personas, C. Suelo buscar que el trabajo se realice en equipo, D. Me gustan los deportes, E. Me gusta el trabajo con niños, H. Soy organizado (a), J. Me gusta la atención a las personas, K. Soy creat"&amp;"ivo (a), L. Soy bueno (a) en canto o algún instrumento, M. Soy bueno (a) con los números, N. Suelo llevar el liderazgo en un grupo, O. Puedo enseñar con facilidad")</f>
        <v>A. Soy un discipulador activo, B. Me gusta animar a las personas, C. Suelo buscar que el trabajo se realice en equipo, D. Me gustan los deportes, E. Me gusta el trabajo con niños, H. Soy organizado (a), J. Me gusta la atención a las personas, K. Soy creativo (a), L. Soy bueno (a) en canto o algún instrumento, M. Soy bueno (a) con los números, N. Suelo llevar el liderazgo en un grupo, O. Puedo enseñar con facilidad</v>
      </c>
      <c r="Y9" s="1" t="str">
        <f ca="1">IFERROR(__xludf.DUMMYFUNCTION("""COMPUTED_VALUE"""),"Ninguna")</f>
        <v>Ninguna</v>
      </c>
      <c r="Z9" s="1"/>
    </row>
    <row r="10" spans="1:26" x14ac:dyDescent="0.35">
      <c r="A10" s="2">
        <f ca="1">IFERROR(__xludf.DUMMYFUNCTION("""COMPUTED_VALUE"""),45741.9951736111)</f>
        <v>45741.995173611103</v>
      </c>
      <c r="B10" s="1"/>
      <c r="C10" s="1" t="str">
        <f ca="1">IFERROR(__xludf.DUMMYFUNCTION("""COMPUTED_VALUE"""),"Andrea, Saucedo Vázquez")</f>
        <v>Andrea, Saucedo Vázquez</v>
      </c>
      <c r="D10" s="1">
        <f ca="1">IFERROR(__xludf.DUMMYFUNCTION("""COMPUTED_VALUE"""),17)</f>
        <v>17</v>
      </c>
      <c r="E10" s="1" t="str">
        <f ca="1">IFERROR(__xludf.DUMMYFUNCTION("""COMPUTED_VALUE"""),"Mujer")</f>
        <v>Mujer</v>
      </c>
      <c r="F10" s="1" t="str">
        <f ca="1">IFERROR(__xludf.DUMMYFUNCTION("""COMPUTED_VALUE"""),"Queretaro, Mexico")</f>
        <v>Queretaro, Mexico</v>
      </c>
      <c r="G10" s="1" t="str">
        <f ca="1">IFERROR(__xludf.DUMMYFUNCTION("""COMPUTED_VALUE"""),"andreasaucedovazquez2007@gmail.com")</f>
        <v>andreasaucedovazquez2007@gmail.com</v>
      </c>
      <c r="H10" s="1">
        <f ca="1">IFERROR(__xludf.DUMMYFUNCTION("""COMPUTED_VALUE"""),525535230970)</f>
        <v>525535230970</v>
      </c>
      <c r="I10" s="1" t="str">
        <f ca="1">IFERROR(__xludf.DUMMYFUNCTION("""COMPUTED_VALUE"""),"Toda la temporada (07 de Julio al 16 de agosto)")</f>
        <v>Toda la temporada (07 de Julio al 16 de agosto)</v>
      </c>
      <c r="J10" s="1" t="str">
        <f ca="1">IFERROR(__xludf.DUMMYFUNCTION("""COMPUTED_VALUE"""),"La biblia")</f>
        <v>La biblia</v>
      </c>
      <c r="K10" s="1" t="str">
        <f ca="1">IFERROR(__xludf.DUMMYFUNCTION("""COMPUTED_VALUE"""),"UNIFAM Querétaro")</f>
        <v>UNIFAM Querétaro</v>
      </c>
      <c r="L10" s="1" t="str">
        <f ca="1">IFERROR(__xludf.DUMMYFUNCTION("""COMPUTED_VALUE"""),"Pastor: Alexis Saucedo")</f>
        <v>Pastor: Alexis Saucedo</v>
      </c>
      <c r="M10" s="1">
        <f ca="1">IFERROR(__xludf.DUMMYFUNCTION("""COMPUTED_VALUE"""),525510455718)</f>
        <v>525510455718</v>
      </c>
      <c r="N10" s="1" t="str">
        <f ca="1">IFERROR(__xludf.DUMMYFUNCTION("""COMPUTED_VALUE"""),"alexissaucedoduran@gmail.com")</f>
        <v>alexissaucedoduran@gmail.com</v>
      </c>
      <c r="O10" s="1" t="str">
        <f ca="1">IFERROR(__xludf.DUMMYFUNCTION("""COMPUTED_VALUE"""),"Ministerio infantil y los últimos años estuve en las escuelas bíblicas de verano organizando juegos")</f>
        <v>Ministerio infantil y los últimos años estuve en las escuelas bíblicas de verano organizando juegos</v>
      </c>
      <c r="P10" s="1" t="str">
        <f ca="1">IFERROR(__xludf.DUMMYFUNCTION("""COMPUTED_VALUE"""),"Soy hija de Pastor y por varios años viví ese: estar, pero no estar en la iglesia, iba y aprendía cosas, pero realmente nunca estuve enfocada en dedicarle tiempo o depositarme en Dios, en pandemia viví varias situaciones, entre ellas una operación de cade"&amp;"ra y rodillas que me hizo estar varios meses en fisios y tuve que aprender a caminar de nuevo, yo estaba enojada porque yo entrenaba varios deportes y sentía que todo iba ser distinto ya que mi doctor me dijo que no podía seguir más con los deportes de al"&amp;"to impacto, durante el proceso Dios me mostró que estaba mal enfocada y que mucho de mi tiempo era para cosas que yo quería y que no consultaba con él, eran decisiones que yo tomaba egoístas, hasta que entendí que no podía estar viviendo un cristianismo f"&amp;"also, ya que decía tener una relación con Dios más nunca le consultaba del todo, aprendí que tengo que depositarle mi vida al 100% y confiar en que si paso por situaciones complicadas, es por algo, hoy en día entiendo el mensaje de salvación y acepté a Cr"&amp;"isto en mi corazón y me bauticé en Diciembre de 2021, agradezco mucho que Dios me haya frenado a seguir con mi sueño de ser deportista profesional ya que en ese sueño Dios no estaba presente y estoy muy segura que los planes que él tiene para mí son mucho"&amp;" más grandes de los que yo tenía antes y sé que parte de ese plan es para servirle y ser parte del cuerpo de Cristo que es la Iglesia. (Gracias a Dios actualmente estoy al 100% ya estoy bien físicamente, mi médico me dio de alta desde 2023)")</f>
        <v>Soy hija de Pastor y por varios años viví ese: estar, pero no estar en la iglesia, iba y aprendía cosas, pero realmente nunca estuve enfocada en dedicarle tiempo o depositarme en Dios, en pandemia viví varias situaciones, entre ellas una operación de cadera y rodillas que me hizo estar varios meses en fisios y tuve que aprender a caminar de nuevo, yo estaba enojada porque yo entrenaba varios deportes y sentía que todo iba ser distinto ya que mi doctor me dijo que no podía seguir más con los deportes de alto impacto, durante el proceso Dios me mostró que estaba mal enfocada y que mucho de mi tiempo era para cosas que yo quería y que no consultaba con él, eran decisiones que yo tomaba egoístas, hasta que entendí que no podía estar viviendo un cristianismo falso, ya que decía tener una relación con Dios más nunca le consultaba del todo, aprendí que tengo que depositarle mi vida al 100% y confiar en que si paso por situaciones complicadas, es por algo, hoy en día entiendo el mensaje de salvación y acepté a Cristo en mi corazón y me bauticé en Diciembre de 2021, agradezco mucho que Dios me haya frenado a seguir con mi sueño de ser deportista profesional ya que en ese sueño Dios no estaba presente y estoy muy segura que los planes que él tiene para mí son mucho más grandes de los que yo tenía antes y sé que parte de ese plan es para servirle y ser parte del cuerpo de Cristo que es la Iglesia. (Gracias a Dios actualmente estoy al 100% ya estoy bien físicamente, mi médico me dio de alta desde 2023)</v>
      </c>
      <c r="Q10" s="1" t="str">
        <f ca="1">IFERROR(__xludf.DUMMYFUNCTION("""COMPUTED_VALUE"""),"El año pasado fui de campera y me quebrantó mucho el día Lunes que se compartió el evangelio, ver como servían todos los equipantes compartiendo con los camperos, me quebranté mucho al ver a todos esos jóvenes aceptando a Cristo y a todos esos equipantes "&amp;"hablando con ellos, y en ese momento Dios tocó mi corazón para poder yo algún día estar sirviendo como ellos y que mi vida sea para compartir con otros de su palabra, que él pueda usarme para ello.")</f>
        <v>El año pasado fui de campera y me quebrantó mucho el día Lunes que se compartió el evangelio, ver como servían todos los equipantes compartiendo con los camperos, me quebranté mucho al ver a todos esos jóvenes aceptando a Cristo y a todos esos equipantes hablando con ellos, y en ese momento Dios tocó mi corazón para poder yo algún día estar sirviendo como ellos y que mi vida sea para compartir con otros de su palabra, que él pueda usarme para ello.</v>
      </c>
      <c r="R10" s="1" t="str">
        <f ca="1">IFERROR(__xludf.DUMMYFUNCTION("""COMPUTED_VALUE"""),"Si")</f>
        <v>Si</v>
      </c>
      <c r="S10" s="1" t="str">
        <f ca="1">IFERROR(__xludf.DUMMYFUNCTION("""COMPUTED_VALUE"""),"Entreno Natación en equipo todos los días en las noches y Basketball en las mañanas")</f>
        <v>Entreno Natación en equipo todos los días en las noches y Basketball en las mañanas</v>
      </c>
      <c r="T10" s="1" t="str">
        <f ca="1">IFERROR(__xludf.DUMMYFUNCTION("""COMPUTED_VALUE"""),"Si")</f>
        <v>Si</v>
      </c>
      <c r="U10" s="1" t="str">
        <f ca="1">IFERROR(__xludf.DUMMYFUNCTION("""COMPUTED_VALUE"""),"Me defiendo en Piano pero no es mucho")</f>
        <v>Me defiendo en Piano pero no es mucho</v>
      </c>
      <c r="V10" s="1" t="str">
        <f ca="1">IFERROR(__xludf.DUMMYFUNCTION("""COMPUTED_VALUE"""),"En enero terminé la prepa y estoy esperando que me den el certificado")</f>
        <v>En enero terminé la prepa y estoy esperando que me den el certificado</v>
      </c>
      <c r="W10" s="1" t="str">
        <f ca="1">IFERROR(__xludf.DUMMYFUNCTION("""COMPUTED_VALUE"""),"Soy entrenadora de natación y aquafitness en la alberca zwemmen en la Universidad Marista de Querétaro")</f>
        <v>Soy entrenadora de natación y aquafitness en la alberca zwemmen en la Universidad Marista de Querétaro</v>
      </c>
      <c r="X10" s="1" t="str">
        <f ca="1">IFERROR(__xludf.DUMMYFUNCTION("""COMPUTED_VALUE"""),"A. Soy un discipulador activo, B. Me gusta animar a las personas, C. Suelo buscar que el trabajo se realice en equipo, D. Me gustan los deportes, E. Me gusta el trabajo con niños, I. Se me facilita el trabajo físico, J. Me gusta la atención a las personas"&amp;", K. Soy creativo (a), N. Suelo llevar el liderazgo en un grupo, O. Puedo enseñar con facilidad")</f>
        <v>A. Soy un discipulador activo, B. Me gusta animar a las personas, C. Suelo buscar que el trabajo se realice en equipo, D. Me gustan los deportes, E. Me gusta el trabajo con niños, I. Se me facilita el trabajo físico, J. Me gusta la atención a las personas, K. Soy creativo (a), N. Suelo llevar el liderazgo en un grupo, O. Puedo enseñar con facilidad</v>
      </c>
      <c r="Y10" s="1" t="str">
        <f ca="1">IFERROR(__xludf.DUMMYFUNCTION("""COMPUTED_VALUE"""),"Sí, en REINOS 2024")</f>
        <v>Sí, en REINOS 2024</v>
      </c>
      <c r="Z10" s="1"/>
    </row>
    <row r="11" spans="1:26" x14ac:dyDescent="0.35">
      <c r="A11" s="2">
        <f ca="1">IFERROR(__xludf.DUMMYFUNCTION("""COMPUTED_VALUE"""),45743.2135069444)</f>
        <v>45743.213506944398</v>
      </c>
      <c r="B11" s="1"/>
      <c r="C11" s="1" t="str">
        <f ca="1">IFERROR(__xludf.DUMMYFUNCTION("""COMPUTED_VALUE"""),"Marisol, Mora Pacheco")</f>
        <v>Marisol, Mora Pacheco</v>
      </c>
      <c r="D11" s="1">
        <f ca="1">IFERROR(__xludf.DUMMYFUNCTION("""COMPUTED_VALUE"""),29)</f>
        <v>29</v>
      </c>
      <c r="E11" s="1" t="str">
        <f ca="1">IFERROR(__xludf.DUMMYFUNCTION("""COMPUTED_VALUE"""),"Mujer")</f>
        <v>Mujer</v>
      </c>
      <c r="F11" s="1" t="str">
        <f ca="1">IFERROR(__xludf.DUMMYFUNCTION("""COMPUTED_VALUE"""),"Puebla, Mexico")</f>
        <v>Puebla, Mexico</v>
      </c>
      <c r="G11" s="1" t="str">
        <f ca="1">IFERROR(__xludf.DUMMYFUNCTION("""COMPUTED_VALUE"""),"mopac@live.com.mx")</f>
        <v>mopac@live.com.mx</v>
      </c>
      <c r="H11" s="1">
        <f ca="1">IFERROR(__xludf.DUMMYFUNCTION("""COMPUTED_VALUE"""),522225347639)</f>
        <v>522225347639</v>
      </c>
      <c r="I11" s="1" t="str">
        <f ca="1">IFERROR(__xludf.DUMMYFUNCTION("""COMPUTED_VALUE"""),"Semana de entrenamiento (07 - 13) Julio, Comunidad Jóvenes + 18 (14-19) Julio, Semana de niños y niñas (21-25) Julio, Jóvenes de 13 – 17 años / SEM1/ (28 Julio a 02 de agosto), Jóvenes de 13 – 17 años / SEM2/ (4 - 09 agosto)")</f>
        <v>Semana de entrenamiento (07 - 13) Julio, Comunidad Jóvenes + 18 (14-19) Julio, Semana de niños y niñas (21-25) Julio, Jóvenes de 13 – 17 años / SEM1/ (28 Julio a 02 de agosto), Jóvenes de 13 – 17 años / SEM2/ (4 - 09 agosto)</v>
      </c>
      <c r="J11" s="1" t="str">
        <f ca="1">IFERROR(__xludf.DUMMYFUNCTION("""COMPUTED_VALUE"""),"Ama a Dios grandemente, HS, You versión")</f>
        <v>Ama a Dios grandemente, HS, You versión</v>
      </c>
      <c r="K11" s="1" t="str">
        <f ca="1">IFERROR(__xludf.DUMMYFUNCTION("""COMPUTED_VALUE"""),"Iglesia Bíblica Roca Fuerte")</f>
        <v>Iglesia Bíblica Roca Fuerte</v>
      </c>
      <c r="L11" s="1" t="str">
        <f ca="1">IFERROR(__xludf.DUMMYFUNCTION("""COMPUTED_VALUE"""),"Alejandro Amador González")</f>
        <v>Alejandro Amador González</v>
      </c>
      <c r="M11" s="1">
        <f ca="1">IFERROR(__xludf.DUMMYFUNCTION("""COMPUTED_VALUE"""),522454509929)</f>
        <v>522454509929</v>
      </c>
      <c r="N11" s="1" t="str">
        <f ca="1">IFERROR(__xludf.DUMMYFUNCTION("""COMPUTED_VALUE"""),"amadorgon@hotmail.com")</f>
        <v>amadorgon@hotmail.com</v>
      </c>
      <c r="O11" s="1" t="str">
        <f ca="1">IFERROR(__xludf.DUMMYFUNCTION("""COMPUTED_VALUE"""),"Club bíblico, alabanza, ministerio de chicas, ministerio de la cárcel, club de niños")</f>
        <v>Club bíblico, alabanza, ministerio de chicas, ministerio de la cárcel, club de niños</v>
      </c>
      <c r="P11" s="1" t="str">
        <f ca="1">IFERROR(__xludf.DUMMYFUNCTION("""COMPUTED_VALUE"""),"Fui hallada por Dios a la edad de 12 años, conocí de Cristo cuando tenía 5 años, mi familia y yo nunca habíamos escuchado de un Dios tan personal y cercano, durante mi infancia pude escuchar acerca de Dios, me gustaba asistir a la escuela dominical donde "&amp;"me hablaban de lo que Dios hacía, me impactaba como es que Dios podía hacer todo eso, fue durante mi adolescencia que me di cuenta que conocía al Dios de la biblia pero no conocía al Dios de mi vida, mi vida tenía un gran vacío ya que durante ese tiempo p"&amp;"asaba por circunstancias difíciles en mi familia y estando consciente de algunas otras que había atravesado en mi infancia, mi corazón cada vez más se entristecía tratando de encontrar una esperanza, fue cuando llegó el ministerio de clubes bíblicos a mí "&amp;"iglesia y Dios utilizó una persona que me confrontó y me hizo ver que no bastaba con conocer a Dios y lo que hizo, que era necesario entregarle mi vida para que él comenzara a escribir una historia en mí llena de propósitos eternos, que no bastaba servir "&amp;"a Dios si mi corazón estaba lejos de Él, mi corazón pudo creer de una forma tan real en Cristo. Porque Cristo resucitó de entre los muertos, yo tengo esperanza. No tengo que vivir como quien ha sido condenado por la eternidad. ¡Cristo está vivo! Y eso lo "&amp;"cambia todo. Ahora sé que mi vida está en sus manos, prometiéndome un camino que si bien no ha sido fácil a estado a mi lado dándome salvación y esperanza.")</f>
        <v>Fui hallada por Dios a la edad de 12 años, conocí de Cristo cuando tenía 5 años, mi familia y yo nunca habíamos escuchado de un Dios tan personal y cercano, durante mi infancia pude escuchar acerca de Dios, me gustaba asistir a la escuela dominical donde me hablaban de lo que Dios hacía, me impactaba como es que Dios podía hacer todo eso, fue durante mi adolescencia que me di cuenta que conocía al Dios de la biblia pero no conocía al Dios de mi vida, mi vida tenía un gran vacío ya que durante ese tiempo pasaba por circunstancias difíciles en mi familia y estando consciente de algunas otras que había atravesado en mi infancia, mi corazón cada vez más se entristecía tratando de encontrar una esperanza, fue cuando llegó el ministerio de clubes bíblicos a mí iglesia y Dios utilizó una persona que me confrontó y me hizo ver que no bastaba con conocer a Dios y lo que hizo, que era necesario entregarle mi vida para que él comenzara a escribir una historia en mí llena de propósitos eternos, que no bastaba servir a Dios si mi corazón estaba lejos de Él, mi corazón pudo creer de una forma tan real en Cristo. Porque Cristo resucitó de entre los muertos, yo tengo esperanza. No tengo que vivir como quien ha sido condenado por la eternidad. ¡Cristo está vivo! Y eso lo cambia todo. Ahora sé que mi vida está en sus manos, prometiéndome un camino que si bien no ha sido fácil a estado a mi lado dándome salvación y esperanza.</v>
      </c>
      <c r="Q11" s="1" t="str">
        <f ca="1">IFERROR(__xludf.DUMMYFUNCTION("""COMPUTED_VALUE"""),"El año pasado estuve como equipante, me dejó asombrada como es que Dios puede usarnos y las lecciones que nos puede dar cuando tenemos un panorama más amplio de lo que sucede con la juventud el día de hoy, mi corazón  se conmueve al ver la gran necesidad "&amp;"que la juventud y también la niñez tiene de Dios y eso me motiva el saber que mi labor porque es a Cristo a quien sirvo y debo amar lo que él ama y dar mi vida en servicio a los demás.")</f>
        <v>El año pasado estuve como equipante, me dejó asombrada como es que Dios puede usarnos y las lecciones que nos puede dar cuando tenemos un panorama más amplio de lo que sucede con la juventud el día de hoy, mi corazón  se conmueve al ver la gran necesidad que la juventud y también la niñez tiene de Dios y eso me motiva el saber que mi labor porque es a Cristo a quien sirvo y debo amar lo que él ama y dar mi vida en servicio a los demás.</v>
      </c>
      <c r="R11" s="1" t="str">
        <f ca="1">IFERROR(__xludf.DUMMYFUNCTION("""COMPUTED_VALUE"""),"Si")</f>
        <v>Si</v>
      </c>
      <c r="S11" s="1" t="str">
        <f ca="1">IFERROR(__xludf.DUMMYFUNCTION("""COMPUTED_VALUE"""),"Basketbal, futbol, voleibol, padel")</f>
        <v>Basketbal, futbol, voleibol, padel</v>
      </c>
      <c r="T11" s="1" t="str">
        <f ca="1">IFERROR(__xludf.DUMMYFUNCTION("""COMPUTED_VALUE"""),"Si")</f>
        <v>Si</v>
      </c>
      <c r="U11" s="1" t="str">
        <f ca="1">IFERROR(__xludf.DUMMYFUNCTION("""COMPUTED_VALUE"""),"Piano, guitarra, ukelele, violín")</f>
        <v>Piano, guitarra, ukelele, violín</v>
      </c>
      <c r="V11" s="1" t="str">
        <f ca="1">IFERROR(__xludf.DUMMYFUNCTION("""COMPUTED_VALUE"""),"Urbanismo y diseño, trabajo ejerciendo mi carrera en la plantación de ciudades, diseñando espacios públicos para que todas las personas encuentren espacios accesibles en las zonas donde realizamos los análisis para la intervención de dichos espacios.")</f>
        <v>Urbanismo y diseño, trabajo ejerciendo mi carrera en la plantación de ciudades, diseñando espacios públicos para que todas las personas encuentren espacios accesibles en las zonas donde realizamos los análisis para la intervención de dichos espacios.</v>
      </c>
      <c r="W11" s="1" t="str">
        <f ca="1">IFERROR(__xludf.DUMMYFUNCTION("""COMPUTED_VALUE"""),"Comunicación, creatividad, relacionarme con las personas,trabajar en equipo, profesión: Lic. en urbanismo y diseño")</f>
        <v>Comunicación, creatividad, relacionarme con las personas,trabajar en equipo, profesión: Lic. en urbanismo y diseño</v>
      </c>
      <c r="X11" s="1" t="str">
        <f ca="1">IFERROR(__xludf.DUMMYFUNCTION("""COMPUTED_VALUE"""),"A. Soy un discipulador activo, B. Me gusta animar a las personas, C. Suelo buscar que el trabajo se realice en equipo, D. Me gustan los deportes, E. Me gusta el trabajo con niños, F. Soy eficiente en el trabajo con herramientas, equipos y maquinarias, H. "&amp;"Soy organizado (a), I. Se me facilita el trabajo físico, J. Me gusta la atención a las personas, K. Soy creativo (a), L. Soy bueno (a) en canto o algún instrumento, O. Puedo enseñar con facilidad")</f>
        <v>A. Soy un discipulador activo, B. Me gusta animar a las personas, C. Suelo buscar que el trabajo se realice en equipo, D. Me gustan los deportes, E. Me gusta el trabajo con niños, F. Soy eficiente en el trabajo con herramientas, equipos y maquinarias, H. Soy organizado (a), I. Se me facilita el trabajo físico, J. Me gusta la atención a las personas, K. Soy creativo (a), L. Soy bueno (a) en canto o algún instrumento, O. Puedo enseñar con facilidad</v>
      </c>
      <c r="Y11" s="1" t="str">
        <f ca="1">IFERROR(__xludf.DUMMYFUNCTION("""COMPUTED_VALUE"""),"2012,2015,2019")</f>
        <v>2012,2015,2019</v>
      </c>
      <c r="Z11" s="1"/>
    </row>
    <row r="12" spans="1:26" x14ac:dyDescent="0.35">
      <c r="A12" s="2">
        <f ca="1">IFERROR(__xludf.DUMMYFUNCTION("""COMPUTED_VALUE"""),45743.6201388888)</f>
        <v>45743.6201388888</v>
      </c>
      <c r="B12" s="1"/>
      <c r="C12" s="1" t="str">
        <f ca="1">IFERROR(__xludf.DUMMYFUNCTION("""COMPUTED_VALUE"""),"Janet, Florencio Cruz")</f>
        <v>Janet, Florencio Cruz</v>
      </c>
      <c r="D12" s="1">
        <f ca="1">IFERROR(__xludf.DUMMYFUNCTION("""COMPUTED_VALUE"""),16)</f>
        <v>16</v>
      </c>
      <c r="E12" s="1" t="str">
        <f ca="1">IFERROR(__xludf.DUMMYFUNCTION("""COMPUTED_VALUE"""),"Mujer")</f>
        <v>Mujer</v>
      </c>
      <c r="F12" s="1" t="str">
        <f ca="1">IFERROR(__xludf.DUMMYFUNCTION("""COMPUTED_VALUE"""),"Queretaro, Mexico")</f>
        <v>Queretaro, Mexico</v>
      </c>
      <c r="G12" s="1" t="str">
        <f ca="1">IFERROR(__xludf.DUMMYFUNCTION("""COMPUTED_VALUE"""),"florenciocruzjanet39@gmail.com")</f>
        <v>florenciocruzjanet39@gmail.com</v>
      </c>
      <c r="H12" s="1">
        <f ca="1">IFERROR(__xludf.DUMMYFUNCTION("""COMPUTED_VALUE"""),524411173038)</f>
        <v>524411173038</v>
      </c>
      <c r="I12" s="1" t="str">
        <f ca="1">IFERROR(__xludf.DUMMYFUNCTION("""COMPUTED_VALUE"""),"Semana de entrenamiento (07 - 13) Julio, Comunidad Jóvenes + 18 (14-19) Julio, Semana de niños y niñas (21-25) Julio, Jóvenes de 13 – 17 años / SEM2/ (4 - 09 agosto), Jóvenes de 13 – 17 años / SEM3/ (11 - 16 agosto)")</f>
        <v>Semana de entrenamiento (07 - 13) Julio, Comunidad Jóvenes + 18 (14-19) Julio, Semana de niños y niñas (21-25) Julio, Jóvenes de 13 – 17 años / SEM2/ (4 - 09 agosto), Jóvenes de 13 – 17 años / SEM3/ (11 - 16 agosto)</v>
      </c>
      <c r="J12" s="1" t="str">
        <f ca="1">IFERROR(__xludf.DUMMYFUNCTION("""COMPUTED_VALUE"""),"No uso")</f>
        <v>No uso</v>
      </c>
      <c r="K12" s="1" t="str">
        <f ca="1">IFERROR(__xludf.DUMMYFUNCTION("""COMPUTED_VALUE"""),"INPC ¨Dios con Nosotros")</f>
        <v>INPC ¨Dios con Nosotros</v>
      </c>
      <c r="L12" s="1" t="str">
        <f ca="1">IFERROR(__xludf.DUMMYFUNCTION("""COMPUTED_VALUE"""),"Rogelio Eugenio Morales")</f>
        <v>Rogelio Eugenio Morales</v>
      </c>
      <c r="M12" s="1">
        <f ca="1">IFERROR(__xludf.DUMMYFUNCTION("""COMPUTED_VALUE"""),527712637422)</f>
        <v>527712637422</v>
      </c>
      <c r="N12" s="1" t="str">
        <f ca="1">IFERROR(__xludf.DUMMYFUNCTION("""COMPUTED_VALUE"""),"royer725@hotmail.com")</f>
        <v>royer725@hotmail.com</v>
      </c>
      <c r="O12" s="1" t="str">
        <f ca="1">IFERROR(__xludf.DUMMYFUNCTION("""COMPUTED_VALUE"""),"Estoy en el coro de mi iglesia y soy tesorera de mi grupo de jovenes")</f>
        <v>Estoy en el coro de mi iglesia y soy tesorera de mi grupo de jovenes</v>
      </c>
      <c r="P12" s="1" t="str">
        <f ca="1">IFERROR(__xludf.DUMMYFUNCTION("""COMPUTED_VALUE"""),"En junio del 2020 el Señor me rescato de mi pecado, estaba acostada en mi cuarto y me sentía muy angustiada, en medio de esa angustia me di cuenta que a pesar de nacer en una familia cristiana e ir todos los domingos al templo nunca había reconocido a Dio"&amp;"s como mi salvador y esa noche le dije a Dios que habitara en mi vida y corazón.")</f>
        <v>En junio del 2020 el Señor me rescato de mi pecado, estaba acostada en mi cuarto y me sentía muy angustiada, en medio de esa angustia me di cuenta que a pesar de nacer en una familia cristiana e ir todos los domingos al templo nunca había reconocido a Dios como mi salvador y esa noche le dije a Dios que habitara en mi vida y corazón.</v>
      </c>
      <c r="Q12" s="1" t="str">
        <f ca="1">IFERROR(__xludf.DUMMYFUNCTION("""COMPUTED_VALUE"""),"Porque en mi periodo vacacional me gastaría aprovechar mi tiempo y esfuerzo en el servicio a Dios y poder tener una mejor comunión con el y se que esta experiencia será de bendición a mi vida")</f>
        <v>Porque en mi periodo vacacional me gastaría aprovechar mi tiempo y esfuerzo en el servicio a Dios y poder tener una mejor comunión con el y se que esta experiencia será de bendición a mi vida</v>
      </c>
      <c r="R12" s="1" t="str">
        <f ca="1">IFERROR(__xludf.DUMMYFUNCTION("""COMPUTED_VALUE"""),"No")</f>
        <v>No</v>
      </c>
      <c r="S12" s="1"/>
      <c r="T12" s="1" t="str">
        <f ca="1">IFERROR(__xludf.DUMMYFUNCTION("""COMPUTED_VALUE"""),"No")</f>
        <v>No</v>
      </c>
      <c r="U12" s="1"/>
      <c r="V12" s="1" t="str">
        <f ca="1">IFERROR(__xludf.DUMMYFUNCTION("""COMPUTED_VALUE"""),"Estoy estudiando la preparatoria en el sistema A.C.E, en la escuela Palabra de Vida")</f>
        <v>Estoy estudiando la preparatoria en el sistema A.C.E, en la escuela Palabra de Vida</v>
      </c>
      <c r="W12" s="1" t="str">
        <f ca="1">IFERROR(__xludf.DUMMYFUNCTION("""COMPUTED_VALUE"""),"Puedo pintar, cocinar y mas o menos cantar")</f>
        <v>Puedo pintar, cocinar y mas o menos cantar</v>
      </c>
      <c r="X12" s="1" t="str">
        <f ca="1">IFERROR(__xludf.DUMMYFUNCTION("""COMPUTED_VALUE"""),"B. Me gusta animar a las personas, E. Me gusta el trabajo con niños, J. Me gusta la atención a las personas, L. Soy bueno (a) en canto o algún instrumento, O. Puedo enseñar con facilidad")</f>
        <v>B. Me gusta animar a las personas, E. Me gusta el trabajo con niños, J. Me gusta la atención a las personas, L. Soy bueno (a) en canto o algún instrumento, O. Puedo enseñar con facilidad</v>
      </c>
      <c r="Y12" s="1" t="str">
        <f ca="1">IFERROR(__xludf.DUMMYFUNCTION("""COMPUTED_VALUE"""),"¨Si, en la semana de niños en 2015")</f>
        <v>¨Si, en la semana de niños en 2015</v>
      </c>
      <c r="Z12" s="1"/>
    </row>
    <row r="13" spans="1:26" x14ac:dyDescent="0.35">
      <c r="A13" s="2">
        <f ca="1">IFERROR(__xludf.DUMMYFUNCTION("""COMPUTED_VALUE"""),45744.4287731481)</f>
        <v>45744.428773148102</v>
      </c>
      <c r="B13" s="1"/>
      <c r="C13" s="1" t="str">
        <f ca="1">IFERROR(__xludf.DUMMYFUNCTION("""COMPUTED_VALUE"""),"Mariel Europa, Jaime Tobón")</f>
        <v>Mariel Europa, Jaime Tobón</v>
      </c>
      <c r="D13" s="1">
        <f ca="1">IFERROR(__xludf.DUMMYFUNCTION("""COMPUTED_VALUE"""),23)</f>
        <v>23</v>
      </c>
      <c r="E13" s="1" t="str">
        <f ca="1">IFERROR(__xludf.DUMMYFUNCTION("""COMPUTED_VALUE"""),"Mujer")</f>
        <v>Mujer</v>
      </c>
      <c r="F13" s="1" t="str">
        <f ca="1">IFERROR(__xludf.DUMMYFUNCTION("""COMPUTED_VALUE"""),"Queretaro, Mexico")</f>
        <v>Queretaro, Mexico</v>
      </c>
      <c r="G13" s="1" t="str">
        <f ca="1">IFERROR(__xludf.DUMMYFUNCTION("""COMPUTED_VALUE"""),"europa.jaime.t@gmail.com")</f>
        <v>europa.jaime.t@gmail.com</v>
      </c>
      <c r="H13" s="1">
        <f ca="1">IFERROR(__xludf.DUMMYFUNCTION("""COMPUTED_VALUE"""),524422020111)</f>
        <v>524422020111</v>
      </c>
      <c r="I13" s="1" t="str">
        <f ca="1">IFERROR(__xludf.DUMMYFUNCTION("""COMPUTED_VALUE"""),"Toda la temporada (07 de Julio al 16 de agosto)")</f>
        <v>Toda la temporada (07 de Julio al 16 de agosto)</v>
      </c>
      <c r="J13" s="1" t="str">
        <f ca="1">IFERROR(__xludf.DUMMYFUNCTION("""COMPUTED_VALUE"""),"Nuestro Pan Diario - Mujeres")</f>
        <v>Nuestro Pan Diario - Mujeres</v>
      </c>
      <c r="K13" s="1" t="str">
        <f ca="1">IFERROR(__xludf.DUMMYFUNCTION("""COMPUTED_VALUE"""),"Conexión Vertical")</f>
        <v>Conexión Vertical</v>
      </c>
      <c r="L13" s="1" t="str">
        <f ca="1">IFERROR(__xludf.DUMMYFUNCTION("""COMPUTED_VALUE"""),"Marcelo Jorquera")</f>
        <v>Marcelo Jorquera</v>
      </c>
      <c r="M13" s="1">
        <f ca="1">IFERROR(__xludf.DUMMYFUNCTION("""COMPUTED_VALUE"""),524411000876)</f>
        <v>524411000876</v>
      </c>
      <c r="N13" s="1" t="str">
        <f ca="1">IFERROR(__xludf.DUMMYFUNCTION("""COMPUTED_VALUE"""),"mdjorquerap@gmail.com")</f>
        <v>mdjorquerap@gmail.com</v>
      </c>
      <c r="O13" s="1" t="str">
        <f ca="1">IFERROR(__xludf.DUMMYFUNCTION("""COMPUTED_VALUE"""),"Jóvenes")</f>
        <v>Jóvenes</v>
      </c>
      <c r="P13" s="1" t="str">
        <f ca="1">IFERROR(__xludf.DUMMYFUNCTION("""COMPUTED_VALUE"""),"Mi familia y yo somos de CDMX, mi familia en ese entonces era católica no practicante y bueno, la primera vez que me compartieron sobre el señor, fue en el 2015 a las afueras del funeral de mi abuela materna, obviamente estaba muy renuente a escuchar de r"&amp;"azones y en ese momento me niego a si quiera continuar la conversación sobre el tema de Jesús. Entre el 2015 y 2016 mi familia y yo nos mudamos a Qro y por cosas de la vida, mis padres se separan entonces llegamos a un estado donde no conociamos ni famili"&amp;"a ni amigos, solos completamente y mi mamá no bastando la pérdida reciente de su madre, queda sola con dos adolescentes. Para esto, una prima ya le había compartido a mamá sobre Jesús, ella tomando una decisión de salvación y resultando esto en llevarla a"&amp;" acercarse mas a Cristo, buscando así una iglesia. Encontramos una iglesia, comenzamls a asistir y nosotros no nos sentimos cómodos jamás y justo esta prima que nos había hablado del evangelio nos cuenta sobre Conexión Vertical y a mi me invita a campa. 
"&amp;"
En campa me veo sumamente confrontada por varias conversaciones y tomo una decisión, lo cual resulta en mi bautizo tiempo después.  No ha sido sencillo mi caminar con Cristo, pero he podido ver su misericordia y la gracia de la que tantos hablan, yo he l"&amp;"ogradl experimentarla al 100%")</f>
        <v>Mi familia y yo somos de CDMX, mi familia en ese entonces era católica no practicante y bueno, la primera vez que me compartieron sobre el señor, fue en el 2015 a las afueras del funeral de mi abuela materna, obviamente estaba muy renuente a escuchar de razones y en ese momento me niego a si quiera continuar la conversación sobre el tema de Jesús. Entre el 2015 y 2016 mi familia y yo nos mudamos a Qro y por cosas de la vida, mis padres se separan entonces llegamos a un estado donde no conociamos ni familia ni amigos, solos completamente y mi mamá no bastando la pérdida reciente de su madre, queda sola con dos adolescentes. Para esto, una prima ya le había compartido a mamá sobre Jesús, ella tomando una decisión de salvación y resultando esto en llevarla a acercarse mas a Cristo, buscando así una iglesia. Encontramos una iglesia, comenzamls a asistir y nosotros no nos sentimos cómodos jamás y justo esta prima que nos había hablado del evangelio nos cuenta sobre Conexión Vertical y a mi me invita a campa. 
En campa me veo sumamente confrontada por varias conversaciones y tomo una decisión, lo cual resulta en mi bautizo tiempo después.  No ha sido sencillo mi caminar con Cristo, pero he podido ver su misericordia y la gracia de la que tantos hablan, yo he logradl experimentarla al 100%</v>
      </c>
      <c r="Q13" s="1" t="str">
        <f ca="1">IFERROR(__xludf.DUMMYFUNCTION("""COMPUTED_VALUE"""),"Acabo de Titularme de mi carrera, estoy próxima (si Dios así lo quiere) a comprimeterme y terminando la temporada de campa voy a comenzar a buscar trabajo. Creo que es un buen momento en el que estoy, para poder apartar tiempo y servir a tiempo completo d"&amp;"urante un mes y cachito.")</f>
        <v>Acabo de Titularme de mi carrera, estoy próxima (si Dios así lo quiere) a comprimeterme y terminando la temporada de campa voy a comenzar a buscar trabajo. Creo que es un buen momento en el que estoy, para poder apartar tiempo y servir a tiempo completo durante un mes y cachito.</v>
      </c>
      <c r="R13" s="1" t="str">
        <f ca="1">IFERROR(__xludf.DUMMYFUNCTION("""COMPUTED_VALUE"""),"No")</f>
        <v>No</v>
      </c>
      <c r="S13" s="1"/>
      <c r="T13" s="1" t="str">
        <f ca="1">IFERROR(__xludf.DUMMYFUNCTION("""COMPUTED_VALUE"""),"No")</f>
        <v>No</v>
      </c>
      <c r="U13" s="1"/>
      <c r="V13" s="1" t="str">
        <f ca="1">IFERROR(__xludf.DUMMYFUNCTION("""COMPUTED_VALUE"""),"Diseño y Comunicación Visual")</f>
        <v>Diseño y Comunicación Visual</v>
      </c>
      <c r="W13" s="1" t="str">
        <f ca="1">IFERROR(__xludf.DUMMYFUNCTION("""COMPUTED_VALUE"""),"Fotografía, diseño gráfico")</f>
        <v>Fotografía, diseño gráfico</v>
      </c>
      <c r="X13" s="1" t="str">
        <f ca="1">IFERROR(__xludf.DUMMYFUNCTION("""COMPUTED_VALUE"""),"B. Me gusta animar a las personas, C. Suelo buscar que el trabajo se realice en equipo, H. Soy organizado (a), J. Me gusta la atención a las personas, K. Soy creativo (a), N. Suelo llevar el liderazgo en un grupo")</f>
        <v>B. Me gusta animar a las personas, C. Suelo buscar que el trabajo se realice en equipo, H. Soy organizado (a), J. Me gusta la atención a las personas, K. Soy creativo (a), N. Suelo llevar el liderazgo en un grupo</v>
      </c>
      <c r="Y13" s="1" t="str">
        <f ca="1">IFERROR(__xludf.DUMMYFUNCTION("""COMPUTED_VALUE"""),"Desde el 2016")</f>
        <v>Desde el 2016</v>
      </c>
      <c r="Z13" s="1"/>
    </row>
    <row r="14" spans="1:26" x14ac:dyDescent="0.35">
      <c r="A14" s="2">
        <f ca="1">IFERROR(__xludf.DUMMYFUNCTION("""COMPUTED_VALUE"""),45744.5315856481)</f>
        <v>45744.531585648103</v>
      </c>
      <c r="B14" s="1"/>
      <c r="C14" s="1" t="str">
        <f ca="1">IFERROR(__xludf.DUMMYFUNCTION("""COMPUTED_VALUE"""),"Froylan, Gonzalez Torralba")</f>
        <v>Froylan, Gonzalez Torralba</v>
      </c>
      <c r="D14" s="1">
        <f ca="1">IFERROR(__xludf.DUMMYFUNCTION("""COMPUTED_VALUE"""),23)</f>
        <v>23</v>
      </c>
      <c r="E14" s="1" t="str">
        <f ca="1">IFERROR(__xludf.DUMMYFUNCTION("""COMPUTED_VALUE"""),"Hombre")</f>
        <v>Hombre</v>
      </c>
      <c r="F14" s="1" t="str">
        <f ca="1">IFERROR(__xludf.DUMMYFUNCTION("""COMPUTED_VALUE"""),"Queretaro, Mexico")</f>
        <v>Queretaro, Mexico</v>
      </c>
      <c r="G14" s="1" t="str">
        <f ca="1">IFERROR(__xludf.DUMMYFUNCTION("""COMPUTED_VALUE"""),"fgonzalez63@alumnos.uaq.mx")</f>
        <v>fgonzalez63@alumnos.uaq.mx</v>
      </c>
      <c r="H14" s="1">
        <f ca="1">IFERROR(__xludf.DUMMYFUNCTION("""COMPUTED_VALUE"""),524621474659)</f>
        <v>524621474659</v>
      </c>
      <c r="I14" s="1" t="str">
        <f ca="1">IFERROR(__xludf.DUMMYFUNCTION("""COMPUTED_VALUE"""),"Toda la temporada (07 de Julio al 16 de agosto)")</f>
        <v>Toda la temporada (07 de Julio al 16 de agosto)</v>
      </c>
      <c r="J14" s="1" t="str">
        <f ca="1">IFERROR(__xludf.DUMMYFUNCTION("""COMPUTED_VALUE"""),"Proyecto Biblia| Evangelios")</f>
        <v>Proyecto Biblia| Evangelios</v>
      </c>
      <c r="K14" s="1" t="str">
        <f ca="1">IFERROR(__xludf.DUMMYFUNCTION("""COMPUTED_VALUE"""),"Conexión Vertical")</f>
        <v>Conexión Vertical</v>
      </c>
      <c r="L14" s="1" t="str">
        <f ca="1">IFERROR(__xludf.DUMMYFUNCTION("""COMPUTED_VALUE"""),"Marcelo Jorquera")</f>
        <v>Marcelo Jorquera</v>
      </c>
      <c r="M14" s="1">
        <f ca="1">IFERROR(__xludf.DUMMYFUNCTION("""COMPUTED_VALUE"""),524411000876)</f>
        <v>524411000876</v>
      </c>
      <c r="N14" s="1" t="str">
        <f ca="1">IFERROR(__xludf.DUMMYFUNCTION("""COMPUTED_VALUE"""),"mdjorquerap@gmail.com")</f>
        <v>mdjorquerap@gmail.com</v>
      </c>
      <c r="O14" s="1" t="str">
        <f ca="1">IFERROR(__xludf.DUMMYFUNCTION("""COMPUTED_VALUE"""),"Ministerio de jóvenes y cafetería")</f>
        <v>Ministerio de jóvenes y cafetería</v>
      </c>
      <c r="P14" s="1" t="str">
        <f ca="1">IFERROR(__xludf.DUMMYFUNCTION("""COMPUTED_VALUE"""),"Nací en una familia no creyente, y pasé por muchas dificultades, como el fallecimiento por Cáncer de mi madre, la ruptura de mi familia, y la soledad de estar viviendo y estudiando solo en otro estado de la republica, en esta temporada de mucho odio, tris"&amp;"teza y otros sentimientos, conozco a mi actual novia, que es la persona que me enseña un amor muy diferente, yo empiezo a conocer más de Dios y al asistir a un campamento de aquí de Bernal, me doy cuenta en el peso del evangelio y de cómo Dios mostró el m"&amp;"ayor acto de amor que alguien ha tenido por mi al entregar a su único hijo por el perdón de mis pecados.")</f>
        <v>Nací en una familia no creyente, y pasé por muchas dificultades, como el fallecimiento por Cáncer de mi madre, la ruptura de mi familia, y la soledad de estar viviendo y estudiando solo en otro estado de la republica, en esta temporada de mucho odio, tristeza y otros sentimientos, conozco a mi actual novia, que es la persona que me enseña un amor muy diferente, yo empiezo a conocer más de Dios y al asistir a un campamento de aquí de Bernal, me doy cuenta en el peso del evangelio y de cómo Dios mostró el mayor acto de amor que alguien ha tenido por mi al entregar a su único hijo por el perdón de mis pecados.</v>
      </c>
      <c r="Q14" s="1" t="str">
        <f ca="1">IFERROR(__xludf.DUMMYFUNCTION("""COMPUTED_VALUE"""),"Me encantó el campamento que asistí, fueron mucho de bendición y me gustaría poder ser de bendición y herramienta de Dios para seguir compartiendo de su palabra y sus cualidades, tal vez encontrar a chicos que se encuentren en la posición donde yo estuve "&amp;"y poderlos ayudar")</f>
        <v>Me encantó el campamento que asistí, fueron mucho de bendición y me gustaría poder ser de bendición y herramienta de Dios para seguir compartiendo de su palabra y sus cualidades, tal vez encontrar a chicos que se encuentren en la posición donde yo estuve y poderlos ayudar</v>
      </c>
      <c r="R14" s="1" t="str">
        <f ca="1">IFERROR(__xludf.DUMMYFUNCTION("""COMPUTED_VALUE"""),"Si")</f>
        <v>Si</v>
      </c>
      <c r="S14" s="1" t="str">
        <f ca="1">IFERROR(__xludf.DUMMYFUNCTION("""COMPUTED_VALUE"""),"Muay thai, gym, soccer")</f>
        <v>Muay thai, gym, soccer</v>
      </c>
      <c r="T14" s="1" t="str">
        <f ca="1">IFERROR(__xludf.DUMMYFUNCTION("""COMPUTED_VALUE"""),"No")</f>
        <v>No</v>
      </c>
      <c r="U14" s="1"/>
      <c r="V14" s="1" t="str">
        <f ca="1">IFERROR(__xludf.DUMMYFUNCTION("""COMPUTED_VALUE"""),"Ingeniería en nanotecnología, mucha química, física, biología.")</f>
        <v>Ingeniería en nanotecnología, mucha química, física, biología.</v>
      </c>
      <c r="W14" s="1" t="str">
        <f ca="1">IFERROR(__xludf.DUMMYFUNCTION("""COMPUTED_VALUE"""),"Albañilería, carpitenria, soldadura un poco, uso de programas de analizo de datos como Excel, Origin, etc.")</f>
        <v>Albañilería, carpitenria, soldadura un poco, uso de programas de analizo de datos como Excel, Origin, etc.</v>
      </c>
      <c r="X14" s="1" t="str">
        <f ca="1">IFERROR(__xludf.DUMMYFUNCTION("""COMPUTED_VALUE"""),"B. Me gusta animar a las personas, C. Suelo buscar que el trabajo se realice en equipo, D. Me gustan los deportes, E. Me gusta el trabajo con niños, H. Soy organizado (a), I. Se me facilita el trabajo físico, J. Me gusta la atención a las personas, K. Soy"&amp;" creativo (a), M. Soy bueno (a) con los números, O. Puedo enseñar con facilidad")</f>
        <v>B. Me gusta animar a las personas, C. Suelo buscar que el trabajo se realice en equipo, D. Me gustan los deportes, E. Me gusta el trabajo con niños, H. Soy organizado (a), I. Se me facilita el trabajo físico, J. Me gusta la atención a las personas, K. Soy creativo (a), M. Soy bueno (a) con los números, O. Puedo enseñar con facilidad</v>
      </c>
      <c r="Y14" s="1" t="str">
        <f ca="1">IFERROR(__xludf.DUMMYFUNCTION("""COMPUTED_VALUE"""),"Fui campero en el 2024")</f>
        <v>Fui campero en el 2024</v>
      </c>
      <c r="Z14" s="1"/>
    </row>
    <row r="15" spans="1:26" x14ac:dyDescent="0.35">
      <c r="A15" s="2">
        <f ca="1">IFERROR(__xludf.DUMMYFUNCTION("""COMPUTED_VALUE"""),45746.6943634259)</f>
        <v>45746.694363425901</v>
      </c>
      <c r="B15" s="1"/>
      <c r="C15" s="1" t="str">
        <f ca="1">IFERROR(__xludf.DUMMYFUNCTION("""COMPUTED_VALUE"""),"Valeria, Gonzalez Islas")</f>
        <v>Valeria, Gonzalez Islas</v>
      </c>
      <c r="D15" s="1">
        <f ca="1">IFERROR(__xludf.DUMMYFUNCTION("""COMPUTED_VALUE"""),22)</f>
        <v>22</v>
      </c>
      <c r="E15" s="1" t="str">
        <f ca="1">IFERROR(__xludf.DUMMYFUNCTION("""COMPUTED_VALUE"""),"Mujer")</f>
        <v>Mujer</v>
      </c>
      <c r="F15" s="1" t="str">
        <f ca="1">IFERROR(__xludf.DUMMYFUNCTION("""COMPUTED_VALUE"""),"Mexico City, Mexico")</f>
        <v>Mexico City, Mexico</v>
      </c>
      <c r="G15" s="1" t="str">
        <f ca="1">IFERROR(__xludf.DUMMYFUNCTION("""COMPUTED_VALUE"""),"valeglezz06@gmail.com")</f>
        <v>valeglezz06@gmail.com</v>
      </c>
      <c r="H15" s="1">
        <f ca="1">IFERROR(__xludf.DUMMYFUNCTION("""COMPUTED_VALUE"""),525647892628)</f>
        <v>525647892628</v>
      </c>
      <c r="I15" s="1" t="str">
        <f ca="1">IFERROR(__xludf.DUMMYFUNCTION("""COMPUTED_VALUE"""),"Toda la temporada (07 de Julio al 16 de agosto)")</f>
        <v>Toda la temporada (07 de Julio al 16 de agosto)</v>
      </c>
      <c r="J15" s="1" t="str">
        <f ca="1">IFERROR(__xludf.DUMMYFUNCTION("""COMPUTED_VALUE"""),"El que trae la biblia electrónica")</f>
        <v>El que trae la biblia electrónica</v>
      </c>
      <c r="K15" s="1" t="str">
        <f ca="1">IFERROR(__xludf.DUMMYFUNCTION("""COMPUTED_VALUE"""),"La forestal (Del Bosque)")</f>
        <v>La forestal (Del Bosque)</v>
      </c>
      <c r="L15" s="1" t="str">
        <f ca="1">IFERROR(__xludf.DUMMYFUNCTION("""COMPUTED_VALUE"""),"Ciro Pérez Rojas")</f>
        <v>Ciro Pérez Rojas</v>
      </c>
      <c r="M15" s="1">
        <f ca="1">IFERROR(__xludf.DUMMYFUNCTION("""COMPUTED_VALUE"""),525534091509)</f>
        <v>525534091509</v>
      </c>
      <c r="N15" s="1" t="str">
        <f ca="1">IFERROR(__xludf.DUMMYFUNCTION("""COMPUTED_VALUE"""),"perezrojasciro7@gmail.com")</f>
        <v>perezrojasciro7@gmail.com</v>
      </c>
      <c r="O15" s="1" t="str">
        <f ca="1">IFERROR(__xludf.DUMMYFUNCTION("""COMPUTED_VALUE"""),"Ayudante en general (en lo que se necesita)")</f>
        <v>Ayudante en general (en lo que se necesita)</v>
      </c>
      <c r="P15" s="1" t="str">
        <f ca="1">IFERROR(__xludf.DUMMYFUNCTION("""COMPUTED_VALUE"""),"Mi familia conoció del señor cuando yo tenía 7 años en una obra del día del niñ que presentaron en el deportivo, desde ahí mi familia empezó asistir a la iglesia y conforme iba creciendo iba entendiendo el señor Jesús murió por nosotros y ala edad de 12-1"&amp;"3 años acepte a cristo en mi corazón.")</f>
        <v>Mi familia conoció del señor cuando yo tenía 7 años en una obra del día del niñ que presentaron en el deportivo, desde ahí mi familia empezó asistir a la iglesia y conforme iba creciendo iba entendiendo el señor Jesús murió por nosotros y ala edad de 12-13 años acepte a cristo en mi corazón.</v>
      </c>
      <c r="Q15" s="1" t="str">
        <f ca="1">IFERROR(__xludf.DUMMYFUNCTION("""COMPUTED_VALUE"""),"He ido a los campamentos dese los 8 años hasta el campamento que fue en pandemia, años pasados he querido ir a servir al campamento pero no había podido ir")</f>
        <v>He ido a los campamentos dese los 8 años hasta el campamento que fue en pandemia, años pasados he querido ir a servir al campamento pero no había podido ir</v>
      </c>
      <c r="R15" s="1" t="str">
        <f ca="1">IFERROR(__xludf.DUMMYFUNCTION("""COMPUTED_VALUE"""),"No")</f>
        <v>No</v>
      </c>
      <c r="S15" s="1"/>
      <c r="T15" s="1" t="str">
        <f ca="1">IFERROR(__xludf.DUMMYFUNCTION("""COMPUTED_VALUE"""),"No")</f>
        <v>No</v>
      </c>
      <c r="U15" s="1"/>
      <c r="V15" s="1" t="str">
        <f ca="1">IFERROR(__xludf.DUMMYFUNCTION("""COMPUTED_VALUE"""),"Me especialice en lo de belleza en general")</f>
        <v>Me especialice en lo de belleza en general</v>
      </c>
      <c r="W15" s="1" t="str">
        <f ca="1">IFERROR(__xludf.DUMMYFUNCTION("""COMPUTED_VALUE"""),"Maquillaje, micropigmentación, uñas acrílicas")</f>
        <v>Maquillaje, micropigmentación, uñas acrílicas</v>
      </c>
      <c r="X15" s="1" t="str">
        <f ca="1">IFERROR(__xludf.DUMMYFUNCTION("""COMPUTED_VALUE"""),"B. Me gusta animar a las personas, C. Suelo buscar que el trabajo se realice en equipo, E. Me gusta el trabajo con niños, I. Se me facilita el trabajo físico, K. Soy creativo (a)")</f>
        <v>B. Me gusta animar a las personas, C. Suelo buscar que el trabajo se realice en equipo, E. Me gusta el trabajo con niños, I. Se me facilita el trabajo físico, K. Soy creativo (a)</v>
      </c>
      <c r="Y15" s="1" t="str">
        <f ca="1">IFERROR(__xludf.DUMMYFUNCTION("""COMPUTED_VALUE"""),"Desde los 8 hasta el año 2019")</f>
        <v>Desde los 8 hasta el año 2019</v>
      </c>
      <c r="Z15" s="1"/>
    </row>
    <row r="16" spans="1:26" x14ac:dyDescent="0.35">
      <c r="A16" s="2">
        <f ca="1">IFERROR(__xludf.DUMMYFUNCTION("""COMPUTED_VALUE"""),45747.5584027777)</f>
        <v>45747.5584027777</v>
      </c>
      <c r="B16" s="1"/>
      <c r="C16" s="1" t="str">
        <f ca="1">IFERROR(__xludf.DUMMYFUNCTION("""COMPUTED_VALUE"""),"Adriana, Esquivel Flores")</f>
        <v>Adriana, Esquivel Flores</v>
      </c>
      <c r="D16" s="1">
        <f ca="1">IFERROR(__xludf.DUMMYFUNCTION("""COMPUTED_VALUE"""),18)</f>
        <v>18</v>
      </c>
      <c r="E16" s="1" t="str">
        <f ca="1">IFERROR(__xludf.DUMMYFUNCTION("""COMPUTED_VALUE"""),"Mujer")</f>
        <v>Mujer</v>
      </c>
      <c r="F16" s="1" t="str">
        <f ca="1">IFERROR(__xludf.DUMMYFUNCTION("""COMPUTED_VALUE"""),"Queretaro, Mexico")</f>
        <v>Queretaro, Mexico</v>
      </c>
      <c r="G16" s="1" t="str">
        <f ca="1">IFERROR(__xludf.DUMMYFUNCTION("""COMPUTED_VALUE"""),"phoebeesquivel06@gmail.com")</f>
        <v>phoebeesquivel06@gmail.com</v>
      </c>
      <c r="H16" s="1">
        <f ca="1">IFERROR(__xludf.DUMMYFUNCTION("""COMPUTED_VALUE"""),526241572210)</f>
        <v>526241572210</v>
      </c>
      <c r="I16" s="1" t="str">
        <f ca="1">IFERROR(__xludf.DUMMYFUNCTION("""COMPUTED_VALUE"""),"Toda la temporada (07 de Julio al 16 de agosto)")</f>
        <v>Toda la temporada (07 de Julio al 16 de agosto)</v>
      </c>
      <c r="J16" s="1" t="str">
        <f ca="1">IFERROR(__xludf.DUMMYFUNCTION("""COMPUTED_VALUE"""),"Aplicación Glorify")</f>
        <v>Aplicación Glorify</v>
      </c>
      <c r="K16" s="1" t="str">
        <f ca="1">IFERROR(__xludf.DUMMYFUNCTION("""COMPUTED_VALUE"""),"Monte horeb")</f>
        <v>Monte horeb</v>
      </c>
      <c r="L16" s="1" t="str">
        <f ca="1">IFERROR(__xludf.DUMMYFUNCTION("""COMPUTED_VALUE"""),"Pastor Arturo Sota")</f>
        <v>Pastor Arturo Sota</v>
      </c>
      <c r="M16" s="1">
        <f ca="1">IFERROR(__xludf.DUMMYFUNCTION("""COMPUTED_VALUE"""),527714808284)</f>
        <v>527714808284</v>
      </c>
      <c r="N16" s="1" t="str">
        <f ca="1">IFERROR(__xludf.DUMMYFUNCTION("""COMPUTED_VALUE"""),"pastorarturosoto@gmail.com")</f>
        <v>pastorarturosoto@gmail.com</v>
      </c>
      <c r="O16" s="1" t="str">
        <f ca="1">IFERROR(__xludf.DUMMYFUNCTION("""COMPUTED_VALUE"""),"Cuándo era la escuelita bíblica ayudaba a poner los bailables y la activación física")</f>
        <v>Cuándo era la escuelita bíblica ayudaba a poner los bailables y la activación física</v>
      </c>
      <c r="P16" s="1" t="str">
        <f ca="1">IFERROR(__xludf.DUMMYFUNCTION("""COMPUTED_VALUE"""),"Pues yo me aparte de Dios cuando me fui a vivir con mi mamá a Los Cabos dejé de ir a la iglesia, hasta que de nuevo fui al campamento y antes de que me dejaran mi hermana me dijo que abriera mi corazón porque yo solo dije que quería ir por los juegos al p"&amp;"aso de la semana el predicador parecía que me hablaba solo a mí y de mi situación así que acepté a Cristo como mi salvador y que sin él no puedo sola")</f>
        <v>Pues yo me aparte de Dios cuando me fui a vivir con mi mamá a Los Cabos dejé de ir a la iglesia, hasta que de nuevo fui al campamento y antes de que me dejaran mi hermana me dijo que abriera mi corazón porque yo solo dije que quería ir por los juegos al paso de la semana el predicador parecía que me hablaba solo a mí y de mi situación así que acepté a Cristo como mi salvador y que sin él no puedo sola</v>
      </c>
      <c r="Q16" s="1" t="str">
        <f ca="1">IFERROR(__xludf.DUMMYFUNCTION("""COMPUTED_VALUE"""),"Porque me gusta ayudar y servir a los demás")</f>
        <v>Porque me gusta ayudar y servir a los demás</v>
      </c>
      <c r="R16" s="1" t="str">
        <f ca="1">IFERROR(__xludf.DUMMYFUNCTION("""COMPUTED_VALUE"""),"Si")</f>
        <v>Si</v>
      </c>
      <c r="S16" s="1" t="str">
        <f ca="1">IFERROR(__xludf.DUMMYFUNCTION("""COMPUTED_VALUE"""),"Tocho bandera")</f>
        <v>Tocho bandera</v>
      </c>
      <c r="T16" s="1" t="str">
        <f ca="1">IFERROR(__xludf.DUMMYFUNCTION("""COMPUTED_VALUE"""),"No")</f>
        <v>No</v>
      </c>
      <c r="U16" s="1"/>
      <c r="V16" s="1" t="str">
        <f ca="1">IFERROR(__xludf.DUMMYFUNCTION("""COMPUTED_VALUE"""),"Por ahorita nada")</f>
        <v>Por ahorita nada</v>
      </c>
      <c r="W16" s="1" t="str">
        <f ca="1">IFERROR(__xludf.DUMMYFUNCTION("""COMPUTED_VALUE"""),"Soy creativo y me gusta estar ocupada")</f>
        <v>Soy creativo y me gusta estar ocupada</v>
      </c>
      <c r="X16" s="1" t="str">
        <f ca="1">IFERROR(__xludf.DUMMYFUNCTION("""COMPUTED_VALUE"""),"A. Soy un discipulador activo, B. Me gusta animar a las personas, C. Suelo buscar que el trabajo se realice en equipo, D. Me gustan los deportes, E. Me gusta el trabajo con niños, H. Soy organizado (a), I. Se me facilita el trabajo físico, J. Me gusta la "&amp;"atención a las personas, K. Soy creativo (a), N. Suelo llevar el liderazgo en un grupo")</f>
        <v>A. Soy un discipulador activo, B. Me gusta animar a las personas, C. Suelo buscar que el trabajo se realice en equipo, D. Me gustan los deportes, E. Me gusta el trabajo con niños, H. Soy organizado (a), I. Se me facilita el trabajo físico, J. Me gusta la atención a las personas, K. Soy creativo (a), N. Suelo llevar el liderazgo en un grupo</v>
      </c>
      <c r="Y16" s="1" t="str">
        <f ca="1">IFERROR(__xludf.DUMMYFUNCTION("""COMPUTED_VALUE"""),"En varias temporadas")</f>
        <v>En varias temporadas</v>
      </c>
      <c r="Z16" s="1"/>
    </row>
    <row r="17" spans="1:26" x14ac:dyDescent="0.35">
      <c r="A17" s="1" t="str">
        <f ca="1">IFERROR(__xludf.DUMMYFUNCTION("""COMPUTED_VALUE"""),"01-Apr-2025 13:13:23")</f>
        <v>01-Apr-2025 13:13:23</v>
      </c>
      <c r="B17" s="1"/>
      <c r="C17" s="1" t="str">
        <f ca="1">IFERROR(__xludf.DUMMYFUNCTION("""COMPUTED_VALUE"""),"Jesus Adrian, Saucedo Hernandez")</f>
        <v>Jesus Adrian, Saucedo Hernandez</v>
      </c>
      <c r="D17" s="1">
        <f ca="1">IFERROR(__xludf.DUMMYFUNCTION("""COMPUTED_VALUE"""),21)</f>
        <v>21</v>
      </c>
      <c r="E17" s="1" t="str">
        <f ca="1">IFERROR(__xludf.DUMMYFUNCTION("""COMPUTED_VALUE"""),"Hombre")</f>
        <v>Hombre</v>
      </c>
      <c r="F17" s="1" t="str">
        <f ca="1">IFERROR(__xludf.DUMMYFUNCTION("""COMPUTED_VALUE"""),"Mexico City, Mexico")</f>
        <v>Mexico City, Mexico</v>
      </c>
      <c r="G17" s="1" t="str">
        <f ca="1">IFERROR(__xludf.DUMMYFUNCTION("""COMPUTED_VALUE"""),"jsaucedoh19@gmail.com")</f>
        <v>jsaucedoh19@gmail.com</v>
      </c>
      <c r="H17" s="1">
        <f ca="1">IFERROR(__xludf.DUMMYFUNCTION("""COMPUTED_VALUE"""),523319729815)</f>
        <v>523319729815</v>
      </c>
      <c r="I17" s="1" t="str">
        <f ca="1">IFERROR(__xludf.DUMMYFUNCTION("""COMPUTED_VALUE"""),"Semana de entrenamiento (07 - 13) Julio, Comunidad Jóvenes + 18 (14-19) Julio, Semana de niños y niñas (21-25) Julio, Jóvenes de 13 – 17 años / SEM1/ (28 Julio a 02 de agosto), Jóvenes de 13 – 17 años / SEM2/ (4 - 09 agosto), Jóvenes de 13 – 17 años / SEM"&amp;"3/ (11 - 16 agosto), Toda la temporada (07 de Julio al 16 de agosto)")</f>
        <v>Semana de entrenamiento (07 - 13) Julio, Comunidad Jóvenes + 18 (14-19) Julio, Semana de niños y niñas (21-25) Julio, Jóvenes de 13 – 17 años / SEM1/ (28 Julio a 02 de agosto), Jóvenes de 13 – 17 años / SEM2/ (4 - 09 agosto), Jóvenes de 13 – 17 años / SEM3/ (11 - 16 agosto), Toda la temporada (07 de Julio al 16 de agosto)</v>
      </c>
      <c r="J17" s="1" t="str">
        <f ca="1">IFERROR(__xludf.DUMMYFUNCTION("""COMPUTED_VALUE"""),"Quiet Time")</f>
        <v>Quiet Time</v>
      </c>
      <c r="K17" s="1" t="str">
        <f ca="1">IFERROR(__xludf.DUMMYFUNCTION("""COMPUTED_VALUE"""),"G3:16 Satelite")</f>
        <v>G3:16 Satelite</v>
      </c>
      <c r="L17" s="1" t="str">
        <f ca="1">IFERROR(__xludf.DUMMYFUNCTION("""COMPUTED_VALUE"""),"Carlos Alberto Lopez de Nava")</f>
        <v>Carlos Alberto Lopez de Nava</v>
      </c>
      <c r="M17" s="1">
        <f ca="1">IFERROR(__xludf.DUMMYFUNCTION("""COMPUTED_VALUE"""),525554321356)</f>
        <v>525554321356</v>
      </c>
      <c r="N17" s="1" t="str">
        <f ca="1">IFERROR(__xludf.DUMMYFUNCTION("""COMPUTED_VALUE"""),"carlos_lopezn@yahoo.com.mx")</f>
        <v>carlos_lopezn@yahoo.com.mx</v>
      </c>
      <c r="O17" s="1" t="str">
        <f ca="1">IFERROR(__xludf.DUMMYFUNCTION("""COMPUTED_VALUE"""),"En este momento ninguno")</f>
        <v>En este momento ninguno</v>
      </c>
      <c r="P17" s="1" t="str">
        <f ca="1">IFERROR(__xludf.DUMMYFUNCTION("""COMPUTED_VALUE"""),"Cuando yo era muy pequeño de alrededor de 1 año o 2, mi familia llego a Cristo, por lo que practicamente crecí en una cuna cristiana, ibamos todos los domingos a la iglesia, mi familia sería en distintas areas y yo me sabía todas las historias, por lo que"&amp;" por muchos años creí que era salvo y que con eso seria suficiente para ir al cielo, además de que me creía bueno,  sin embargo, cuando inicié la adolecencia comencé a tener muchos problemas en mi casa, en mi escuela, mi familia atravesba un situción comp"&amp;"licada y comencé a questionarme muchas cosas, incluyendo si era cierto que si moría, ira al cielo. Estos pensamientos comenzaron a ser cada vez mas recurrentes llegando casi al extremo de convertirse en crisis de ansiedad y esto representaba un miedo muy "&amp;"grande en mi. Esto se mantuvo hasta que llegó la CEM del 2018, que tenía por tema ""The Door"". Donde se habló mucho en las predicas de la noche acerca de la importancia de tomar una desición real acerca de nuestra salvavión y nuestra entrega a Dios, recu"&amp;"erdo que Paul, el predicador, nos dijo que en algún momento la puerta se iba a cerrar y no podiamos estar en medio o jugando a entrar y salir, porque llegaría ese momento y la puerta una vez que se cerrara ya no se volvería a abrir y  no ibamos a poder ca"&amp;"mbiar ya nada. Esa desición sería la definitiva.
Esto quizas iba mas enfocado a que decidieramos entregar nuestra vida de forma real a Dios y no coquetearamos con el mundo, por muy atractivo que pareciera pero en mi caso me ayudó a darme cuenta que ni si"&amp;"quiera había tomado la decisón de aceptarlo como mi salvador, de arrepentirme genuinamente ni de tener una relación real y sobre todo personal con el.")</f>
        <v>Cuando yo era muy pequeño de alrededor de 1 año o 2, mi familia llego a Cristo, por lo que practicamente crecí en una cuna cristiana, ibamos todos los domingos a la iglesia, mi familia sería en distintas areas y yo me sabía todas las historias, por lo que por muchos años creí que era salvo y que con eso seria suficiente para ir al cielo, además de que me creía bueno,  sin embargo, cuando inicié la adolecencia comencé a tener muchos problemas en mi casa, en mi escuela, mi familia atravesba un situción complicada y comencé a questionarme muchas cosas, incluyendo si era cierto que si moría, ira al cielo. Estos pensamientos comenzaron a ser cada vez mas recurrentes llegando casi al extremo de convertirse en crisis de ansiedad y esto representaba un miedo muy grande en mi. Esto se mantuvo hasta que llegó la CEM del 2018, que tenía por tema "The Door". Donde se habló mucho en las predicas de la noche acerca de la importancia de tomar una desición real acerca de nuestra salvavión y nuestra entrega a Dios, recuerdo que Paul, el predicador, nos dijo que en algún momento la puerta se iba a cerrar y no podiamos estar en medio o jugando a entrar y salir, porque llegaría ese momento y la puerta una vez que se cerrara ya no se volvería a abrir y  no ibamos a poder cambiar ya nada. Esa desición sería la definitiva.
Esto quizas iba mas enfocado a que decidieramos entregar nuestra vida de forma real a Dios y no coquetearamos con el mundo, por muy atractivo que pareciera pero en mi caso me ayudó a darme cuenta que ni siquiera había tomado la decisón de aceptarlo como mi salvador, de arrepentirme genuinamente ni de tener una relación real y sobre todo personal con el.</v>
      </c>
      <c r="Q17" s="1" t="str">
        <f ca="1">IFERROR(__xludf.DUMMYFUNCTION("""COMPUTED_VALUE"""),"Desde hace un tiempo he tenido las ganas de servir a Dios sin importar el área, sin embargo, usualemente solo es posible compartiendo el evangelio con mis compañeros de escuela y servicio social. Así que me gusta aprovechar las oportunidades que se presen"&amp;"tan para servir de otra forma o en otro contexto. Además PV es un lugar especial para mi de alguna forma porque fue el lugar donde por fin entendí la verdad del evangelio y porque he podido vivir mucha cosas ahí. Algunas no tan lindas pero que sin duda me"&amp;" han ayudado a crecer o entender que cosas que tenía que cambiar. Y por último, si bien no importa de que forma sirvamos o en donde, es sumamente alentador poder formar parte del equipo y ver como hay personas que pueden vivir algo sobrenatural con Dios o"&amp;" ver que hay personas que entienden la misma verdad que un día entendiste tu.  Y en base a mi corta experiencia muchas veces Dios te puede usar de formas que tu no te hubieras imaginado, o en áreas donde pensarías que nada que ver.")</f>
        <v>Desde hace un tiempo he tenido las ganas de servir a Dios sin importar el área, sin embargo, usualemente solo es posible compartiendo el evangelio con mis compañeros de escuela y servicio social. Así que me gusta aprovechar las oportunidades que se presentan para servir de otra forma o en otro contexto. Además PV es un lugar especial para mi de alguna forma porque fue el lugar donde por fin entendí la verdad del evangelio y porque he podido vivir mucha cosas ahí. Algunas no tan lindas pero que sin duda me han ayudado a crecer o entender que cosas que tenía que cambiar. Y por último, si bien no importa de que forma sirvamos o en donde, es sumamente alentador poder formar parte del equipo y ver como hay personas que pueden vivir algo sobrenatural con Dios o ver que hay personas que entienden la misma verdad que un día entendiste tu.  Y en base a mi corta experiencia muchas veces Dios te puede usar de formas que tu no te hubieras imaginado, o en áreas donde pensarías que nada que ver.</v>
      </c>
      <c r="R17" s="1" t="str">
        <f ca="1">IFERROR(__xludf.DUMMYFUNCTION("""COMPUTED_VALUE"""),"Si")</f>
        <v>Si</v>
      </c>
      <c r="S17" s="1" t="str">
        <f ca="1">IFERROR(__xludf.DUMMYFUNCTION("""COMPUTED_VALUE"""),"Crossfit/Halterofilia")</f>
        <v>Crossfit/Halterofilia</v>
      </c>
      <c r="T17" s="1" t="str">
        <f ca="1">IFERROR(__xludf.DUMMYFUNCTION("""COMPUTED_VALUE"""),"No")</f>
        <v>No</v>
      </c>
      <c r="U17" s="1"/>
      <c r="V17" s="1" t="str">
        <f ca="1">IFERROR(__xludf.DUMMYFUNCTION("""COMPUTED_VALUE"""),"Estoy cursando el 8vo semestre de Ingeniería en control y automatización")</f>
        <v>Estoy cursando el 8vo semestre de Ingeniería en control y automatización</v>
      </c>
      <c r="W17" s="1" t="str">
        <f ca="1">IFERROR(__xludf.DUMMYFUNCTION("""COMPUTED_VALUE"""),"Soy relativamente bueno para coordinar o proponer soluciones en un equipo")</f>
        <v>Soy relativamente bueno para coordinar o proponer soluciones en un equipo</v>
      </c>
      <c r="X17" s="1" t="str">
        <f ca="1">IFERROR(__xludf.DUMMYFUNCTION("""COMPUTED_VALUE"""),"B. Me gusta animar a las personas, C. Suelo buscar que el trabajo se realice en equipo, D. Me gustan los deportes, E. Me gusta el trabajo con niños, H. Soy organizado (a), I. Se me facilita el trabajo físico, J. Me gusta la atención a las personas, O. Pue"&amp;"do enseñar con facilidad")</f>
        <v>B. Me gusta animar a las personas, C. Suelo buscar que el trabajo se realice en equipo, D. Me gustan los deportes, E. Me gusta el trabajo con niños, H. Soy organizado (a), I. Se me facilita el trabajo físico, J. Me gusta la atención a las personas, O. Puedo enseñar con facilidad</v>
      </c>
      <c r="Y17" s="1" t="str">
        <f ca="1">IFERROR(__xludf.DUMMYFUNCTION("""COMPUTED_VALUE"""),"Si, asistí a las ediciones del 2018, 2019, 2022 y 2023. Y formé parte del equipo en 2023 Y 2024.")</f>
        <v>Si, asistí a las ediciones del 2018, 2019, 2022 y 2023. Y formé parte del equipo en 2023 Y 2024.</v>
      </c>
      <c r="Z17" s="1"/>
    </row>
    <row r="18" spans="1:26" x14ac:dyDescent="0.35">
      <c r="A18" s="1" t="str">
        <f ca="1">IFERROR(__xludf.DUMMYFUNCTION("""COMPUTED_VALUE"""),"01-Apr-2025 23:10:32")</f>
        <v>01-Apr-2025 23:10:32</v>
      </c>
      <c r="B18" s="1"/>
      <c r="C18" s="1" t="str">
        <f ca="1">IFERROR(__xludf.DUMMYFUNCTION("""COMPUTED_VALUE"""),"Lizeth, Ordoñez Duran")</f>
        <v>Lizeth, Ordoñez Duran</v>
      </c>
      <c r="D18" s="1">
        <f ca="1">IFERROR(__xludf.DUMMYFUNCTION("""COMPUTED_VALUE"""),17)</f>
        <v>17</v>
      </c>
      <c r="E18" s="1" t="str">
        <f ca="1">IFERROR(__xludf.DUMMYFUNCTION("""COMPUTED_VALUE"""),"Mujer")</f>
        <v>Mujer</v>
      </c>
      <c r="F18" s="1" t="str">
        <f ca="1">IFERROR(__xludf.DUMMYFUNCTION("""COMPUTED_VALUE"""),"Veracruz, Mexico")</f>
        <v>Veracruz, Mexico</v>
      </c>
      <c r="G18" s="1" t="str">
        <f ca="1">IFERROR(__xludf.DUMMYFUNCTION("""COMPUTED_VALUE"""),"marladuraan@icloud.com")</f>
        <v>marladuraan@icloud.com</v>
      </c>
      <c r="H18" s="1">
        <f ca="1">IFERROR(__xludf.DUMMYFUNCTION("""COMPUTED_VALUE"""),522722461793)</f>
        <v>522722461793</v>
      </c>
      <c r="I18" s="1" t="str">
        <f ca="1">IFERROR(__xludf.DUMMYFUNCTION("""COMPUTED_VALUE"""),"Semana de entrenamiento (07 - 13) Julio, Comunidad Jóvenes + 18 (14-19) Julio, Semana de niños y niñas (21-25) Julio, Jóvenes de 13 – 17 años / SEM1/ (28 Julio a 02 de agosto), Jóvenes de 13 – 17 años / SEM2/ (4 - 09 agosto)")</f>
        <v>Semana de entrenamiento (07 - 13) Julio, Comunidad Jóvenes + 18 (14-19) Julio, Semana de niños y niñas (21-25) Julio, Jóvenes de 13 – 17 años / SEM1/ (28 Julio a 02 de agosto), Jóvenes de 13 – 17 años / SEM2/ (4 - 09 agosto)</v>
      </c>
      <c r="J18" s="1" t="str">
        <f ca="1">IFERROR(__xludf.DUMMYFUNCTION("""COMPUTED_VALUE"""),"Grace for each day")</f>
        <v>Grace for each day</v>
      </c>
      <c r="K18" s="1" t="str">
        <f ca="1">IFERROR(__xludf.DUMMYFUNCTION("""COMPUTED_VALUE"""),"Jesus de Nazaret")</f>
        <v>Jesus de Nazaret</v>
      </c>
      <c r="L18" s="1" t="str">
        <f ca="1">IFERROR(__xludf.DUMMYFUNCTION("""COMPUTED_VALUE"""),"Fragoso quintero")</f>
        <v>Fragoso quintero</v>
      </c>
      <c r="M18" s="1">
        <f ca="1">IFERROR(__xludf.DUMMYFUNCTION("""COMPUTED_VALUE"""),522722822767)</f>
        <v>522722822767</v>
      </c>
      <c r="N18" s="1" t="str">
        <f ca="1">IFERROR(__xludf.DUMMYFUNCTION("""COMPUTED_VALUE"""),"fragosoaltquint@gmail.com")</f>
        <v>fragosoaltquint@gmail.com</v>
      </c>
      <c r="O18" s="1" t="str">
        <f ca="1">IFERROR(__xludf.DUMMYFUNCTION("""COMPUTED_VALUE"""),"Jovenes")</f>
        <v>Jovenes</v>
      </c>
      <c r="P18" s="1" t="str">
        <f ca="1">IFERROR(__xludf.DUMMYFUNCTION("""COMPUTED_VALUE"""),"Toda la vida me hablaron acerca de Jesus, pero nunca llegué a darle realmente importancia a lo que era entregar mi vida a él, a los 13 años comprendí mi necesidad por Cristo y decidí entregar mi vida a Dios y cambiar las cosas, dejarle mis preocupaciones "&amp;"y miedos y vivir una vida descansando en el.")</f>
        <v>Toda la vida me hablaron acerca de Jesus, pero nunca llegué a darle realmente importancia a lo que era entregar mi vida a él, a los 13 años comprendí mi necesidad por Cristo y decidí entregar mi vida a Dios y cambiar las cosas, dejarle mis preocupaciones y miedos y vivir una vida descansando en el.</v>
      </c>
      <c r="Q18" s="1" t="str">
        <f ca="1">IFERROR(__xludf.DUMMYFUNCTION("""COMPUTED_VALUE"""),"Siempre eh asistido a Campamento como campero y me gustaría poder ser parte este año del servicio, estuve sirviendo en Bernal en la temporada de Convención estudiantil y fue una muy linda experiencia.")</f>
        <v>Siempre eh asistido a Campamento como campero y me gustaría poder ser parte este año del servicio, estuve sirviendo en Bernal en la temporada de Convención estudiantil y fue una muy linda experiencia.</v>
      </c>
      <c r="R18" s="1" t="str">
        <f ca="1">IFERROR(__xludf.DUMMYFUNCTION("""COMPUTED_VALUE"""),"Si")</f>
        <v>Si</v>
      </c>
      <c r="S18" s="1" t="str">
        <f ca="1">IFERROR(__xludf.DUMMYFUNCTION("""COMPUTED_VALUE"""),"Natacion")</f>
        <v>Natacion</v>
      </c>
      <c r="T18" s="1" t="str">
        <f ca="1">IFERROR(__xludf.DUMMYFUNCTION("""COMPUTED_VALUE"""),"No")</f>
        <v>No</v>
      </c>
      <c r="U18" s="1"/>
      <c r="V18" s="1" t="str">
        <f ca="1">IFERROR(__xludf.DUMMYFUNCTION("""COMPUTED_VALUE"""),"Universidad")</f>
        <v>Universidad</v>
      </c>
      <c r="W18" s="1" t="str">
        <f ca="1">IFERROR(__xludf.DUMMYFUNCTION("""COMPUTED_VALUE"""),"Puedo apoyar en el área que sea necesario")</f>
        <v>Puedo apoyar en el área que sea necesario</v>
      </c>
      <c r="X18" s="1" t="str">
        <f ca="1">IFERROR(__xludf.DUMMYFUNCTION("""COMPUTED_VALUE"""),"B. Me gusta animar a las personas, C. Suelo buscar que el trabajo se realice en equipo, D. Me gustan los deportes, E. Me gusta el trabajo con niños, G. Soy más eficiente en el trabajo individual, J. Me gusta la atención a las personas, K. Soy creativo (a)"&amp;", M. Soy bueno (a) con los números, N. Suelo llevar el liderazgo en un grupo, O. Puedo enseñar con facilidad")</f>
        <v>B. Me gusta animar a las personas, C. Suelo buscar que el trabajo se realice en equipo, D. Me gustan los deportes, E. Me gusta el trabajo con niños, G. Soy más eficiente en el trabajo individual, J. Me gusta la atención a las personas, K. Soy creativo (a), M. Soy bueno (a) con los números, N. Suelo llevar el liderazgo en un grupo, O. Puedo enseñar con facilidad</v>
      </c>
      <c r="Y18" s="1" t="str">
        <f ca="1">IFERROR(__xludf.DUMMYFUNCTION("""COMPUTED_VALUE"""),"2022 2023 2024")</f>
        <v>2022 2023 2024</v>
      </c>
      <c r="Z18" s="1"/>
    </row>
    <row r="19" spans="1:26" x14ac:dyDescent="0.35">
      <c r="A19" s="1" t="str">
        <f ca="1">IFERROR(__xludf.DUMMYFUNCTION("""COMPUTED_VALUE"""),"04-Apr-2025 08:13:22")</f>
        <v>04-Apr-2025 08:13:22</v>
      </c>
      <c r="B19" s="1"/>
      <c r="C19" s="1" t="str">
        <f ca="1">IFERROR(__xludf.DUMMYFUNCTION("""COMPUTED_VALUE"""),"Juliette Marie Louise, Colas")</f>
        <v>Juliette Marie Louise, Colas</v>
      </c>
      <c r="D19" s="1">
        <f ca="1">IFERROR(__xludf.DUMMYFUNCTION("""COMPUTED_VALUE"""),23)</f>
        <v>23</v>
      </c>
      <c r="E19" s="1" t="str">
        <f ca="1">IFERROR(__xludf.DUMMYFUNCTION("""COMPUTED_VALUE"""),"Mujer")</f>
        <v>Mujer</v>
      </c>
      <c r="F19" s="1" t="str">
        <f ca="1">IFERROR(__xludf.DUMMYFUNCTION("""COMPUTED_VALUE"""),"Ile-de-France, France")</f>
        <v>Ile-de-France, France</v>
      </c>
      <c r="G19" s="1" t="str">
        <f ca="1">IFERROR(__xludf.DUMMYFUNCTION("""COMPUTED_VALUE"""),"juliettecolas1@gmail.com")</f>
        <v>juliettecolas1@gmail.com</v>
      </c>
      <c r="H19" s="1">
        <f ca="1">IFERROR(__xludf.DUMMYFUNCTION("""COMPUTED_VALUE"""),33782232182)</f>
        <v>33782232182</v>
      </c>
      <c r="I19" s="1" t="str">
        <f ca="1">IFERROR(__xludf.DUMMYFUNCTION("""COMPUTED_VALUE"""),"Toda la temporada (07 de Julio al 16 de agosto)")</f>
        <v>Toda la temporada (07 de Julio al 16 de agosto)</v>
      </c>
      <c r="J19" s="1" t="str">
        <f ca="1">IFERROR(__xludf.DUMMYFUNCTION("""COMPUTED_VALUE"""),"Vivir hoy")</f>
        <v>Vivir hoy</v>
      </c>
      <c r="K19" s="1" t="str">
        <f ca="1">IFERROR(__xludf.DUMMYFUNCTION("""COMPUTED_VALUE"""),"iglesia evangélica de Paris Cardinet")</f>
        <v>iglesia evangélica de Paris Cardinet</v>
      </c>
      <c r="L19" s="1" t="str">
        <f ca="1">IFERROR(__xludf.DUMMYFUNCTION("""COMPUTED_VALUE"""),"Jonathan Vaughan")</f>
        <v>Jonathan Vaughan</v>
      </c>
      <c r="M19" s="1">
        <f ca="1">IFERROR(__xludf.DUMMYFUNCTION("""COMPUTED_VALUE"""),33641821712)</f>
        <v>33641821712</v>
      </c>
      <c r="N19" s="1" t="str">
        <f ca="1">IFERROR(__xludf.DUMMYFUNCTION("""COMPUTED_VALUE"""),"jony.vaughan@gmail.com")</f>
        <v>jony.vaughan@gmail.com</v>
      </c>
      <c r="O19" s="1" t="str">
        <f ca="1">IFERROR(__xludf.DUMMYFUNCTION("""COMPUTED_VALUE"""),"donde se necesite ayuda")</f>
        <v>donde se necesite ayuda</v>
      </c>
      <c r="P19" s="1" t="str">
        <f ca="1">IFERROR(__xludf.DUMMYFUNCTION("""COMPUTED_VALUE"""),"Acepté a Jesús en campamente en Suiza hace más de 12 años")</f>
        <v>Acepté a Jesús en campamente en Suiza hace más de 12 años</v>
      </c>
      <c r="Q19" s="1" t="str">
        <f ca="1">IFERROR(__xludf.DUMMYFUNCTION("""COMPUTED_VALUE"""),"Quiero ayudar donde me ponga")</f>
        <v>Quiero ayudar donde me ponga</v>
      </c>
      <c r="R19" s="1" t="str">
        <f ca="1">IFERROR(__xludf.DUMMYFUNCTION("""COMPUTED_VALUE"""),"Si")</f>
        <v>Si</v>
      </c>
      <c r="S19" s="1" t="str">
        <f ca="1">IFERROR(__xludf.DUMMYFUNCTION("""COMPUTED_VALUE"""),"tennis, natación, ejercicio")</f>
        <v>tennis, natación, ejercicio</v>
      </c>
      <c r="T19" s="1" t="str">
        <f ca="1">IFERROR(__xludf.DUMMYFUNCTION("""COMPUTED_VALUE"""),"No")</f>
        <v>No</v>
      </c>
      <c r="U19" s="1"/>
      <c r="V19" s="1" t="str">
        <f ca="1">IFERROR(__xludf.DUMMYFUNCTION("""COMPUTED_VALUE"""),"Primer año de maestria de educación y español")</f>
        <v>Primer año de maestria de educación y español</v>
      </c>
      <c r="W19" s="1" t="str">
        <f ca="1">IFERROR(__xludf.DUMMYFUNCTION("""COMPUTED_VALUE"""),"sé adaptarme")</f>
        <v>sé adaptarme</v>
      </c>
      <c r="X19" s="1" t="str">
        <f ca="1">IFERROR(__xludf.DUMMYFUNCTION("""COMPUTED_VALUE"""),"A. Soy un discipulador activo, B. Me gusta animar a las personas, C. Suelo buscar que el trabajo se realice en equipo, D. Me gustan los deportes, E. Me gusta el trabajo con niños, H. Soy organizado (a), J. Me gusta la atención a las personas, N. Suelo lle"&amp;"var el liderazgo en un grupo, O. Puedo enseñar con facilidad")</f>
        <v>A. Soy un discipulador activo, B. Me gusta animar a las personas, C. Suelo buscar que el trabajo se realice en equipo, D. Me gustan los deportes, E. Me gusta el trabajo con niños, H. Soy organizado (a), J. Me gusta la atención a las personas, N. Suelo llevar el liderazgo en un grupo, O. Puedo enseñar con facilidad</v>
      </c>
      <c r="Y19" s="1" t="str">
        <f ca="1">IFERROR(__xludf.DUMMYFUNCTION("""COMPUTED_VALUE"""),"no,pero he estudiado un año en el Instituto bíblico y he sido líder de cabaña el año pasado.")</f>
        <v>no,pero he estudiado un año en el Instituto bíblico y he sido líder de cabaña el año pasado.</v>
      </c>
      <c r="Z19" s="1"/>
    </row>
    <row r="20" spans="1:26" x14ac:dyDescent="0.35">
      <c r="A20" s="1" t="str">
        <f ca="1">IFERROR(__xludf.DUMMYFUNCTION("""COMPUTED_VALUE"""),"07-Apr-2025 22:45:11")</f>
        <v>07-Apr-2025 22:45:11</v>
      </c>
      <c r="B20" s="1"/>
      <c r="C20" s="1" t="str">
        <f ca="1">IFERROR(__xludf.DUMMYFUNCTION("""COMPUTED_VALUE"""),"Natalia, Esteves Ríos")</f>
        <v>Natalia, Esteves Ríos</v>
      </c>
      <c r="D20" s="1">
        <f ca="1">IFERROR(__xludf.DUMMYFUNCTION("""COMPUTED_VALUE"""),19)</f>
        <v>19</v>
      </c>
      <c r="E20" s="1" t="str">
        <f ca="1">IFERROR(__xludf.DUMMYFUNCTION("""COMPUTED_VALUE"""),"Mujer")</f>
        <v>Mujer</v>
      </c>
      <c r="F20" s="1" t="str">
        <f ca="1">IFERROR(__xludf.DUMMYFUNCTION("""COMPUTED_VALUE"""),"Queretaro, Mexico")</f>
        <v>Queretaro, Mexico</v>
      </c>
      <c r="G20" s="1" t="str">
        <f ca="1">IFERROR(__xludf.DUMMYFUNCTION("""COMPUTED_VALUE"""),"nataliaestevess4@gmail.com")</f>
        <v>nataliaestevess4@gmail.com</v>
      </c>
      <c r="H20" s="1">
        <f ca="1">IFERROR(__xludf.DUMMYFUNCTION("""COMPUTED_VALUE"""),524426103874)</f>
        <v>524426103874</v>
      </c>
      <c r="I20" s="1" t="str">
        <f ca="1">IFERROR(__xludf.DUMMYFUNCTION("""COMPUTED_VALUE"""),"Semana de entrenamiento (07 - 13) Julio, Comunidad Jóvenes + 18 (14-19) Julio, Semana de niños y niñas (21-25) Julio, Jóvenes de 13 – 17 años / SEM1/ (28 Julio a 02 de agosto), Jóvenes de 13 – 17 años / SEM2/ (4 - 09 agosto)")</f>
        <v>Semana de entrenamiento (07 - 13) Julio, Comunidad Jóvenes + 18 (14-19) Julio, Semana de niños y niñas (21-25) Julio, Jóvenes de 13 – 17 años / SEM1/ (28 Julio a 02 de agosto), Jóvenes de 13 – 17 años / SEM2/ (4 - 09 agosto)</v>
      </c>
      <c r="J20" s="1" t="str">
        <f ca="1">IFERROR(__xludf.DUMMYFUNCTION("""COMPUTED_VALUE"""),"New Morning Mercies de Paul David Tripp")</f>
        <v>New Morning Mercies de Paul David Tripp</v>
      </c>
      <c r="K20" s="1" t="str">
        <f ca="1">IFERROR(__xludf.DUMMYFUNCTION("""COMPUTED_VALUE"""),"Centro Evangélico Querétaro (CEQ)")</f>
        <v>Centro Evangélico Querétaro (CEQ)</v>
      </c>
      <c r="L20" s="1" t="str">
        <f ca="1">IFERROR(__xludf.DUMMYFUNCTION("""COMPUTED_VALUE"""),"José Armando Roncancio Sotelo")</f>
        <v>José Armando Roncancio Sotelo</v>
      </c>
      <c r="M20" s="1">
        <f ca="1">IFERROR(__xludf.DUMMYFUNCTION("""COMPUTED_VALUE"""),524421248667)</f>
        <v>524421248667</v>
      </c>
      <c r="N20" s="1" t="str">
        <f ca="1">IFERROR(__xludf.DUMMYFUNCTION("""COMPUTED_VALUE"""),"joserons@yahoo.com.mx")</f>
        <v>joserons@yahoo.com.mx</v>
      </c>
      <c r="O20" s="1" t="str">
        <f ca="1">IFERROR(__xludf.DUMMYFUNCTION("""COMPUTED_VALUE"""),"Soy parte del equipo de multimedia de la Iglesia, donde puedo ayudar en la cabina a proyectar todo lo que se necesita, desde la letra de los himnos, presentaciones, anuncios, transmisión en vivo del culto, etc.")</f>
        <v>Soy parte del equipo de multimedia de la Iglesia, donde puedo ayudar en la cabina a proyectar todo lo que se necesita, desde la letra de los himnos, presentaciones, anuncios, transmisión en vivo del culto, etc.</v>
      </c>
      <c r="P20" s="1" t="str">
        <f ca="1">IFERROR(__xludf.DUMMYFUNCTION("""COMPUTED_VALUE"""),"No nací en cuna cristiana, sin embargo, mi familia empezó a asistir a una iglesia cristiana cuando yo tenía 3 años. Mi memoria recuerda haber crecido escuchando las historias bíblicas, parábolas, la vida del Señor Jesús, etc. Después de un tiempo con mi f"&amp;"amilia nos mudamos aquí a Querétaro y buscamos una iglesia para seguir en el camino del Señor. Cuando llegué al CEQ tenía 10 años y tuve unas maestras de escuela dominical, Olguita y Eli, quienes no solo me enseñaban las historias de la Biblia, sino que m"&amp;"e animaban a reflexionar sobre lo que aprendía, a desarrollar un pensamiento propio y a cultivar una relación personal con Dios. Con ayuda de sus clases y gracias a la guía del Espíritu Santo, entendí que no se trataba solo de memorizar versículos por un "&amp;"dulce, sino de descubrir el verdadero significado de la salvación y el propósito que el Señor tiene para mi vida. 
Es así como después de estas reflexiones, clases, guía de mis papás y tiempo a solas con el Señor, que tomé la decisión de ser bautizada par"&amp;"a mostrar mi fe púbicamente en mi iglesia local en el verano de 2019. Estoy muy agradecida con Dios por dejarme ser su hija y mostrarme su amor incondicional, siempre a través de diferentes personas como mis papás y mi hermana, el grupo de jóvenes y sobre"&amp;" todo espero siempre compartir este gozo que me genera ser salva con las personas que Dios ponga en mi camino, ser de bendición para otros y hablarles del plan de salvación.")</f>
        <v>No nací en cuna cristiana, sin embargo, mi familia empezó a asistir a una iglesia cristiana cuando yo tenía 3 años. Mi memoria recuerda haber crecido escuchando las historias bíblicas, parábolas, la vida del Señor Jesús, etc. Después de un tiempo con mi familia nos mudamos aquí a Querétaro y buscamos una iglesia para seguir en el camino del Señor. Cuando llegué al CEQ tenía 10 años y tuve unas maestras de escuela dominical, Olguita y Eli, quienes no solo me enseñaban las historias de la Biblia, sino que me animaban a reflexionar sobre lo que aprendía, a desarrollar un pensamiento propio y a cultivar una relación personal con Dios. Con ayuda de sus clases y gracias a la guía del Espíritu Santo, entendí que no se trataba solo de memorizar versículos por un dulce, sino de descubrir el verdadero significado de la salvación y el propósito que el Señor tiene para mi vida. 
Es así como después de estas reflexiones, clases, guía de mis papás y tiempo a solas con el Señor, que tomé la decisión de ser bautizada para mostrar mi fe púbicamente en mi iglesia local en el verano de 2019. Estoy muy agradecida con Dios por dejarme ser su hija y mostrarme su amor incondicional, siempre a través de diferentes personas como mis papás y mi hermana, el grupo de jóvenes y sobre todo espero siempre compartir este gozo que me genera ser salva con las personas que Dios ponga en mi camino, ser de bendición para otros y hablarles del plan de salvación.</v>
      </c>
      <c r="Q20" s="1" t="str">
        <f ca="1">IFERROR(__xludf.DUMMYFUNCTION("""COMPUTED_VALUE"""),"Me gustaría ser parte del equipo porque me entusiasma ayudar a que las personas que tienen el deseo de conocer al Señor lo hagan de una manera real, permitiendo que Él impacte sus vidas profundamente. Este año he sentido el deseo de servir a tiempo comple"&amp;"to durante las vacaciones escolares, ya que es una gran oportunidad para dedicar ese tiempo libre.  Me considero una persona servicial, entusiasta y siento paz al ver cómo Dios está acomodando todo para que pueda servirle este verano.")</f>
        <v>Me gustaría ser parte del equipo porque me entusiasma ayudar a que las personas que tienen el deseo de conocer al Señor lo hagan de una manera real, permitiendo que Él impacte sus vidas profundamente. Este año he sentido el deseo de servir a tiempo completo durante las vacaciones escolares, ya que es una gran oportunidad para dedicar ese tiempo libre.  Me considero una persona servicial, entusiasta y siento paz al ver cómo Dios está acomodando todo para que pueda servirle este verano.</v>
      </c>
      <c r="R20" s="1" t="str">
        <f ca="1">IFERROR(__xludf.DUMMYFUNCTION("""COMPUTED_VALUE"""),"Si")</f>
        <v>Si</v>
      </c>
      <c r="S20" s="1" t="str">
        <f ca="1">IFERROR(__xludf.DUMMYFUNCTION("""COMPUTED_VALUE"""),"natación")</f>
        <v>natación</v>
      </c>
      <c r="T20" s="1" t="str">
        <f ca="1">IFERROR(__xludf.DUMMYFUNCTION("""COMPUTED_VALUE"""),"Si")</f>
        <v>Si</v>
      </c>
      <c r="U20" s="1" t="str">
        <f ca="1">IFERROR(__xludf.DUMMYFUNCTION("""COMPUTED_VALUE"""),"batería y percusiones (básico)")</f>
        <v>batería y percusiones (básico)</v>
      </c>
      <c r="V20" s="1" t="str">
        <f ca="1">IFERROR(__xludf.DUMMYFUNCTION("""COMPUTED_VALUE"""),"Estudio Ingeniería en Alimentos, una disciplina enfocada en el análisis de la composición de los alimentos, como los macronutrientes que aportan, así como en el diseño, formulación y optimización de procesos industriales para su producción.")</f>
        <v>Estudio Ingeniería en Alimentos, una disciplina enfocada en el análisis de la composición de los alimentos, como los macronutrientes que aportan, así como en el diseño, formulación y optimización de procesos industriales para su producción.</v>
      </c>
      <c r="W20" s="1" t="str">
        <f ca="1">IFERROR(__xludf.DUMMYFUNCTION("""COMPUTED_VALUE"""),"Cuento con habilidades en la cocina, preparación de platillos y postres. Manejo tecnologías de la información, tengo nivel B2 de inglés, resolución de problemas, optimización de recursos, creación de contenido, fotografía y edición de video.")</f>
        <v>Cuento con habilidades en la cocina, preparación de platillos y postres. Manejo tecnologías de la información, tengo nivel B2 de inglés, resolución de problemas, optimización de recursos, creación de contenido, fotografía y edición de video.</v>
      </c>
      <c r="X20" s="1" t="str">
        <f ca="1">IFERROR(__xludf.DUMMYFUNCTION("""COMPUTED_VALUE"""),"B. Me gusta animar a las personas, C. Suelo buscar que el trabajo se realice en equipo, D. Me gustan los deportes, E. Me gusta el trabajo con niños, F. Soy eficiente en el trabajo con herramientas, equipos y maquinarias, H. Soy organizado (a), I. Se me fa"&amp;"cilita el trabajo físico, J. Me gusta la atención a las personas, K. Soy creativo (a), L. Soy bueno (a) en canto o algún instrumento, M. Soy bueno (a) con los números")</f>
        <v>B. Me gusta animar a las personas, C. Suelo buscar que el trabajo se realice en equipo, D. Me gustan los deportes, E. Me gusta el trabajo con niños, F. Soy eficiente en el trabajo con herramientas, equipos y maquinarias, H. Soy organizado (a), I. Se me facilita el trabajo físico, J. Me gusta la atención a las personas, K. Soy creativo (a), L. Soy bueno (a) en canto o algún instrumento, M. Soy bueno (a) con los números</v>
      </c>
      <c r="Y20" s="1" t="str">
        <f ca="1">IFERROR(__xludf.DUMMYFUNCTION("""COMPUTED_VALUE"""),"Si, en la temporada de 2022")</f>
        <v>Si, en la temporada de 2022</v>
      </c>
      <c r="Z20" s="1"/>
    </row>
    <row r="21" spans="1:26" x14ac:dyDescent="0.35">
      <c r="A21" s="1" t="str">
        <f ca="1">IFERROR(__xludf.DUMMYFUNCTION("""COMPUTED_VALUE"""),"08-Apr-2025 15:23:49")</f>
        <v>08-Apr-2025 15:23:49</v>
      </c>
      <c r="B21" s="1"/>
      <c r="C21" s="1" t="str">
        <f ca="1">IFERROR(__xludf.DUMMYFUNCTION("""COMPUTED_VALUE"""),"Laura, Dominguez Castro")</f>
        <v>Laura, Dominguez Castro</v>
      </c>
      <c r="D21" s="1">
        <f ca="1">IFERROR(__xludf.DUMMYFUNCTION("""COMPUTED_VALUE"""),18)</f>
        <v>18</v>
      </c>
      <c r="E21" s="1" t="str">
        <f ca="1">IFERROR(__xludf.DUMMYFUNCTION("""COMPUTED_VALUE"""),"Mujer")</f>
        <v>Mujer</v>
      </c>
      <c r="F21" s="1" t="str">
        <f ca="1">IFERROR(__xludf.DUMMYFUNCTION("""COMPUTED_VALUE"""),"Durango, Mexico")</f>
        <v>Durango, Mexico</v>
      </c>
      <c r="G21" s="1" t="str">
        <f ca="1">IFERROR(__xludf.DUMMYFUNCTION("""COMPUTED_VALUE"""),"analauradominguezcastro@gmail.com")</f>
        <v>analauradominguezcastro@gmail.com</v>
      </c>
      <c r="H21" s="1">
        <f ca="1">IFERROR(__xludf.DUMMYFUNCTION("""COMPUTED_VALUE"""),528712267561)</f>
        <v>528712267561</v>
      </c>
      <c r="I21" s="1" t="str">
        <f ca="1">IFERROR(__xludf.DUMMYFUNCTION("""COMPUTED_VALUE"""),"Semana de entrenamiento (07 - 13) Julio, Semana de niños y niñas (21-25) Julio")</f>
        <v>Semana de entrenamiento (07 - 13) Julio, Semana de niños y niñas (21-25) Julio</v>
      </c>
      <c r="J21" s="1" t="str">
        <f ca="1">IFERROR(__xludf.DUMMYFUNCTION("""COMPUTED_VALUE"""),"Pan diario")</f>
        <v>Pan diario</v>
      </c>
      <c r="K21" s="1" t="str">
        <f ca="1">IFERROR(__xludf.DUMMYFUNCTION("""COMPUTED_VALUE"""),"Gomez norte")</f>
        <v>Gomez norte</v>
      </c>
      <c r="L21" s="1" t="str">
        <f ca="1">IFERROR(__xludf.DUMMYFUNCTION("""COMPUTED_VALUE"""),"Isaac Raul Saenz")</f>
        <v>Isaac Raul Saenz</v>
      </c>
      <c r="M21" s="1">
        <f ca="1">IFERROR(__xludf.DUMMYFUNCTION("""COMPUTED_VALUE"""),526251304896)</f>
        <v>526251304896</v>
      </c>
      <c r="N21" s="1" t="str">
        <f ca="1">IFERROR(__xludf.DUMMYFUNCTION("""COMPUTED_VALUE"""),"isacraul_48@hotmail.com")</f>
        <v>isacraul_48@hotmail.com</v>
      </c>
      <c r="O21" s="1" t="str">
        <f ca="1">IFERROR(__xludf.DUMMYFUNCTION("""COMPUTED_VALUE"""),"Servicio con niños")</f>
        <v>Servicio con niños</v>
      </c>
      <c r="P21" s="1" t="str">
        <f ca="1">IFERROR(__xludf.DUMMYFUNCTION("""COMPUTED_VALUE"""),"A pesar de haber nacido en una familia cristiana, el evangelio siempre fue una cosa, una simple cosa más de la que escuchaba diariamente, no fue hasta que tuve 15 años, cuando conocí al señor personalmente, después de tener tiempo con muchas cargas y darm"&amp;"e cuenta que sola no podía, y después
 de examinar mi vida me di cuenta de mi gran necesidad y de mi gran vacío que tenía sin el señor.Fue así como con 15 años acepte el gran regalo de la salvación que nos ofrece el señor jesus.La vida no es fácil, pero c"&amp;"on el señor me ha echo entender que todo es pasajero y todo pasará menos él")</f>
        <v>A pesar de haber nacido en una familia cristiana, el evangelio siempre fue una cosa, una simple cosa más de la que escuchaba diariamente, no fue hasta que tuve 15 años, cuando conocí al señor personalmente, después de tener tiempo con muchas cargas y darme cuenta que sola no podía, y después
 de examinar mi vida me di cuenta de mi gran necesidad y de mi gran vacío que tenía sin el señor.Fue así como con 15 años acepte el gran regalo de la salvación que nos ofrece el señor jesus.La vida no es fácil, pero con el señor me ha echo entender que todo es pasajero y todo pasará menos él</v>
      </c>
      <c r="Q21" s="1" t="str">
        <f ca="1">IFERROR(__xludf.DUMMYFUNCTION("""COMPUTED_VALUE"""),"Me encantaría ser parte de la obra del señor, y de anunciar su evangelio, me encantaría convivir con jóvenes que tienen el mismo deseo de servir al señor, y poder disfrutar de lo lindo que es la comunión, y lo bonito de poder ayudar a los demás, con un co"&amp;"razón, dispuesto para lo que el señor me quiera mostrar por medio de ser voluntariado ayudando a otros.")</f>
        <v>Me encantaría ser parte de la obra del señor, y de anunciar su evangelio, me encantaría convivir con jóvenes que tienen el mismo deseo de servir al señor, y poder disfrutar de lo lindo que es la comunión, y lo bonito de poder ayudar a los demás, con un corazón, dispuesto para lo que el señor me quiera mostrar por medio de ser voluntariado ayudando a otros.</v>
      </c>
      <c r="R21" s="1" t="str">
        <f ca="1">IFERROR(__xludf.DUMMYFUNCTION("""COMPUTED_VALUE"""),"Si")</f>
        <v>Si</v>
      </c>
      <c r="S21" s="1" t="str">
        <f ca="1">IFERROR(__xludf.DUMMYFUNCTION("""COMPUTED_VALUE"""),"Entreno tocho, juego volley y futbol")</f>
        <v>Entreno tocho, juego volley y futbol</v>
      </c>
      <c r="T21" s="1" t="str">
        <f ca="1">IFERROR(__xludf.DUMMYFUNCTION("""COMPUTED_VALUE"""),"No")</f>
        <v>No</v>
      </c>
      <c r="U21" s="1"/>
      <c r="V21" s="1" t="str">
        <f ca="1">IFERROR(__xludf.DUMMYFUNCTION("""COMPUTED_VALUE"""),"Estoy en una escuela cristiana, y estoy en preparatoria")</f>
        <v>Estoy en una escuela cristiana, y estoy en preparatoria</v>
      </c>
      <c r="W21" s="1" t="str">
        <f ca="1">IFERROR(__xludf.DUMMYFUNCTION("""COMPUTED_VALUE"""),"Me gusta mucho hacer deporte, hago pasteles, y horeno me gusta hacer manualidades, tmb cantar")</f>
        <v>Me gusta mucho hacer deporte, hago pasteles, y horeno me gusta hacer manualidades, tmb cantar</v>
      </c>
      <c r="X21" s="1" t="str">
        <f ca="1">IFERROR(__xludf.DUMMYFUNCTION("""COMPUTED_VALUE"""),"B. Me gusta animar a las personas, C. Suelo buscar que el trabajo se realice en equipo, D. Me gustan los deportes, E. Me gusta el trabajo con niños, G. Soy más eficiente en el trabajo individual, I. Se me facilita el trabajo físico, J. Me gusta la atenció"&amp;"n a las personas, K. Soy creativo (a), O. Puedo enseñar con facilidad")</f>
        <v>B. Me gusta animar a las personas, C. Suelo buscar que el trabajo se realice en equipo, D. Me gustan los deportes, E. Me gusta el trabajo con niños, G. Soy más eficiente en el trabajo individual, I. Se me facilita el trabajo físico, J. Me gusta la atención a las personas, K. Soy creativo (a), O. Puedo enseñar con facilidad</v>
      </c>
      <c r="Y21" s="1" t="str">
        <f ca="1">IFERROR(__xludf.DUMMYFUNCTION("""COMPUTED_VALUE"""),"Sii, en 18+")</f>
        <v>Sii, en 18+</v>
      </c>
      <c r="Z21" s="1"/>
    </row>
    <row r="22" spans="1:26" x14ac:dyDescent="0.35">
      <c r="A22" s="1" t="str">
        <f ca="1">IFERROR(__xludf.DUMMYFUNCTION("""COMPUTED_VALUE"""),"10-Apr-2025 09:03:26")</f>
        <v>10-Apr-2025 09:03:26</v>
      </c>
      <c r="B22" s="1"/>
      <c r="C22" s="1" t="str">
        <f ca="1">IFERROR(__xludf.DUMMYFUNCTION("""COMPUTED_VALUE"""),"Alison, Soto González")</f>
        <v>Alison, Soto González</v>
      </c>
      <c r="D22" s="1">
        <f ca="1">IFERROR(__xludf.DUMMYFUNCTION("""COMPUTED_VALUE"""),17)</f>
        <v>17</v>
      </c>
      <c r="E22" s="1" t="str">
        <f ca="1">IFERROR(__xludf.DUMMYFUNCTION("""COMPUTED_VALUE"""),"Mujer")</f>
        <v>Mujer</v>
      </c>
      <c r="F22" s="1" t="str">
        <f ca="1">IFERROR(__xludf.DUMMYFUNCTION("""COMPUTED_VALUE"""),"Queretaro, Mexico")</f>
        <v>Queretaro, Mexico</v>
      </c>
      <c r="G22" s="1" t="str">
        <f ca="1">IFERROR(__xludf.DUMMYFUNCTION("""COMPUTED_VALUE"""),"Ali.zbint@gmail.com")</f>
        <v>Ali.zbint@gmail.com</v>
      </c>
      <c r="H22" s="1">
        <f ca="1">IFERROR(__xludf.DUMMYFUNCTION("""COMPUTED_VALUE"""),524425495265)</f>
        <v>524425495265</v>
      </c>
      <c r="I22" s="1" t="str">
        <f ca="1">IFERROR(__xludf.DUMMYFUNCTION("""COMPUTED_VALUE"""),"Semana de entrenamiento (07 - 13) Julio, Comunidad Jóvenes + 18 (14-19) Julio, Jóvenes de 13 – 17 años / SEM1/ (28 Julio a 02 de agosto), Jóvenes de 13 – 17 años / SEM2/ (4 - 09 agosto), Jóvenes de 13 – 17 años / SEM3/ (11 - 16 agosto)")</f>
        <v>Semana de entrenamiento (07 - 13) Julio, Comunidad Jóvenes + 18 (14-19) Julio, Jóvenes de 13 – 17 años / SEM1/ (28 Julio a 02 de agosto), Jóvenes de 13 – 17 años / SEM2/ (4 - 09 agosto), Jóvenes de 13 – 17 años / SEM3/ (11 - 16 agosto)</v>
      </c>
      <c r="J22" s="1" t="str">
        <f ca="1">IFERROR(__xludf.DUMMYFUNCTION("""COMPUTED_VALUE"""),"Hora silenciosa PV Un-año interactivo devocional diario (para jóvenes)")</f>
        <v>Hora silenciosa PV Un-año interactivo devocional diario (para jóvenes)</v>
      </c>
      <c r="K22" s="1" t="str">
        <f ca="1">IFERROR(__xludf.DUMMYFUNCTION("""COMPUTED_VALUE"""),"Grace community")</f>
        <v>Grace community</v>
      </c>
      <c r="L22" s="1" t="str">
        <f ca="1">IFERROR(__xludf.DUMMYFUNCTION("""COMPUTED_VALUE"""),"Oscar Mata")</f>
        <v>Oscar Mata</v>
      </c>
      <c r="M22" s="1">
        <f ca="1">IFERROR(__xludf.DUMMYFUNCTION("""COMPUTED_VALUE"""),524424432103)</f>
        <v>524424432103</v>
      </c>
      <c r="N22" s="1" t="str">
        <f ca="1">IFERROR(__xludf.DUMMYFUNCTION("""COMPUTED_VALUE"""),"Oskarmata@icloud.com")</f>
        <v>Oskarmata@icloud.com</v>
      </c>
      <c r="O22" s="1" t="str">
        <f ca="1">IFERROR(__xludf.DUMMYFUNCTION("""COMPUTED_VALUE"""),"Formo parte del ministerio de alabanza los domingos y del grupo de jóvenes.")</f>
        <v>Formo parte del ministerio de alabanza los domingos y del grupo de jóvenes.</v>
      </c>
      <c r="P22" s="1" t="str">
        <f ca="1">IFERROR(__xludf.DUMMYFUNCTION("""COMPUTED_VALUE"""),"En mi testimonio, destaca un factor con el que aún lucho hoy en día. Este factor sería la autocondenación. Durante la mayor parte de mi vida, yo no entendía qué era tener fe o descansar en Dios. Nací en una familia cristiana, por lo que siempre oí hablar "&amp;"de Él, de la muerte y resurrección de su hijo Jesucristo, y la redención para la humanidad y acceso al padre que nos otorgó mediante su sacrificio en la cruz. Sin embargo, no fue sino hasta que cumplí 14 años, estando en medio de la depresión (en la que c"&amp;"aí por las decisiones incorrectas que tomé), la oscuridad, la culpa y la ansiedad, que tuve un encuentro personal con Dios. No se supone que la relación con Dios sea una especia de religión. Eso sucede solo cuando nosotros lo convertimos en eso, que es lo"&amp;" que yo había estado viviendo. De alguna manera, me creí la mentira de que, al ser hija de cristianos, eso me convertía automáticamente en cristiana, mas Dios me mostró que estaba en un error. Yo disfruto mucho la lectura, y fue precisamente a través de u"&amp;"n libro llamado Amor Redentor que Él me reveló su amor incondicional por mí. Mientras lo leía, lo sentí susurrarme que, sin importar cuántas veces o qué tan lejos corriera o me alejara de su protección, Él nunca dejaría de luchar por traerme de regreso a "&amp;"casa, o que cuando yo escogiera volver, me estaría esperando con los brazos abiertos, listo para perdonarme y borrar mis transgresiones. Hasta ese punto, yo había creído que obtendría y mantendría la salvación mediante obras, en lugar de por fe. Por tanto"&amp;", cuando nada de lo que hice fue suficiente para llenar el vacío en mi alma, me agoté y me desvié del camino. Pero Dios disipó mis dudas y temor de ser imperdonable el día que terminé el libro. Caí de rodillas, hecha un mar de lágrimas, suplicándole que t"&amp;"omara mi vida en sus manos. “Nunca me he ido, hija.” “Suelta todo y entrégamelo a mí”, esas fueron sus palabras para mí. Y por fin comprendí quién era ese Dios del que había oído toda mi vida, y qué significaba que estaba lleno de amor, perdón y misericor"&amp;"dia por la humanidad. Los años que sucedieron a ese evento, han sido una serie de altibajos, pruebas y victorias, aprendizaje y crecimiento. No ha sido nada perfecto, pero desde ese día cuento con la certeza de que somos Él y yo contra la corriente del mu"&amp;"ndo y los ataques del enemigo. Ya probé y sentí en mi piel el placer y el tormento que el mundo tiene para ofrecer, y entiendo que no hay nada mejor para un ser humano que caminar con Cristo, dándole la gloria con nuestra vida. Asimismo, tengo un testimon"&amp;"io que evidencia la capacidad de Dios para generar un fruto hermoso incluso del más profundo y absoluto sufrimiento, ya que haber pasado por tantas pruebas tan joven, me ha equipado con experiencia y sabiduría otorgadas por Dios, que ahora me sirven de ap"&amp;"oyo para testificar a otras personas, y exhortarlas a acercarse a Él.")</f>
        <v>En mi testimonio, destaca un factor con el que aún lucho hoy en día. Este factor sería la autocondenación. Durante la mayor parte de mi vida, yo no entendía qué era tener fe o descansar en Dios. Nací en una familia cristiana, por lo que siempre oí hablar de Él, de la muerte y resurrección de su hijo Jesucristo, y la redención para la humanidad y acceso al padre que nos otorgó mediante su sacrificio en la cruz. Sin embargo, no fue sino hasta que cumplí 14 años, estando en medio de la depresión (en la que caí por las decisiones incorrectas que tomé), la oscuridad, la culpa y la ansiedad, que tuve un encuentro personal con Dios. No se supone que la relación con Dios sea una especia de religión. Eso sucede solo cuando nosotros lo convertimos en eso, que es lo que yo había estado viviendo. De alguna manera, me creí la mentira de que, al ser hija de cristianos, eso me convertía automáticamente en cristiana, mas Dios me mostró que estaba en un error. Yo disfruto mucho la lectura, y fue precisamente a través de un libro llamado Amor Redentor que Él me reveló su amor incondicional por mí. Mientras lo leía, lo sentí susurrarme que, sin importar cuántas veces o qué tan lejos corriera o me alejara de su protección, Él nunca dejaría de luchar por traerme de regreso a casa, o que cuando yo escogiera volver, me estaría esperando con los brazos abiertos, listo para perdonarme y borrar mis transgresiones. Hasta ese punto, yo había creído que obtendría y mantendría la salvación mediante obras, en lugar de por fe. Por tanto, cuando nada de lo que hice fue suficiente para llenar el vacío en mi alma, me agoté y me desvié del camino. Pero Dios disipó mis dudas y temor de ser imperdonable el día que terminé el libro. Caí de rodillas, hecha un mar de lágrimas, suplicándole que tomara mi vida en sus manos. “Nunca me he ido, hija.” “Suelta todo y entrégamelo a mí”, esas fueron sus palabras para mí. Y por fin comprendí quién era ese Dios del que había oído toda mi vida, y qué significaba que estaba lleno de amor, perdón y misericordia por la humanidad. Los años que sucedieron a ese evento, han sido una serie de altibajos, pruebas y victorias, aprendizaje y crecimiento. No ha sido nada perfecto, pero desde ese día cuento con la certeza de que somos Él y yo contra la corriente del mundo y los ataques del enemigo. Ya probé y sentí en mi piel el placer y el tormento que el mundo tiene para ofrecer, y entiendo que no hay nada mejor para un ser humano que caminar con Cristo, dándole la gloria con nuestra vida. Asimismo, tengo un testimonio que evidencia la capacidad de Dios para generar un fruto hermoso incluso del más profundo y absoluto sufrimiento, ya que haber pasado por tantas pruebas tan joven, me ha equipado con experiencia y sabiduría otorgadas por Dios, que ahora me sirven de apoyo para testificar a otras personas, y exhortarlas a acercarse a Él.</v>
      </c>
      <c r="Q22" s="1" t="str">
        <f ca="1">IFERROR(__xludf.DUMMYFUNCTION("""COMPUTED_VALUE"""),"Deseo servir como equipante esta temporada porque me gusta tomar cada oportunidad de servir a Dios que se me presenta. Además, me encantó la experiencia de ser parte del equipo de verano en la temporada pasada, cuando serví en la última semana de campamen"&amp;"to, después de haber ido una semana como campera. Mi meta en un futuro no muy lejano es estudiar medicina (igualmente, con el objetivo de utilizar este conocimiento para servir y darle gloria a Dios), y confío plenamente en que, durante esos años que dedi"&amp;"caré a estudiar mi carrera, se presentarán muchas oportunidades de servir a Dios de diversas formas. Pero quisiera aprovechar esta etapa de mi juventud en la que cuento con más tiempo y libertad para servir, aprender, crecer y formar amistades que duren p"&amp;"ara siempre y honren al Señor, y pasar todo el verano en un campamento, rodeada de personas bajo el mismo sentir de poner su vida en servicio a Cristo, suena como la experiencia ideal. Una que recordaré durante el resto de mi vida.")</f>
        <v>Deseo servir como equipante esta temporada porque me gusta tomar cada oportunidad de servir a Dios que se me presenta. Además, me encantó la experiencia de ser parte del equipo de verano en la temporada pasada, cuando serví en la última semana de campamento, después de haber ido una semana como campera. Mi meta en un futuro no muy lejano es estudiar medicina (igualmente, con el objetivo de utilizar este conocimiento para servir y darle gloria a Dios), y confío plenamente en que, durante esos años que dedicaré a estudiar mi carrera, se presentarán muchas oportunidades de servir a Dios de diversas formas. Pero quisiera aprovechar esta etapa de mi juventud en la que cuento con más tiempo y libertad para servir, aprender, crecer y formar amistades que duren para siempre y honren al Señor, y pasar todo el verano en un campamento, rodeada de personas bajo el mismo sentir de poner su vida en servicio a Cristo, suena como la experiencia ideal. Una que recordaré durante el resto de mi vida.</v>
      </c>
      <c r="R22" s="1" t="str">
        <f ca="1">IFERROR(__xludf.DUMMYFUNCTION("""COMPUTED_VALUE"""),"No")</f>
        <v>No</v>
      </c>
      <c r="S22" s="1"/>
      <c r="T22" s="1" t="str">
        <f ca="1">IFERROR(__xludf.DUMMYFUNCTION("""COMPUTED_VALUE"""),"Si")</f>
        <v>Si</v>
      </c>
      <c r="U22" s="1" t="str">
        <f ca="1">IFERROR(__xludf.DUMMYFUNCTION("""COMPUTED_VALUE"""),"Toco guitarra, piano y ukulele.")</f>
        <v>Toco guitarra, piano y ukulele.</v>
      </c>
      <c r="V22" s="1" t="str">
        <f ca="1">IFERROR(__xludf.DUMMYFUNCTION("""COMPUTED_VALUE"""),"Actualmente, me encuentro cursando mis estudios de bachillerato. No obstante, para cuando comience la temporada, ya me habré graduado de la preparatoria.")</f>
        <v>Actualmente, me encuentro cursando mis estudios de bachillerato. No obstante, para cuando comience la temporada, ya me habré graduado de la preparatoria.</v>
      </c>
      <c r="W22" s="1" t="str">
        <f ca="1">IFERROR(__xludf.DUMMYFUNCTION("""COMPUTED_VALUE"""),"Mis habilidades son principalmente artísticas. Por ejemplo: cantar, bailar, componer, escribir, redactar, pintar, peinar, actuar, diseñar y manualidades. Además, hablo español e inglés con fluidez, y tengo un nivel básico-intermedio de francés.")</f>
        <v>Mis habilidades son principalmente artísticas. Por ejemplo: cantar, bailar, componer, escribir, redactar, pintar, peinar, actuar, diseñar y manualidades. Además, hablo español e inglés con fluidez, y tengo un nivel básico-intermedio de francés.</v>
      </c>
      <c r="X22" s="1" t="str">
        <f ca="1">IFERROR(__xludf.DUMMYFUNCTION("""COMPUTED_VALUE"""),"B. Me gusta animar a las personas, E. Me gusta el trabajo con niños, G. Soy más eficiente en el trabajo individual, I. Se me facilita el trabajo físico, J. Me gusta la atención a las personas, K. Soy creativo (a), L. Soy bueno (a) en canto o algún instrum"&amp;"ento")</f>
        <v>B. Me gusta animar a las personas, E. Me gusta el trabajo con niños, G. Soy más eficiente en el trabajo individual, I. Se me facilita el trabajo físico, J. Me gusta la atención a las personas, K. Soy creativo (a), L. Soy bueno (a) en canto o algún instrumento</v>
      </c>
      <c r="Y22" s="1" t="str">
        <f ca="1">IFERROR(__xludf.DUMMYFUNCTION("""COMPUTED_VALUE"""),"Sí. Fui campera en las últimas dos temporadas, además de ser equipante en la temporada pasada, después de haber ido una semana como campera.")</f>
        <v>Sí. Fui campera en las últimas dos temporadas, además de ser equipante en la temporada pasada, después de haber ido una semana como campera.</v>
      </c>
      <c r="Z22" s="1"/>
    </row>
    <row r="23" spans="1:26" x14ac:dyDescent="0.35">
      <c r="A23" s="1" t="str">
        <f ca="1">IFERROR(__xludf.DUMMYFUNCTION("""COMPUTED_VALUE"""),"13-Apr-2025 21:08:28")</f>
        <v>13-Apr-2025 21:08:28</v>
      </c>
      <c r="B23" s="1"/>
      <c r="C23" s="1" t="str">
        <f ca="1">IFERROR(__xludf.DUMMYFUNCTION("""COMPUTED_VALUE"""),"Elide Sofía, López Hernández")</f>
        <v>Elide Sofía, López Hernández</v>
      </c>
      <c r="D23" s="1">
        <f ca="1">IFERROR(__xludf.DUMMYFUNCTION("""COMPUTED_VALUE"""),16)</f>
        <v>16</v>
      </c>
      <c r="E23" s="1" t="str">
        <f ca="1">IFERROR(__xludf.DUMMYFUNCTION("""COMPUTED_VALUE"""),"Mujer")</f>
        <v>Mujer</v>
      </c>
      <c r="F23" s="1" t="str">
        <f ca="1">IFERROR(__xludf.DUMMYFUNCTION("""COMPUTED_VALUE"""),"Puebla, Mexico")</f>
        <v>Puebla, Mexico</v>
      </c>
      <c r="G23" s="1" t="str">
        <f ca="1">IFERROR(__xludf.DUMMYFUNCTION("""COMPUTED_VALUE"""),"elidesofialopez26@gmail.com")</f>
        <v>elidesofialopez26@gmail.com</v>
      </c>
      <c r="H23" s="1">
        <f ca="1">IFERROR(__xludf.DUMMYFUNCTION("""COMPUTED_VALUE"""),522222081072)</f>
        <v>522222081072</v>
      </c>
      <c r="I23" s="1" t="str">
        <f ca="1">IFERROR(__xludf.DUMMYFUNCTION("""COMPUTED_VALUE"""),"Semana de entrenamiento (07 - 13) Julio, Comunidad Jóvenes + 18 (14-19) Julio, Semana de niños y niñas (21-25) Julio")</f>
        <v>Semana de entrenamiento (07 - 13) Julio, Comunidad Jóvenes + 18 (14-19) Julio, Semana de niños y niñas (21-25) Julio</v>
      </c>
      <c r="J23" s="1" t="str">
        <f ca="1">IFERROR(__xludf.DUMMYFUNCTION("""COMPUTED_VALUE"""),"Mentiras que las jóvenes creen y la verdad que las hace libres")</f>
        <v>Mentiras que las jóvenes creen y la verdad que las hace libres</v>
      </c>
      <c r="K23" s="1" t="str">
        <f ca="1">IFERROR(__xludf.DUMMYFUNCTION("""COMPUTED_VALUE"""),"Eben-Ezer")</f>
        <v>Eben-Ezer</v>
      </c>
      <c r="L23" s="1" t="str">
        <f ca="1">IFERROR(__xludf.DUMMYFUNCTION("""COMPUTED_VALUE"""),"Noé Jiménez Morales")</f>
        <v>Noé Jiménez Morales</v>
      </c>
      <c r="M23" s="1">
        <f ca="1">IFERROR(__xludf.DUMMYFUNCTION("""COMPUTED_VALUE"""),522214344237)</f>
        <v>522214344237</v>
      </c>
      <c r="N23" s="1" t="str">
        <f ca="1">IFERROR(__xludf.DUMMYFUNCTION("""COMPUTED_VALUE"""),"noe.jovi@hotmal.com")</f>
        <v>noe.jovi@hotmal.com</v>
      </c>
      <c r="O23" s="1" t="str">
        <f ca="1">IFERROR(__xludf.DUMMYFUNCTION("""COMPUTED_VALUE"""),"Ninguno")</f>
        <v>Ninguno</v>
      </c>
      <c r="P23" s="1" t="str">
        <f ca="1">IFERROR(__xludf.DUMMYFUNCTION("""COMPUTED_VALUE"""),"Desde pequeña he hido a la iglesia, y a mis 8 años mi tía platico conmigo sobre la salvación y acepte a Cristo en mi corazón")</f>
        <v>Desde pequeña he hido a la iglesia, y a mis 8 años mi tía platico conmigo sobre la salvación y acepte a Cristo en mi corazón</v>
      </c>
      <c r="Q23" s="1" t="str">
        <f ca="1">IFERROR(__xludf.DUMMYFUNCTION("""COMPUTED_VALUE"""),"Porque el año pasado cuando fui de campera veia a los jovenes de mi edad apoyando, y me entró el interés por apoyar también, y llevarme una experiencia mas")</f>
        <v>Porque el año pasado cuando fui de campera veia a los jovenes de mi edad apoyando, y me entró el interés por apoyar también, y llevarme una experiencia mas</v>
      </c>
      <c r="R23" s="1" t="str">
        <f ca="1">IFERROR(__xludf.DUMMYFUNCTION("""COMPUTED_VALUE"""),"Si")</f>
        <v>Si</v>
      </c>
      <c r="S23" s="1" t="str">
        <f ca="1">IFERROR(__xludf.DUMMYFUNCTION("""COMPUTED_VALUE"""),"Voleibol")</f>
        <v>Voleibol</v>
      </c>
      <c r="T23" s="1" t="str">
        <f ca="1">IFERROR(__xludf.DUMMYFUNCTION("""COMPUTED_VALUE"""),"Si")</f>
        <v>Si</v>
      </c>
      <c r="U23" s="1" t="str">
        <f ca="1">IFERROR(__xludf.DUMMYFUNCTION("""COMPUTED_VALUE"""),"Guitarra y Teclado")</f>
        <v>Guitarra y Teclado</v>
      </c>
      <c r="V23" s="1" t="str">
        <f ca="1">IFERROR(__xludf.DUMMYFUNCTION("""COMPUTED_VALUE"""),"Acualmente estoy estudiando la preparatoria")</f>
        <v>Acualmente estoy estudiando la preparatoria</v>
      </c>
      <c r="W23" s="1" t="str">
        <f ca="1">IFERROR(__xludf.DUMMYFUNCTION("""COMPUTED_VALUE"""),"Hablidad para tocar instrumentos")</f>
        <v>Hablidad para tocar instrumentos</v>
      </c>
      <c r="X23" s="1" t="str">
        <f ca="1">IFERROR(__xludf.DUMMYFUNCTION("""COMPUTED_VALUE"""),"B. Me gusta animar a las personas, C. Suelo buscar que el trabajo se realice en equipo, D. Me gustan los deportes, E. Me gusta el trabajo con niños, G. Soy más eficiente en el trabajo individual, I. Se me facilita el trabajo físico, J. Me gusta la atenció"&amp;"n a las personas, L. Soy bueno (a) en canto o algún instrumento, O. Puedo enseñar con facilidad")</f>
        <v>B. Me gusta animar a las personas, C. Suelo buscar que el trabajo se realice en equipo, D. Me gustan los deportes, E. Me gusta el trabajo con niños, G. Soy más eficiente en el trabajo individual, I. Se me facilita el trabajo físico, J. Me gusta la atención a las personas, L. Soy bueno (a) en canto o algún instrumento, O. Puedo enseñar con facilidad</v>
      </c>
      <c r="Y23" s="1" t="str">
        <f ca="1">IFERROR(__xludf.DUMMYFUNCTION("""COMPUTED_VALUE"""),"Si, en verano 2024")</f>
        <v>Si, en verano 2024</v>
      </c>
      <c r="Z23" s="1"/>
    </row>
    <row r="24" spans="1:26" x14ac:dyDescent="0.35">
      <c r="A24" s="1" t="str">
        <f ca="1">IFERROR(__xludf.DUMMYFUNCTION("""COMPUTED_VALUE"""),"16-Apr-2025 11:22:33")</f>
        <v>16-Apr-2025 11:22:33</v>
      </c>
      <c r="B24" s="1"/>
      <c r="C24" s="1" t="str">
        <f ca="1">IFERROR(__xludf.DUMMYFUNCTION("""COMPUTED_VALUE"""),"Paola Belén, Luis Ruíz")</f>
        <v>Paola Belén, Luis Ruíz</v>
      </c>
      <c r="D24" s="1">
        <f ca="1">IFERROR(__xludf.DUMMYFUNCTION("""COMPUTED_VALUE"""),20)</f>
        <v>20</v>
      </c>
      <c r="E24" s="1" t="str">
        <f ca="1">IFERROR(__xludf.DUMMYFUNCTION("""COMPUTED_VALUE"""),"Mujer")</f>
        <v>Mujer</v>
      </c>
      <c r="F24" s="1" t="str">
        <f ca="1">IFERROR(__xludf.DUMMYFUNCTION("""COMPUTED_VALUE"""),"Jalisco, Mexico")</f>
        <v>Jalisco, Mexico</v>
      </c>
      <c r="G24" s="1" t="str">
        <f ca="1">IFERROR(__xludf.DUMMYFUNCTION("""COMPUTED_VALUE"""),"paobelen.246@gmail.com")</f>
        <v>paobelen.246@gmail.com</v>
      </c>
      <c r="H24" s="1">
        <f ca="1">IFERROR(__xludf.DUMMYFUNCTION("""COMPUTED_VALUE"""),523322549279)</f>
        <v>523322549279</v>
      </c>
      <c r="I24" s="1" t="str">
        <f ca="1">IFERROR(__xludf.DUMMYFUNCTION("""COMPUTED_VALUE"""),"Toda la temporada (07 de Julio al 16 de agosto)")</f>
        <v>Toda la temporada (07 de Julio al 16 de agosto)</v>
      </c>
      <c r="J24" s="1" t="str">
        <f ca="1">IFERROR(__xludf.DUMMYFUNCTION("""COMPUTED_VALUE"""),"Él arte de tomar decisiones")</f>
        <v>Él arte de tomar decisiones</v>
      </c>
      <c r="K24" s="1" t="str">
        <f ca="1">IFERROR(__xludf.DUMMYFUNCTION("""COMPUTED_VALUE"""),"Iglesia vida")</f>
        <v>Iglesia vida</v>
      </c>
      <c r="L24" s="1" t="str">
        <f ca="1">IFERROR(__xludf.DUMMYFUNCTION("""COMPUTED_VALUE"""),"Neftalí Rubió")</f>
        <v>Neftalí Rubió</v>
      </c>
      <c r="M24" s="1">
        <f ca="1">IFERROR(__xludf.DUMMYFUNCTION("""COMPUTED_VALUE"""),524411036024)</f>
        <v>524411036024</v>
      </c>
      <c r="N24" s="1" t="str">
        <f ca="1">IFERROR(__xludf.DUMMYFUNCTION("""COMPUTED_VALUE"""),"nefaly5@hotmail.com")</f>
        <v>nefaly5@hotmail.com</v>
      </c>
      <c r="O24" s="1" t="str">
        <f ca="1">IFERROR(__xludf.DUMMYFUNCTION("""COMPUTED_VALUE"""),"Cafetería, multimedia y misiones")</f>
        <v>Cafetería, multimedia y misiones</v>
      </c>
      <c r="P24" s="1" t="str">
        <f ca="1">IFERROR(__xludf.DUMMYFUNCTION("""COMPUTED_VALUE"""),"Yo vivía una vida de rebeldía y desobediencia, un día en un campamento mi consejera se acercó y me platico la razón por la cual Jesús vino a morir por nosotros, entendí y mi vida cambio, acepte a Cristo en mi vida y en mi corazón y mi vida cambio :)")</f>
        <v>Yo vivía una vida de rebeldía y desobediencia, un día en un campamento mi consejera se acercó y me platico la razón por la cual Jesús vino a morir por nosotros, entendí y mi vida cambio, acepte a Cristo en mi vida y en mi corazón y mi vida cambio :)</v>
      </c>
      <c r="Q24" s="1" t="str">
        <f ca="1">IFERROR(__xludf.DUMMYFUNCTION("""COMPUTED_VALUE"""),"Por servir a Dios")</f>
        <v>Por servir a Dios</v>
      </c>
      <c r="R24" s="1" t="str">
        <f ca="1">IFERROR(__xludf.DUMMYFUNCTION("""COMPUTED_VALUE"""),"Si")</f>
        <v>Si</v>
      </c>
      <c r="S24" s="1" t="str">
        <f ca="1">IFERROR(__xludf.DUMMYFUNCTION("""COMPUTED_VALUE"""),"Voleibol")</f>
        <v>Voleibol</v>
      </c>
      <c r="T24" s="1" t="str">
        <f ca="1">IFERROR(__xludf.DUMMYFUNCTION("""COMPUTED_VALUE"""),"No")</f>
        <v>No</v>
      </c>
      <c r="U24" s="1"/>
      <c r="V24" s="1" t="str">
        <f ca="1">IFERROR(__xludf.DUMMYFUNCTION("""COMPUTED_VALUE"""),"Diseño de interiores")</f>
        <v>Diseño de interiores</v>
      </c>
      <c r="W24" s="1" t="str">
        <f ca="1">IFERROR(__xludf.DUMMYFUNCTION("""COMPUTED_VALUE"""),"Bailar, trabajar lo que sea y aprender")</f>
        <v>Bailar, trabajar lo que sea y aprender</v>
      </c>
      <c r="X24" s="1" t="str">
        <f ca="1">IFERROR(__xludf.DUMMYFUNCTION("""COMPUTED_VALUE"""),"B. Me gusta animar a las personas, C. Suelo buscar que el trabajo se realice en equipo, D. Me gustan los deportes, I. Se me facilita el trabajo físico, K. Soy creativo (a)")</f>
        <v>B. Me gusta animar a las personas, C. Suelo buscar que el trabajo se realice en equipo, D. Me gustan los deportes, I. Se me facilita el trabajo físico, K. Soy creativo (a)</v>
      </c>
      <c r="Y24" s="1" t="str">
        <f ca="1">IFERROR(__xludf.DUMMYFUNCTION("""COMPUTED_VALUE"""),"Si. 2022 y 2023")</f>
        <v>Si. 2022 y 2023</v>
      </c>
      <c r="Z24" s="1"/>
    </row>
    <row r="25" spans="1:26" x14ac:dyDescent="0.35">
      <c r="A25" s="1" t="str">
        <f ca="1">IFERROR(__xludf.DUMMYFUNCTION("""COMPUTED_VALUE"""),"20-Apr-2025 15:23:11")</f>
        <v>20-Apr-2025 15:23:11</v>
      </c>
      <c r="B25" s="1"/>
      <c r="C25" s="1" t="str">
        <f ca="1">IFERROR(__xludf.DUMMYFUNCTION("""COMPUTED_VALUE"""),"sarah, Watson")</f>
        <v>sarah, Watson</v>
      </c>
      <c r="D25" s="1">
        <f ca="1">IFERROR(__xludf.DUMMYFUNCTION("""COMPUTED_VALUE"""),17)</f>
        <v>17</v>
      </c>
      <c r="E25" s="1" t="str">
        <f ca="1">IFERROR(__xludf.DUMMYFUNCTION("""COMPUTED_VALUE"""),"Mujer")</f>
        <v>Mujer</v>
      </c>
      <c r="F25" s="1" t="str">
        <f ca="1">IFERROR(__xludf.DUMMYFUNCTION("""COMPUTED_VALUE"""),"Durango, Mexico")</f>
        <v>Durango, Mexico</v>
      </c>
      <c r="G25" s="1" t="str">
        <f ca="1">IFERROR(__xludf.DUMMYFUNCTION("""COMPUTED_VALUE"""),"sarahwatoso@gmail.com")</f>
        <v>sarahwatoso@gmail.com</v>
      </c>
      <c r="H25" s="1">
        <f ca="1">IFERROR(__xludf.DUMMYFUNCTION("""COMPUTED_VALUE"""),526771079935)</f>
        <v>526771079935</v>
      </c>
      <c r="I25" s="1" t="str">
        <f ca="1">IFERROR(__xludf.DUMMYFUNCTION("""COMPUTED_VALUE"""),"Comunidad Jóvenes + 18 (14-19) Julio, Semana de niños y niñas (21-25) Julio, Jóvenes de 13 – 17 años / SEM1/ (28 Julio a 02 de agosto), Jóvenes de 13 – 17 años / SEM2/ (4 - 09 agosto), Jóvenes de 13 – 17 años / SEM3/ (11 - 16 agosto)")</f>
        <v>Comunidad Jóvenes + 18 (14-19) Julio, Semana de niños y niñas (21-25) Julio, Jóvenes de 13 – 17 años / SEM1/ (28 Julio a 02 de agosto), Jóvenes de 13 – 17 años / SEM2/ (4 - 09 agosto), Jóvenes de 13 – 17 años / SEM3/ (11 - 16 agosto)</v>
      </c>
      <c r="J25" s="1" t="str">
        <f ca="1">IFERROR(__xludf.DUMMYFUNCTION("""COMPUTED_VALUE"""),"Hora Silenciosa")</f>
        <v>Hora Silenciosa</v>
      </c>
      <c r="K25" s="1" t="str">
        <f ca="1">IFERROR(__xludf.DUMMYFUNCTION("""COMPUTED_VALUE"""),"Gracia Sublime")</f>
        <v>Gracia Sublime</v>
      </c>
      <c r="L25" s="1" t="str">
        <f ca="1">IFERROR(__xludf.DUMMYFUNCTION("""COMPUTED_VALUE"""),"Pastor Wilmar Watson")</f>
        <v>Pastor Wilmar Watson</v>
      </c>
      <c r="M25" s="1">
        <f ca="1">IFERROR(__xludf.DUMMYFUNCTION("""COMPUTED_VALUE"""),526771086308)</f>
        <v>526771086308</v>
      </c>
      <c r="N25" s="1" t="str">
        <f ca="1">IFERROR(__xludf.DUMMYFUNCTION("""COMPUTED_VALUE"""),"gurneywatson75@gmail.com")</f>
        <v>gurneywatson75@gmail.com</v>
      </c>
      <c r="O25" s="1" t="str">
        <f ca="1">IFERROR(__xludf.DUMMYFUNCTION("""COMPUTED_VALUE"""),"Ministerio Infantil")</f>
        <v>Ministerio Infantil</v>
      </c>
      <c r="P25" s="1" t="str">
        <f ca="1">IFERROR(__xludf.DUMMYFUNCTION("""COMPUTED_VALUE"""),"Pues yo nací en una familia cristina y desde pequeña he tenido la palabra de Dios en mi vida. Pero pues no todo es perfecto, he batallado  con bastantes cosas pero últimamente he tenido una buena relación con Dios, Fue difícil pero ya estamos en los camin"&amp;"os de ÉL")</f>
        <v>Pues yo nací en una familia cristina y desde pequeña he tenido la palabra de Dios en mi vida. Pero pues no todo es perfecto, he batallado  con bastantes cosas pero últimamente he tenido una buena relación con Dios, Fue difícil pero ya estamos en los caminos de ÉL</v>
      </c>
      <c r="Q25" s="1" t="str">
        <f ca="1">IFERROR(__xludf.DUMMYFUNCTION("""COMPUTED_VALUE"""),"Deseo ir a servir a este campa por la experiencia tan buena que es y por la convivencia que hay allá. No solamente por esto si no por que me gustar ayudar a la gente con lo que yo pueda.")</f>
        <v>Deseo ir a servir a este campa por la experiencia tan buena que es y por la convivencia que hay allá. No solamente por esto si no por que me gustar ayudar a la gente con lo que yo pueda.</v>
      </c>
      <c r="R25" s="1" t="str">
        <f ca="1">IFERROR(__xludf.DUMMYFUNCTION("""COMPUTED_VALUE"""),"Si")</f>
        <v>Si</v>
      </c>
      <c r="S25" s="1" t="str">
        <f ca="1">IFERROR(__xludf.DUMMYFUNCTION("""COMPUTED_VALUE"""),"Volleyball")</f>
        <v>Volleyball</v>
      </c>
      <c r="T25" s="1" t="str">
        <f ca="1">IFERROR(__xludf.DUMMYFUNCTION("""COMPUTED_VALUE"""),"No")</f>
        <v>No</v>
      </c>
      <c r="U25" s="1"/>
      <c r="V25" s="1" t="str">
        <f ca="1">IFERROR(__xludf.DUMMYFUNCTION("""COMPUTED_VALUE"""),"Estudio Prepa en linea")</f>
        <v>Estudio Prepa en linea</v>
      </c>
      <c r="W25" s="1" t="str">
        <f ca="1">IFERROR(__xludf.DUMMYFUNCTION("""COMPUTED_VALUE"""),"Trabajo en un negocio familiar.")</f>
        <v>Trabajo en un negocio familiar.</v>
      </c>
      <c r="X25" s="1" t="str">
        <f ca="1">IFERROR(__xludf.DUMMYFUNCTION("""COMPUTED_VALUE"""),"B. Me gusta animar a las personas, D. Me gustan los deportes, E. Me gusta el trabajo con niños, H. Soy organizado (a), J. Me gusta la atención a las personas, L. Soy bueno (a) en canto o algún instrumento, O. Puedo enseñar con facilidad")</f>
        <v>B. Me gusta animar a las personas, D. Me gustan los deportes, E. Me gusta el trabajo con niños, H. Soy organizado (a), J. Me gusta la atención a las personas, L. Soy bueno (a) en canto o algún instrumento, O. Puedo enseñar con facilidad</v>
      </c>
      <c r="Y25" s="1" t="str">
        <f ca="1">IFERROR(__xludf.DUMMYFUNCTION("""COMPUTED_VALUE"""),"Si, en 2022 y 2023")</f>
        <v>Si, en 2022 y 2023</v>
      </c>
      <c r="Z25" s="1"/>
    </row>
    <row r="26" spans="1:26" x14ac:dyDescent="0.35">
      <c r="A26" s="1" t="str">
        <f ca="1">IFERROR(__xludf.DUMMYFUNCTION("""COMPUTED_VALUE"""),"20-Apr-2025 18:09:22")</f>
        <v>20-Apr-2025 18:09:22</v>
      </c>
      <c r="B26" s="1"/>
      <c r="C26" s="1" t="str">
        <f ca="1">IFERROR(__xludf.DUMMYFUNCTION("""COMPUTED_VALUE"""),"Gerardo Hiram, Martinez trejo")</f>
        <v>Gerardo Hiram, Martinez trejo</v>
      </c>
      <c r="D26" s="1">
        <f ca="1">IFERROR(__xludf.DUMMYFUNCTION("""COMPUTED_VALUE"""),19)</f>
        <v>19</v>
      </c>
      <c r="E26" s="1" t="str">
        <f ca="1">IFERROR(__xludf.DUMMYFUNCTION("""COMPUTED_VALUE"""),"Hombre")</f>
        <v>Hombre</v>
      </c>
      <c r="F26" s="1" t="str">
        <f ca="1">IFERROR(__xludf.DUMMYFUNCTION("""COMPUTED_VALUE"""),"Mexico City, Mexico")</f>
        <v>Mexico City, Mexico</v>
      </c>
      <c r="G26" s="1" t="str">
        <f ca="1">IFERROR(__xludf.DUMMYFUNCTION("""COMPUTED_VALUE"""),"hiramgermtt03@gmail.com")</f>
        <v>hiramgermtt03@gmail.com</v>
      </c>
      <c r="H26" s="1">
        <f ca="1">IFERROR(__xludf.DUMMYFUNCTION("""COMPUTED_VALUE"""),525626247871)</f>
        <v>525626247871</v>
      </c>
      <c r="I26" s="1" t="str">
        <f ca="1">IFERROR(__xludf.DUMMYFUNCTION("""COMPUTED_VALUE"""),"Toda la temporada (07 de Julio al 16 de agosto)")</f>
        <v>Toda la temporada (07 de Julio al 16 de agosto)</v>
      </c>
      <c r="J26" s="1" t="str">
        <f ca="1">IFERROR(__xludf.DUMMYFUNCTION("""COMPUTED_VALUE"""),"Hora silenciosa")</f>
        <v>Hora silenciosa</v>
      </c>
      <c r="K26" s="1" t="str">
        <f ca="1">IFERROR(__xludf.DUMMYFUNCTION("""COMPUTED_VALUE"""),"Vida nueva para el mundo coapa")</f>
        <v>Vida nueva para el mundo coapa</v>
      </c>
      <c r="L26" s="1" t="str">
        <f ca="1">IFERROR(__xludf.DUMMYFUNCTION("""COMPUTED_VALUE"""),"Gerardo Diaz")</f>
        <v>Gerardo Diaz</v>
      </c>
      <c r="M26" s="1">
        <f ca="1">IFERROR(__xludf.DUMMYFUNCTION("""COMPUTED_VALUE"""),525525592449)</f>
        <v>525525592449</v>
      </c>
      <c r="N26" s="1" t="str">
        <f ca="1">IFERROR(__xludf.DUMMYFUNCTION("""COMPUTED_VALUE"""),"geris1707@gmail.com")</f>
        <v>geris1707@gmail.com</v>
      </c>
      <c r="O26" s="1" t="str">
        <f ca="1">IFERROR(__xludf.DUMMYFUNCTION("""COMPUTED_VALUE"""),"Por el momento no estoy sirviendo")</f>
        <v>Por el momento no estoy sirviendo</v>
      </c>
      <c r="P26" s="1" t="str">
        <f ca="1">IFERROR(__xludf.DUMMYFUNCTION("""COMPUTED_VALUE"""),"Yo nací en cuna cristiana, toda mi vida estuve rodeado de cosas hacerca de la iglesia pero no lo comprendí bien hasta el 2018 que tomé una decisión de consagrar mi vida")</f>
        <v>Yo nací en cuna cristiana, toda mi vida estuve rodeado de cosas hacerca de la iglesia pero no lo comprendí bien hasta el 2018 que tomé una decisión de consagrar mi vida</v>
      </c>
      <c r="Q26" s="1" t="str">
        <f ca="1">IFERROR(__xludf.DUMMYFUNCTION("""COMPUTED_VALUE"""),"Quiero dedicar mi verano a Dios para que otros conozcan de su palabra")</f>
        <v>Quiero dedicar mi verano a Dios para que otros conozcan de su palabra</v>
      </c>
      <c r="R26" s="1" t="str">
        <f ca="1">IFERROR(__xludf.DUMMYFUNCTION("""COMPUTED_VALUE"""),"Si")</f>
        <v>Si</v>
      </c>
      <c r="S26" s="1" t="str">
        <f ca="1">IFERROR(__xludf.DUMMYFUNCTION("""COMPUTED_VALUE"""),"Futbol americano")</f>
        <v>Futbol americano</v>
      </c>
      <c r="T26" s="1" t="str">
        <f ca="1">IFERROR(__xludf.DUMMYFUNCTION("""COMPUTED_VALUE"""),"No")</f>
        <v>No</v>
      </c>
      <c r="U26" s="1"/>
      <c r="V26" s="1" t="str">
        <f ca="1">IFERROR(__xludf.DUMMYFUNCTION("""COMPUTED_VALUE"""),"Por el momento no estudio, presente exámenes de admisión a universidades")</f>
        <v>Por el momento no estudio, presente exámenes de admisión a universidades</v>
      </c>
      <c r="W26" s="1" t="str">
        <f ca="1">IFERROR(__xludf.DUMMYFUNCTION("""COMPUTED_VALUE"""),"Trabajo de maestro para chavos que van a hacer su examen de admisión a la prepa")</f>
        <v>Trabajo de maestro para chavos que van a hacer su examen de admisión a la prepa</v>
      </c>
      <c r="X26" s="1" t="str">
        <f ca="1">IFERROR(__xludf.DUMMYFUNCTION("""COMPUTED_VALUE"""),"B. Me gusta animar a las personas, D. Me gustan los deportes, H. Soy organizado (a), I. Se me facilita el trabajo físico, K. Soy creativo (a), N. Suelo llevar el liderazgo en un grupo, O. Puedo enseñar con facilidad")</f>
        <v>B. Me gusta animar a las personas, D. Me gustan los deportes, H. Soy organizado (a), I. Se me facilita el trabajo físico, K. Soy creativo (a), N. Suelo llevar el liderazgo en un grupo, O. Puedo enseñar con facilidad</v>
      </c>
      <c r="Y26" s="1">
        <f ca="1">IFERROR(__xludf.DUMMYFUNCTION("""COMPUTED_VALUE"""),2018)</f>
        <v>2018</v>
      </c>
      <c r="Z26" s="1"/>
    </row>
    <row r="27" spans="1:26" x14ac:dyDescent="0.35">
      <c r="A27" s="1" t="str">
        <f ca="1">IFERROR(__xludf.DUMMYFUNCTION("""COMPUTED_VALUE"""),"20-Apr-2025 18:13:18")</f>
        <v>20-Apr-2025 18:13:18</v>
      </c>
      <c r="B27" s="1"/>
      <c r="C27" s="1" t="str">
        <f ca="1">IFERROR(__xludf.DUMMYFUNCTION("""COMPUTED_VALUE"""),"Daniel, Lopez Juarez")</f>
        <v>Daniel, Lopez Juarez</v>
      </c>
      <c r="D27" s="1">
        <f ca="1">IFERROR(__xludf.DUMMYFUNCTION("""COMPUTED_VALUE"""),23)</f>
        <v>23</v>
      </c>
      <c r="E27" s="1" t="str">
        <f ca="1">IFERROR(__xludf.DUMMYFUNCTION("""COMPUTED_VALUE"""),"Hombre")</f>
        <v>Hombre</v>
      </c>
      <c r="F27" s="1" t="str">
        <f ca="1">IFERROR(__xludf.DUMMYFUNCTION("""COMPUTED_VALUE"""),"Guanajuato, Mexico")</f>
        <v>Guanajuato, Mexico</v>
      </c>
      <c r="G27" s="1" t="str">
        <f ca="1">IFERROR(__xludf.DUMMYFUNCTION("""COMPUTED_VALUE"""),"daniel.lojua@icloud.com")</f>
        <v>daniel.lojua@icloud.com</v>
      </c>
      <c r="H27" s="1">
        <f ca="1">IFERROR(__xludf.DUMMYFUNCTION("""COMPUTED_VALUE"""),524641793383)</f>
        <v>524641793383</v>
      </c>
      <c r="I27" s="1" t="str">
        <f ca="1">IFERROR(__xludf.DUMMYFUNCTION("""COMPUTED_VALUE"""),"Jóvenes de 13 – 17 años / SEM1/ (28 Julio a 02 de agosto), Jóvenes de 13 – 17 años / SEM2/ (4 - 09 agosto), Jóvenes de 13 – 17 años / SEM3/ (11 - 16 agosto)")</f>
        <v>Jóvenes de 13 – 17 años / SEM1/ (28 Julio a 02 de agosto), Jóvenes de 13 – 17 años / SEM2/ (4 - 09 agosto), Jóvenes de 13 – 17 años / SEM3/ (11 - 16 agosto)</v>
      </c>
      <c r="J27" s="1" t="str">
        <f ca="1">IFERROR(__xludf.DUMMYFUNCTION("""COMPUTED_VALUE"""),"Quiet Time")</f>
        <v>Quiet Time</v>
      </c>
      <c r="K27" s="1" t="str">
        <f ca="1">IFERROR(__xludf.DUMMYFUNCTION("""COMPUTED_VALUE"""),"Príncipe de Paz")</f>
        <v>Príncipe de Paz</v>
      </c>
      <c r="L27" s="1" t="str">
        <f ca="1">IFERROR(__xludf.DUMMYFUNCTION("""COMPUTED_VALUE"""),"Enrique Hernández Nava")</f>
        <v>Enrique Hernández Nava</v>
      </c>
      <c r="M27" s="1">
        <f ca="1">IFERROR(__xludf.DUMMYFUNCTION("""COMPUTED_VALUE"""),524641006740)</f>
        <v>524641006740</v>
      </c>
      <c r="N27" s="1" t="str">
        <f ca="1">IFERROR(__xludf.DUMMYFUNCTION("""COMPUTED_VALUE"""),"enrikeh59@yahoo.com.mx")</f>
        <v>enrikeh59@yahoo.com.mx</v>
      </c>
      <c r="O27" s="1" t="str">
        <f ca="1">IFERROR(__xludf.DUMMYFUNCTION("""COMPUTED_VALUE"""),"Tecnología / Multimedia")</f>
        <v>Tecnología / Multimedia</v>
      </c>
      <c r="P27" s="1" t="str">
        <f ca="1">IFERROR(__xludf.DUMMYFUNCTION("""COMPUTED_VALUE"""),"Cuando tenía 16 años, en un campamento de mi convención regional de jóvenes me di cuenta que a pesar de nacer en cuna cristiana, tenía que aceptar a Jesús como mi salvador para ser limpiado de mis pecados, es por eso que desde entonces he decidido servirl"&amp;"e.")</f>
        <v>Cuando tenía 16 años, en un campamento de mi convención regional de jóvenes me di cuenta que a pesar de nacer en cuna cristiana, tenía que aceptar a Jesús como mi salvador para ser limpiado de mis pecados, es por eso que desde entonces he decidido servirle.</v>
      </c>
      <c r="Q27" s="1" t="str">
        <f ca="1">IFERROR(__xludf.DUMMYFUNCTION("""COMPUTED_VALUE"""),"Quiero ser usado a través de mis dones y talentos para que más personas puedan escuchar de Dios y reciban el mensaje de salvación")</f>
        <v>Quiero ser usado a través de mis dones y talentos para que más personas puedan escuchar de Dios y reciban el mensaje de salvación</v>
      </c>
      <c r="R27" s="1" t="str">
        <f ca="1">IFERROR(__xludf.DUMMYFUNCTION("""COMPUTED_VALUE"""),"Si")</f>
        <v>Si</v>
      </c>
      <c r="S27" s="1" t="str">
        <f ca="1">IFERROR(__xludf.DUMMYFUNCTION("""COMPUTED_VALUE"""),"Fútbol y Volleyball")</f>
        <v>Fútbol y Volleyball</v>
      </c>
      <c r="T27" s="1" t="str">
        <f ca="1">IFERROR(__xludf.DUMMYFUNCTION("""COMPUTED_VALUE"""),"No")</f>
        <v>No</v>
      </c>
      <c r="U27" s="1"/>
      <c r="V27" s="1" t="str">
        <f ca="1">IFERROR(__xludf.DUMMYFUNCTION("""COMPUTED_VALUE"""),"Mercadotecnia y Publicidad")</f>
        <v>Mercadotecnia y Publicidad</v>
      </c>
      <c r="W27" s="1" t="str">
        <f ca="1">IFERROR(__xludf.DUMMYFUNCTION("""COMPUTED_VALUE"""),"Fotografía, vídeo y mercadotecnia")</f>
        <v>Fotografía, vídeo y mercadotecnia</v>
      </c>
      <c r="X27" s="1" t="str">
        <f ca="1">IFERROR(__xludf.DUMMYFUNCTION("""COMPUTED_VALUE"""),"C. Suelo buscar que el trabajo se realice en equipo, D. Me gustan los deportes, K. Soy creativo (a), O. Puedo enseñar con facilidad")</f>
        <v>C. Suelo buscar que el trabajo se realice en equipo, D. Me gustan los deportes, K. Soy creativo (a), O. Puedo enseñar con facilidad</v>
      </c>
      <c r="Y27" s="1" t="str">
        <f ca="1">IFERROR(__xludf.DUMMYFUNCTION("""COMPUTED_VALUE"""),"2017 y 2018")</f>
        <v>2017 y 2018</v>
      </c>
      <c r="Z27" s="1"/>
    </row>
    <row r="28" spans="1:26" x14ac:dyDescent="0.35">
      <c r="A28" s="1" t="str">
        <f ca="1">IFERROR(__xludf.DUMMYFUNCTION("""COMPUTED_VALUE"""),"21-Apr-2025 11:48:33")</f>
        <v>21-Apr-2025 11:48:33</v>
      </c>
      <c r="B28" s="1"/>
      <c r="C28" s="1" t="str">
        <f ca="1">IFERROR(__xludf.DUMMYFUNCTION("""COMPUTED_VALUE"""),"nathalie, moralkes nuñez")</f>
        <v>nathalie, moralkes nuñez</v>
      </c>
      <c r="D28" s="1">
        <f ca="1">IFERROR(__xludf.DUMMYFUNCTION("""COMPUTED_VALUE"""),21)</f>
        <v>21</v>
      </c>
      <c r="E28" s="1" t="str">
        <f ca="1">IFERROR(__xludf.DUMMYFUNCTION("""COMPUTED_VALUE"""),"Mujer")</f>
        <v>Mujer</v>
      </c>
      <c r="F28" s="1" t="str">
        <f ca="1">IFERROR(__xludf.DUMMYFUNCTION("""COMPUTED_VALUE"""),"Mexico City, Mexico")</f>
        <v>Mexico City, Mexico</v>
      </c>
      <c r="G28" s="1" t="str">
        <f ca="1">IFERROR(__xludf.DUMMYFUNCTION("""COMPUTED_VALUE"""),"natalym728@gmail.com")</f>
        <v>natalym728@gmail.com</v>
      </c>
      <c r="H28" s="1">
        <f ca="1">IFERROR(__xludf.DUMMYFUNCTION("""COMPUTED_VALUE"""),524131434547)</f>
        <v>524131434547</v>
      </c>
      <c r="I28" s="1" t="str">
        <f ca="1">IFERROR(__xludf.DUMMYFUNCTION("""COMPUTED_VALUE"""),"Toda la temporada (07 de Julio al 16 de agosto)")</f>
        <v>Toda la temporada (07 de Julio al 16 de agosto)</v>
      </c>
      <c r="J28" s="1" t="str">
        <f ca="1">IFERROR(__xludf.DUMMYFUNCTION("""COMPUTED_VALUE"""),"diferentes devocionales en holy bible")</f>
        <v>diferentes devocionales en holy bible</v>
      </c>
      <c r="K28" s="1" t="str">
        <f ca="1">IFERROR(__xludf.DUMMYFUNCTION("""COMPUTED_VALUE"""),"vida nueva")</f>
        <v>vida nueva</v>
      </c>
      <c r="L28" s="1" t="str">
        <f ca="1">IFERROR(__xludf.DUMMYFUNCTION("""COMPUTED_VALUE"""),"Mario del Valle")</f>
        <v>Mario del Valle</v>
      </c>
      <c r="M28" s="1">
        <f ca="1">IFERROR(__xludf.DUMMYFUNCTION("""COMPUTED_VALUE"""),525624927344)</f>
        <v>525624927344</v>
      </c>
      <c r="N28" s="1" t="str">
        <f ca="1">IFERROR(__xludf.DUMMYFUNCTION("""COMPUTED_VALUE"""),"Mariohdelvalle@gmail.com")</f>
        <v>Mariohdelvalle@gmail.com</v>
      </c>
      <c r="O28" s="1" t="str">
        <f ca="1">IFERROR(__xludf.DUMMYFUNCTION("""COMPUTED_VALUE"""),"discipula")</f>
        <v>discipula</v>
      </c>
      <c r="P28" s="1" t="str">
        <f ca="1">IFERROR(__xludf.DUMMYFUNCTION("""COMPUTED_VALUE"""),"cuando tenia 13 años acepte a Cristo en mi corazon y desde ese momento ha sido un proceso duro y largo que me ha levado a acercarme mas a el, a conocerle mas y a aprender que Dios me ama y no quiere que me aleje de el, a pesar de haber cometido tantos err"&amp;"ores a lo largo de mi vida, Dios siempre me mostro su gran amor mostrandome que estaba perdida y debia volver a el.")</f>
        <v>cuando tenia 13 años acepte a Cristo en mi corazon y desde ese momento ha sido un proceso duro y largo que me ha levado a acercarme mas a el, a conocerle mas y a aprender que Dios me ama y no quiere que me aleje de el, a pesar de haber cometido tantos errores a lo largo de mi vida, Dios siempre me mostro su gran amor mostrandome que estaba perdida y debia volver a el.</v>
      </c>
      <c r="Q28" s="1" t="str">
        <f ca="1">IFERROR(__xludf.DUMMYFUNCTION("""COMPUTED_VALUE"""),"hace un mes pase cosas muy fuertes que voltearon mi mundo de cabeza, Dios siempre estuvo ahi para ayudarme, pero ahora realmente estoy 100% disponible para servir al señor, es algo que anhelo, que Dios me ponga en un lugar que sea su voluntad para sirvirl"&amp;"e a el y no a mi, ultimamente me he sentido inconforme con mis planes, puetso que se que son mios y que son sueños que tengo, pero me he sentido asi porque quiere darle a todo lo que haga un sentido espirutual, ya no quiero crecerme a mi, sino a Cristo y "&amp;"creo que servir en el campa puede abrirme puertas que no habia considerado o que Dios quiere que vea, sigo orando para que Dios me muestre lo que debo hacer, y tambien me gusta miucho ir al campa de campera, ahora me gustaria ayudar.")</f>
        <v>hace un mes pase cosas muy fuertes que voltearon mi mundo de cabeza, Dios siempre estuvo ahi para ayudarme, pero ahora realmente estoy 100% disponible para servir al señor, es algo que anhelo, que Dios me ponga en un lugar que sea su voluntad para sirvirle a el y no a mi, ultimamente me he sentido inconforme con mis planes, puetso que se que son mios y que son sueños que tengo, pero me he sentido asi porque quiere darle a todo lo que haga un sentido espirutual, ya no quiero crecerme a mi, sino a Cristo y creo que servir en el campa puede abrirme puertas que no habia considerado o que Dios quiere que vea, sigo orando para que Dios me muestre lo que debo hacer, y tambien me gusta miucho ir al campa de campera, ahora me gustaria ayudar.</v>
      </c>
      <c r="R28" s="1" t="str">
        <f ca="1">IFERROR(__xludf.DUMMYFUNCTION("""COMPUTED_VALUE"""),"Si")</f>
        <v>Si</v>
      </c>
      <c r="S28" s="1" t="str">
        <f ca="1">IFERROR(__xludf.DUMMYFUNCTION("""COMPUTED_VALUE"""),"basquetbol, estoy empezando a entrenar para acarreras de atletismo y me gusta mucho ir a retas de fut")</f>
        <v>basquetbol, estoy empezando a entrenar para acarreras de atletismo y me gusta mucho ir a retas de fut</v>
      </c>
      <c r="T28" s="1" t="str">
        <f ca="1">IFERROR(__xludf.DUMMYFUNCTION("""COMPUTED_VALUE"""),"Si")</f>
        <v>Si</v>
      </c>
      <c r="U28" s="1" t="str">
        <f ca="1">IFERROR(__xludf.DUMMYFUNCTION("""COMPUTED_VALUE"""),"canto, de mas chica servia en alabanza")</f>
        <v>canto, de mas chica servia en alabanza</v>
      </c>
      <c r="V28" s="1" t="str">
        <f ca="1">IFERROR(__xludf.DUMMYFUNCTION("""COMPUTED_VALUE"""),"psicologia")</f>
        <v>psicologia</v>
      </c>
      <c r="W28" s="1" t="str">
        <f ca="1">IFERROR(__xludf.DUMMYFUNCTION("""COMPUTED_VALUE"""),"fotografia, amo tomar fotos y tengo mi estudio, me encantaria que Dios use mi talnte para servirle")</f>
        <v>fotografia, amo tomar fotos y tengo mi estudio, me encantaria que Dios use mi talnte para servirle</v>
      </c>
      <c r="X28" s="1" t="str">
        <f ca="1">IFERROR(__xludf.DUMMYFUNCTION("""COMPUTED_VALUE"""),"D. Me gustan los deportes, E. Me gusta el trabajo con niños, G. Soy más eficiente en el trabajo individual, J. Me gusta la atención a las personas, K. Soy creativo (a), L. Soy bueno (a) en canto o algún instrumento")</f>
        <v>D. Me gustan los deportes, E. Me gusta el trabajo con niños, G. Soy más eficiente en el trabajo individual, J. Me gusta la atención a las personas, K. Soy creativo (a), L. Soy bueno (a) en canto o algún instrumento</v>
      </c>
      <c r="Y28" s="1" t="str">
        <f ca="1">IFERROR(__xludf.DUMMYFUNCTION("""COMPUTED_VALUE"""),"si, la temporada pasada")</f>
        <v>si, la temporada pasada</v>
      </c>
      <c r="Z28" s="1"/>
    </row>
    <row r="29" spans="1:26" x14ac:dyDescent="0.35">
      <c r="A29" s="1" t="str">
        <f ca="1">IFERROR(__xludf.DUMMYFUNCTION("""COMPUTED_VALUE"""),"21-Apr-2025 12:59:52")</f>
        <v>21-Apr-2025 12:59:52</v>
      </c>
      <c r="B29" s="1"/>
      <c r="C29" s="1" t="str">
        <f ca="1">IFERROR(__xludf.DUMMYFUNCTION("""COMPUTED_VALUE"""),"Alya Elienai, Carrizales Esquivel")</f>
        <v>Alya Elienai, Carrizales Esquivel</v>
      </c>
      <c r="D29" s="1">
        <f ca="1">IFERROR(__xludf.DUMMYFUNCTION("""COMPUTED_VALUE"""),17)</f>
        <v>17</v>
      </c>
      <c r="E29" s="1" t="str">
        <f ca="1">IFERROR(__xludf.DUMMYFUNCTION("""COMPUTED_VALUE"""),"Mujer")</f>
        <v>Mujer</v>
      </c>
      <c r="F29" s="1" t="str">
        <f ca="1">IFERROR(__xludf.DUMMYFUNCTION("""COMPUTED_VALUE"""),"Queretaro, Mexico")</f>
        <v>Queretaro, Mexico</v>
      </c>
      <c r="G29" s="1" t="str">
        <f ca="1">IFERROR(__xludf.DUMMYFUNCTION("""COMPUTED_VALUE"""),"alya.carrizales.1@gmail.com")</f>
        <v>alya.carrizales.1@gmail.com</v>
      </c>
      <c r="H29" s="1">
        <f ca="1">IFERROR(__xludf.DUMMYFUNCTION("""COMPUTED_VALUE"""),524428903752)</f>
        <v>524428903752</v>
      </c>
      <c r="I29" s="1" t="str">
        <f ca="1">IFERROR(__xludf.DUMMYFUNCTION("""COMPUTED_VALUE"""),"Semana de niños y niñas (21-25) Julio, Jóvenes de 13 – 17 años / SEM1/ (28 Julio a 02 de agosto)")</f>
        <v>Semana de niños y niñas (21-25) Julio, Jóvenes de 13 – 17 años / SEM1/ (28 Julio a 02 de agosto)</v>
      </c>
      <c r="J29" s="1" t="str">
        <f ca="1">IFERROR(__xludf.DUMMYFUNCTION("""COMPUTED_VALUE"""),"la Biblia")</f>
        <v>la Biblia</v>
      </c>
      <c r="K29" s="1" t="str">
        <f ca="1">IFERROR(__xludf.DUMMYFUNCTION("""COMPUTED_VALUE"""),"Ministerios de Reconciliación")</f>
        <v>Ministerios de Reconciliación</v>
      </c>
      <c r="L29" s="1" t="str">
        <f ca="1">IFERROR(__xludf.DUMMYFUNCTION("""COMPUTED_VALUE"""),"Abel Sanchez")</f>
        <v>Abel Sanchez</v>
      </c>
      <c r="M29" s="1">
        <f ca="1">IFERROR(__xludf.DUMMYFUNCTION("""COMPUTED_VALUE"""),524429019280)</f>
        <v>524429019280</v>
      </c>
      <c r="N29" s="1" t="str">
        <f ca="1">IFERROR(__xludf.DUMMYFUNCTION("""COMPUTED_VALUE"""),"excelencia.familias@gmail.com")</f>
        <v>excelencia.familias@gmail.com</v>
      </c>
      <c r="O29" s="1" t="str">
        <f ca="1">IFERROR(__xludf.DUMMYFUNCTION("""COMPUTED_VALUE"""),"en cafetería")</f>
        <v>en cafetería</v>
      </c>
      <c r="P29" s="1" t="str">
        <f ca="1">IFERROR(__xludf.DUMMYFUNCTION("""COMPUTED_VALUE"""),"Pues vengo de cuna cristiana y siempre eh estado en la iglesia, pero el año pasado 2024, ese año pude realmente entender lo que Dios hizo por mi y su salvación, Gracias a Dios me bautice en Noviembre del año pasado y mi vida a cambiado mucho con Jesús en "&amp;"mi vida y en mis decisiones.")</f>
        <v>Pues vengo de cuna cristiana y siempre eh estado en la iglesia, pero el año pasado 2024, ese año pude realmente entender lo que Dios hizo por mi y su salvación, Gracias a Dios me bautice en Noviembre del año pasado y mi vida a cambiado mucho con Jesús en mi vida y en mis decisiones.</v>
      </c>
      <c r="Q29" s="1" t="str">
        <f ca="1">IFERROR(__xludf.DUMMYFUNCTION("""COMPUTED_VALUE"""),"Porque Dios a puesto en mi corazón el querer servirle, y que mejor que poder servirle de esta forma, ayudando y sirviendo a las demás personas para que puedan conocer de Dios")</f>
        <v>Porque Dios a puesto en mi corazón el querer servirle, y que mejor que poder servirle de esta forma, ayudando y sirviendo a las demás personas para que puedan conocer de Dios</v>
      </c>
      <c r="R29" s="1" t="str">
        <f ca="1">IFERROR(__xludf.DUMMYFUNCTION("""COMPUTED_VALUE"""),"Si")</f>
        <v>Si</v>
      </c>
      <c r="S29" s="1" t="str">
        <f ca="1">IFERROR(__xludf.DUMMYFUNCTION("""COMPUTED_VALUE"""),"padel")</f>
        <v>padel</v>
      </c>
      <c r="T29" s="1" t="str">
        <f ca="1">IFERROR(__xludf.DUMMYFUNCTION("""COMPUTED_VALUE"""),"No")</f>
        <v>No</v>
      </c>
      <c r="U29" s="1"/>
      <c r="V29" s="1" t="str">
        <f ca="1">IFERROR(__xludf.DUMMYFUNCTION("""COMPUTED_VALUE"""),"La prepa ( ACE )")</f>
        <v>La prepa ( ACE )</v>
      </c>
      <c r="W29" s="1" t="str">
        <f ca="1">IFERROR(__xludf.DUMMYFUNCTION("""COMPUTED_VALUE"""),"soy buena organizando juegos")</f>
        <v>soy buena organizando juegos</v>
      </c>
      <c r="X29" s="1" t="str">
        <f ca="1">IFERROR(__xludf.DUMMYFUNCTION("""COMPUTED_VALUE"""),"B. Me gusta animar a las personas, C. Suelo buscar que el trabajo se realice en equipo, D. Me gustan los deportes, G. Soy más eficiente en el trabajo individual, H. Soy organizado (a), J. Me gusta la atención a las personas, K. Soy creativo (a)")</f>
        <v>B. Me gusta animar a las personas, C. Suelo buscar que el trabajo se realice en equipo, D. Me gustan los deportes, G. Soy más eficiente en el trabajo individual, H. Soy organizado (a), J. Me gusta la atención a las personas, K. Soy creativo (a)</v>
      </c>
      <c r="Y29" s="1" t="str">
        <f ca="1">IFERROR(__xludf.DUMMYFUNCTION("""COMPUTED_VALUE"""),"si desde 2019 al 2024")</f>
        <v>si desde 2019 al 2024</v>
      </c>
      <c r="Z29" s="1"/>
    </row>
    <row r="30" spans="1:26" x14ac:dyDescent="0.35">
      <c r="A30" s="1" t="str">
        <f ca="1">IFERROR(__xludf.DUMMYFUNCTION("""COMPUTED_VALUE"""),"21-Apr-2025 17:45:08")</f>
        <v>21-Apr-2025 17:45:08</v>
      </c>
      <c r="B30" s="1"/>
      <c r="C30" s="1" t="str">
        <f ca="1">IFERROR(__xludf.DUMMYFUNCTION("""COMPUTED_VALUE"""),"Débora, García Arteaga")</f>
        <v>Débora, García Arteaga</v>
      </c>
      <c r="D30" s="1">
        <f ca="1">IFERROR(__xludf.DUMMYFUNCTION("""COMPUTED_VALUE"""),15)</f>
        <v>15</v>
      </c>
      <c r="E30" s="1" t="str">
        <f ca="1">IFERROR(__xludf.DUMMYFUNCTION("""COMPUTED_VALUE"""),"Mujer")</f>
        <v>Mujer</v>
      </c>
      <c r="F30" s="1" t="str">
        <f ca="1">IFERROR(__xludf.DUMMYFUNCTION("""COMPUTED_VALUE"""),"Queretaro, Mexico")</f>
        <v>Queretaro, Mexico</v>
      </c>
      <c r="G30" s="1" t="str">
        <f ca="1">IFERROR(__xludf.DUMMYFUNCTION("""COMPUTED_VALUE"""),"garloydet@gmail.com")</f>
        <v>garloydet@gmail.com</v>
      </c>
      <c r="H30" s="1">
        <f ca="1">IFERROR(__xludf.DUMMYFUNCTION("""COMPUTED_VALUE"""),524425974666)</f>
        <v>524425974666</v>
      </c>
      <c r="I30" s="1" t="str">
        <f ca="1">IFERROR(__xludf.DUMMYFUNCTION("""COMPUTED_VALUE"""),"Jóvenes de 13 – 17 años / SEM1/ (28 Julio a 02 de agosto), Jóvenes de 13 – 17 años / SEM2/ (4 - 09 agosto), Jóvenes de 13 – 17 años / SEM3/ (11 - 16 agosto)")</f>
        <v>Jóvenes de 13 – 17 años / SEM1/ (28 Julio a 02 de agosto), Jóvenes de 13 – 17 años / SEM2/ (4 - 09 agosto), Jóvenes de 13 – 17 años / SEM3/ (11 - 16 agosto)</v>
      </c>
      <c r="J30" s="1" t="str">
        <f ca="1">IFERROR(__xludf.DUMMYFUNCTION("""COMPUTED_VALUE"""),"Semillas")</f>
        <v>Semillas</v>
      </c>
      <c r="K30" s="1" t="str">
        <f ca="1">IFERROR(__xludf.DUMMYFUNCTION("""COMPUTED_VALUE"""),"Iglesia del Dios Vivo El Buen Pastor")</f>
        <v>Iglesia del Dios Vivo El Buen Pastor</v>
      </c>
      <c r="L30" s="1" t="str">
        <f ca="1">IFERROR(__xludf.DUMMYFUNCTION("""COMPUTED_VALUE"""),"Isaac Rodriguez")</f>
        <v>Isaac Rodriguez</v>
      </c>
      <c r="M30" s="1">
        <f ca="1">IFERROR(__xludf.DUMMYFUNCTION("""COMPUTED_VALUE"""),527203617286)</f>
        <v>527203617286</v>
      </c>
      <c r="N30" s="1" t="str">
        <f ca="1">IFERROR(__xludf.DUMMYFUNCTION("""COMPUTED_VALUE"""),"isisacrh221@gmail.com")</f>
        <v>isisacrh221@gmail.com</v>
      </c>
      <c r="O30" s="1" t="str">
        <f ca="1">IFERROR(__xludf.DUMMYFUNCTION("""COMPUTED_VALUE"""),"Ninguno")</f>
        <v>Ninguno</v>
      </c>
      <c r="P30" s="1" t="str">
        <f ca="1">IFERROR(__xludf.DUMMYFUNCTION("""COMPUTED_VALUE"""),"El año pasado en Noviembre decidí entregar mi vida a Dios, aunque yo ya conocía desde antes, el año pasado decidí tomar esta gran decisión porque sabía que era lo correcto aunque años atrás no me interesaba. El año pasado fue diferente y deseaba conocer m"&amp;"ás del Señor Jesucristo.")</f>
        <v>El año pasado en Noviembre decidí entregar mi vida a Dios, aunque yo ya conocía desde antes, el año pasado decidí tomar esta gran decisión porque sabía que era lo correcto aunque años atrás no me interesaba. El año pasado fue diferente y deseaba conocer más del Señor Jesucristo.</v>
      </c>
      <c r="Q30" s="1" t="str">
        <f ca="1">IFERROR(__xludf.DUMMYFUNCTION("""COMPUTED_VALUE"""),"Deseo ser parte del equipo de verano, porque quiero servir a Dios durante esta temporada en donde tengo la oportunidad de hacerlo. Me gustaría ayudar en ser parte del equipo porque sé que es un trabajo hecho para Dios y para ganar nuevas almas.")</f>
        <v>Deseo ser parte del equipo de verano, porque quiero servir a Dios durante esta temporada en donde tengo la oportunidad de hacerlo. Me gustaría ayudar en ser parte del equipo porque sé que es un trabajo hecho para Dios y para ganar nuevas almas.</v>
      </c>
      <c r="R30" s="1" t="str">
        <f ca="1">IFERROR(__xludf.DUMMYFUNCTION("""COMPUTED_VALUE"""),"No")</f>
        <v>No</v>
      </c>
      <c r="S30" s="1"/>
      <c r="T30" s="1" t="str">
        <f ca="1">IFERROR(__xludf.DUMMYFUNCTION("""COMPUTED_VALUE"""),"No")</f>
        <v>No</v>
      </c>
      <c r="U30" s="1"/>
      <c r="V30" s="1" t="str">
        <f ca="1">IFERROR(__xludf.DUMMYFUNCTION("""COMPUTED_VALUE"""),"Secundaria")</f>
        <v>Secundaria</v>
      </c>
      <c r="W30" s="1" t="str">
        <f ca="1">IFERROR(__xludf.DUMMYFUNCTION("""COMPUTED_VALUE"""),"ninguna en específico")</f>
        <v>ninguna en específico</v>
      </c>
      <c r="X30" s="1" t="str">
        <f ca="1">IFERROR(__xludf.DUMMYFUNCTION("""COMPUTED_VALUE"""),"B. Me gusta animar a las personas, C. Suelo buscar que el trabajo se realice en equipo, G. Soy más eficiente en el trabajo individual, J. Me gusta la atención a las personas, K. Soy creativo (a), L. Soy bueno (a) en canto o algún instrumento, O. Puedo ens"&amp;"eñar con facilidad")</f>
        <v>B. Me gusta animar a las personas, C. Suelo buscar que el trabajo se realice en equipo, G. Soy más eficiente en el trabajo individual, J. Me gusta la atención a las personas, K. Soy creativo (a), L. Soy bueno (a) en canto o algún instrumento, O. Puedo enseñar con facilidad</v>
      </c>
      <c r="Y30" s="1" t="str">
        <f ca="1">IFERROR(__xludf.DUMMYFUNCTION("""COMPUTED_VALUE"""),"Sí, en 2023 y 2024")</f>
        <v>Sí, en 2023 y 2024</v>
      </c>
      <c r="Z30" s="1"/>
    </row>
    <row r="31" spans="1:26" x14ac:dyDescent="0.35">
      <c r="A31" s="1" t="str">
        <f ca="1">IFERROR(__xludf.DUMMYFUNCTION("""COMPUTED_VALUE"""),"22-Apr-2025 22:05:46")</f>
        <v>22-Apr-2025 22:05:46</v>
      </c>
      <c r="B31" s="1"/>
      <c r="C31" s="1" t="str">
        <f ca="1">IFERROR(__xludf.DUMMYFUNCTION("""COMPUTED_VALUE"""),"Elda Isúa, Vernet Fernández")</f>
        <v>Elda Isúa, Vernet Fernández</v>
      </c>
      <c r="D31" s="1">
        <f ca="1">IFERROR(__xludf.DUMMYFUNCTION("""COMPUTED_VALUE"""),19)</f>
        <v>19</v>
      </c>
      <c r="E31" s="1" t="str">
        <f ca="1">IFERROR(__xludf.DUMMYFUNCTION("""COMPUTED_VALUE"""),"Mujer")</f>
        <v>Mujer</v>
      </c>
      <c r="F31" s="1" t="str">
        <f ca="1">IFERROR(__xludf.DUMMYFUNCTION("""COMPUTED_VALUE"""),"Puebla, Mexico")</f>
        <v>Puebla, Mexico</v>
      </c>
      <c r="G31" s="1" t="str">
        <f ca="1">IFERROR(__xludf.DUMMYFUNCTION("""COMPUTED_VALUE"""),"ei.vernet.fdez@gmail.com")</f>
        <v>ei.vernet.fdez@gmail.com</v>
      </c>
      <c r="H31" s="1">
        <f ca="1">IFERROR(__xludf.DUMMYFUNCTION("""COMPUTED_VALUE"""),522371084447)</f>
        <v>522371084447</v>
      </c>
      <c r="I31" s="1" t="str">
        <f ca="1">IFERROR(__xludf.DUMMYFUNCTION("""COMPUTED_VALUE"""),"Toda la temporada (07 de Julio al 16 de agosto)")</f>
        <v>Toda la temporada (07 de Julio al 16 de agosto)</v>
      </c>
      <c r="J31" s="1" t="str">
        <f ca="1">IFERROR(__xludf.DUMMYFUNCTION("""COMPUTED_VALUE"""),"Navigators Bible Reading Plan")</f>
        <v>Navigators Bible Reading Plan</v>
      </c>
      <c r="K31" s="1" t="str">
        <f ca="1">IFERROR(__xludf.DUMMYFUNCTION("""COMPUTED_VALUE"""),"Eben-ezer Tecamachalco")</f>
        <v>Eben-ezer Tecamachalco</v>
      </c>
      <c r="L31" s="1" t="str">
        <f ca="1">IFERROR(__xludf.DUMMYFUNCTION("""COMPUTED_VALUE"""),"Daniel Fernández Castro")</f>
        <v>Daniel Fernández Castro</v>
      </c>
      <c r="M31" s="1">
        <f ca="1">IFERROR(__xludf.DUMMYFUNCTION("""COMPUTED_VALUE"""),522491133934)</f>
        <v>522491133934</v>
      </c>
      <c r="N31" s="1" t="str">
        <f ca="1">IFERROR(__xludf.DUMMYFUNCTION("""COMPUTED_VALUE"""),"danieldejc@hotmail.com")</f>
        <v>danieldejc@hotmail.com</v>
      </c>
      <c r="O31" s="1" t="str">
        <f ca="1">IFERROR(__xludf.DUMMYFUNCTION("""COMPUTED_VALUE"""),"Ujier")</f>
        <v>Ujier</v>
      </c>
      <c r="P31" s="1" t="str">
        <f ca="1">IFERROR(__xludf.DUMMYFUNCTION("""COMPUTED_VALUE"""),"Crecí creyendo que yo era salva porque mis papás eran cristianos. Dios habló a mi vida a través del campamento ""VUELVE"" en Bernal. Y me hizo darme cuenta que la salvación no se puede heredar, si no que es una decision personal. Fue en ese campamento don"&amp;"de yo creí en Jesucristo como mi único salvador y consagré mi vida a Él.")</f>
        <v>Crecí creyendo que yo era salva porque mis papás eran cristianos. Dios habló a mi vida a través del campamento "VUELVE" en Bernal. Y me hizo darme cuenta que la salvación no se puede heredar, si no que es una decision personal. Fue en ese campamento donde yo creí en Jesucristo como mi único salvador y consagré mi vida a Él.</v>
      </c>
      <c r="Q31" s="1" t="str">
        <f ca="1">IFERROR(__xludf.DUMMYFUNCTION("""COMPUTED_VALUE"""),"Compartir mi fe con otros es algo que me gusta mucho hacer y creo que a través de los campamentos es una excelente oportunidad para hacerlo.")</f>
        <v>Compartir mi fe con otros es algo que me gusta mucho hacer y creo que a través de los campamentos es una excelente oportunidad para hacerlo.</v>
      </c>
      <c r="R31" s="1" t="str">
        <f ca="1">IFERROR(__xludf.DUMMYFUNCTION("""COMPUTED_VALUE"""),"No")</f>
        <v>No</v>
      </c>
      <c r="S31" s="1"/>
      <c r="T31" s="1" t="str">
        <f ca="1">IFERROR(__xludf.DUMMYFUNCTION("""COMPUTED_VALUE"""),"No")</f>
        <v>No</v>
      </c>
      <c r="U31" s="1"/>
      <c r="V31" s="1" t="str">
        <f ca="1">IFERROR(__xludf.DUMMYFUNCTION("""COMPUTED_VALUE"""),"Estoy en ultimo semestre de Lighthouse (ACE)")</f>
        <v>Estoy en ultimo semestre de Lighthouse (ACE)</v>
      </c>
      <c r="W31" s="1" t="str">
        <f ca="1">IFERROR(__xludf.DUMMYFUNCTION("""COMPUTED_VALUE"""),"Me encanta ponerme al servicio de otros.")</f>
        <v>Me encanta ponerme al servicio de otros.</v>
      </c>
      <c r="X31" s="1" t="str">
        <f ca="1">IFERROR(__xludf.DUMMYFUNCTION("""COMPUTED_VALUE"""),"B. Me gusta animar a las personas, E. Me gusta el trabajo con niños, G. Soy más eficiente en el trabajo individual, H. Soy organizado (a), I. Se me facilita el trabajo físico, J. Me gusta la atención a las personas, N. Suelo llevar el liderazgo en un grup"&amp;"o, O. Puedo enseñar con facilidad")</f>
        <v>B. Me gusta animar a las personas, E. Me gusta el trabajo con niños, G. Soy más eficiente en el trabajo individual, H. Soy organizado (a), I. Se me facilita el trabajo físico, J. Me gusta la atención a las personas, N. Suelo llevar el liderazgo en un grupo, O. Puedo enseñar con facilidad</v>
      </c>
      <c r="Y31" s="1" t="str">
        <f ca="1">IFERROR(__xludf.DUMMYFUNCTION("""COMPUTED_VALUE"""),"Sí.")</f>
        <v>Sí.</v>
      </c>
      <c r="Z31" s="1"/>
    </row>
    <row r="32" spans="1:26" x14ac:dyDescent="0.35">
      <c r="A32" s="1" t="str">
        <f ca="1">IFERROR(__xludf.DUMMYFUNCTION("""COMPUTED_VALUE"""),"22-Apr-2025 22:15:05")</f>
        <v>22-Apr-2025 22:15:05</v>
      </c>
      <c r="B32" s="1"/>
      <c r="C32" s="1" t="str">
        <f ca="1">IFERROR(__xludf.DUMMYFUNCTION("""COMPUTED_VALUE"""),"Kathia Atzin, Domínguez Castro")</f>
        <v>Kathia Atzin, Domínguez Castro</v>
      </c>
      <c r="D32" s="1">
        <f ca="1">IFERROR(__xludf.DUMMYFUNCTION("""COMPUTED_VALUE"""),19)</f>
        <v>19</v>
      </c>
      <c r="E32" s="1" t="str">
        <f ca="1">IFERROR(__xludf.DUMMYFUNCTION("""COMPUTED_VALUE"""),"Mujer")</f>
        <v>Mujer</v>
      </c>
      <c r="F32" s="1" t="str">
        <f ca="1">IFERROR(__xludf.DUMMYFUNCTION("""COMPUTED_VALUE"""),"Mexico City, Mexico")</f>
        <v>Mexico City, Mexico</v>
      </c>
      <c r="G32" s="1" t="str">
        <f ca="1">IFERROR(__xludf.DUMMYFUNCTION("""COMPUTED_VALUE"""),"kathiasanroman@gmail.com")</f>
        <v>kathiasanroman@gmail.com</v>
      </c>
      <c r="H32" s="1">
        <f ca="1">IFERROR(__xludf.DUMMYFUNCTION("""COMPUTED_VALUE"""),525532430381)</f>
        <v>525532430381</v>
      </c>
      <c r="I32" s="1" t="str">
        <f ca="1">IFERROR(__xludf.DUMMYFUNCTION("""COMPUTED_VALUE"""),"Semana de entrenamiento (07 - 13) Julio, Comunidad Jóvenes + 18 (14-19) Julio, Semana de niños y niñas (21-25) Julio")</f>
        <v>Semana de entrenamiento (07 - 13) Julio, Comunidad Jóvenes + 18 (14-19) Julio, Semana de niños y niñas (21-25) Julio</v>
      </c>
      <c r="J32" s="1" t="str">
        <f ca="1">IFERROR(__xludf.DUMMYFUNCTION("""COMPUTED_VALUE"""),"Ebenezer 2.0 2025")</f>
        <v>Ebenezer 2.0 2025</v>
      </c>
      <c r="K32" s="1" t="str">
        <f ca="1">IFERROR(__xludf.DUMMYFUNCTION("""COMPUTED_VALUE"""),"Iglesia Cristiana Bautista Dunamis")</f>
        <v>Iglesia Cristiana Bautista Dunamis</v>
      </c>
      <c r="L32" s="1" t="str">
        <f ca="1">IFERROR(__xludf.DUMMYFUNCTION("""COMPUTED_VALUE"""),"Luis Emmanuel López Chaparro")</f>
        <v>Luis Emmanuel López Chaparro</v>
      </c>
      <c r="M32" s="1">
        <f ca="1">IFERROR(__xludf.DUMMYFUNCTION("""COMPUTED_VALUE"""),525528054570)</f>
        <v>525528054570</v>
      </c>
      <c r="N32" s="1" t="str">
        <f ca="1">IFERROR(__xludf.DUMMYFUNCTION("""COMPUTED_VALUE"""),"luisemmanuellopez@yahoo.com.mx")</f>
        <v>luisemmanuellopez@yahoo.com.mx</v>
      </c>
      <c r="O32" s="1" t="str">
        <f ca="1">IFERROR(__xludf.DUMMYFUNCTION("""COMPUTED_VALUE"""),"Alabanza, Infantil, Redes Sociales, Discipulado, Coro.")</f>
        <v>Alabanza, Infantil, Redes Sociales, Discipulado, Coro.</v>
      </c>
      <c r="P32" s="1" t="str">
        <f ca="1">IFERROR(__xludf.DUMMYFUNCTION("""COMPUTED_VALUE"""),"Desde que tengo memoria he ido con mis padres a la iglesia, siempre estuve en la iglesia pero nunca tuve convicciones propias, fue a la edad de 7 años que cambiamos de iglesia y llegamos a Dunamis, vino la enfermedad, la crisis económica, la rebeldía de u"&amp;"n hermano, muchos corazones rotos y a la edad de 14 años entregue mi vida al Señor, me aleje de nuevo en la prepa y desde hace dos años no me he separado de mi amado Dios.")</f>
        <v>Desde que tengo memoria he ido con mis padres a la iglesia, siempre estuve en la iglesia pero nunca tuve convicciones propias, fue a la edad de 7 años que cambiamos de iglesia y llegamos a Dunamis, vino la enfermedad, la crisis económica, la rebeldía de un hermano, muchos corazones rotos y a la edad de 14 años entregue mi vida al Señor, me aleje de nuevo en la prepa y desde hace dos años no me he separado de mi amado Dios.</v>
      </c>
      <c r="Q32" s="1" t="str">
        <f ca="1">IFERROR(__xludf.DUMMYFUNCTION("""COMPUTED_VALUE"""),"Deje de estar en campamento desde hace dos años por temas económicos muy fuertes pero gracias a Dios que bendice a mis padres ahora y mi deseo es servir en mi juventud y ser útil a otras jóvenes que estén pasando lo mismo que yo pase.")</f>
        <v>Deje de estar en campamento desde hace dos años por temas económicos muy fuertes pero gracias a Dios que bendice a mis padres ahora y mi deseo es servir en mi juventud y ser útil a otras jóvenes que estén pasando lo mismo que yo pase.</v>
      </c>
      <c r="R32" s="1" t="str">
        <f ca="1">IFERROR(__xludf.DUMMYFUNCTION("""COMPUTED_VALUE"""),"Si")</f>
        <v>Si</v>
      </c>
      <c r="S32" s="1" t="str">
        <f ca="1">IFERROR(__xludf.DUMMYFUNCTION("""COMPUTED_VALUE"""),"Gimnasio y atletismo")</f>
        <v>Gimnasio y atletismo</v>
      </c>
      <c r="T32" s="1" t="str">
        <f ca="1">IFERROR(__xludf.DUMMYFUNCTION("""COMPUTED_VALUE"""),"Si")</f>
        <v>Si</v>
      </c>
      <c r="U32" s="1" t="str">
        <f ca="1">IFERROR(__xludf.DUMMYFUNCTION("""COMPUTED_VALUE"""),"Ukelele")</f>
        <v>Ukelele</v>
      </c>
      <c r="V32" s="1" t="str">
        <f ca="1">IFERROR(__xludf.DUMMYFUNCTION("""COMPUTED_VALUE"""),"Estudio una Licenciatura en Educación Preescolar")</f>
        <v>Estudio una Licenciatura en Educación Preescolar</v>
      </c>
      <c r="W32" s="1" t="str">
        <f ca="1">IFERROR(__xludf.DUMMYFUNCTION("""COMPUTED_VALUE"""),"Soy muy creativa, no me cuesta usar las manos, me surgen ideas para cosas en específico. Y no me cuesta para nada relacionarme con personas, por lo mismo no me da pena muchas cosas y puedo exponer/enseñar sobre muchos temas.")</f>
        <v>Soy muy creativa, no me cuesta usar las manos, me surgen ideas para cosas en específico. Y no me cuesta para nada relacionarme con personas, por lo mismo no me da pena muchas cosas y puedo exponer/enseñar sobre muchos temas.</v>
      </c>
      <c r="X32" s="1" t="str">
        <f ca="1">IFERROR(__xludf.DUMMYFUNCTION("""COMPUTED_VALUE"""),"A. Soy un discipulador activo, B. Me gusta animar a las personas, E. Me gusta el trabajo con niños, H. Soy organizado (a), I. Se me facilita el trabajo físico, K. Soy creativo (a), L. Soy bueno (a) en canto o algún instrumento, O. Puedo enseñar con facili"&amp;"dad")</f>
        <v>A. Soy un discipulador activo, B. Me gusta animar a las personas, E. Me gusta el trabajo con niños, H. Soy organizado (a), I. Se me facilita el trabajo físico, K. Soy creativo (a), L. Soy bueno (a) en canto o algún instrumento, O. Puedo enseñar con facilidad</v>
      </c>
      <c r="Y32" s="1" t="str">
        <f ca="1">IFERROR(__xludf.DUMMYFUNCTION("""COMPUTED_VALUE"""),"Si, 2018, 2019 y 2020(virtual)")</f>
        <v>Si, 2018, 2019 y 2020(virtual)</v>
      </c>
      <c r="Z32" s="1"/>
    </row>
    <row r="33" spans="1:26" x14ac:dyDescent="0.35">
      <c r="A33" s="1" t="str">
        <f ca="1">IFERROR(__xludf.DUMMYFUNCTION("""COMPUTED_VALUE"""),"22-Apr-2025 22:58:25")</f>
        <v>22-Apr-2025 22:58:25</v>
      </c>
      <c r="B33" s="1"/>
      <c r="C33" s="1" t="str">
        <f ca="1">IFERROR(__xludf.DUMMYFUNCTION("""COMPUTED_VALUE"""),"Andrea Danae, Rueda Vazquez")</f>
        <v>Andrea Danae, Rueda Vazquez</v>
      </c>
      <c r="D33" s="1">
        <f ca="1">IFERROR(__xludf.DUMMYFUNCTION("""COMPUTED_VALUE"""),25)</f>
        <v>25</v>
      </c>
      <c r="E33" s="1" t="str">
        <f ca="1">IFERROR(__xludf.DUMMYFUNCTION("""COMPUTED_VALUE"""),"Mujer")</f>
        <v>Mujer</v>
      </c>
      <c r="F33" s="1" t="str">
        <f ca="1">IFERROR(__xludf.DUMMYFUNCTION("""COMPUTED_VALUE"""),"Mexico, Mexico")</f>
        <v>Mexico, Mexico</v>
      </c>
      <c r="G33" s="1" t="str">
        <f ca="1">IFERROR(__xludf.DUMMYFUNCTION("""COMPUTED_VALUE"""),"danaerdvz@outlook.com")</f>
        <v>danaerdvz@outlook.com</v>
      </c>
      <c r="H33" s="1">
        <f ca="1">IFERROR(__xludf.DUMMYFUNCTION("""COMPUTED_VALUE"""),525549055707)</f>
        <v>525549055707</v>
      </c>
      <c r="I33" s="1" t="str">
        <f ca="1">IFERROR(__xludf.DUMMYFUNCTION("""COMPUTED_VALUE"""),"Semana de entrenamiento (07 - 13) Julio, Comunidad Jóvenes + 18 (14-19) Julio, Semana de niños y niñas (21-25) Julio")</f>
        <v>Semana de entrenamiento (07 - 13) Julio, Comunidad Jóvenes + 18 (14-19) Julio, Semana de niños y niñas (21-25) Julio</v>
      </c>
      <c r="J33" s="1" t="str">
        <f ca="1">IFERROR(__xludf.DUMMYFUNCTION("""COMPUTED_VALUE"""),"ebenecer 2.0 2025")</f>
        <v>ebenecer 2.0 2025</v>
      </c>
      <c r="K33" s="1" t="str">
        <f ca="1">IFERROR(__xludf.DUMMYFUNCTION("""COMPUTED_VALUE"""),"Dunamis")</f>
        <v>Dunamis</v>
      </c>
      <c r="L33" s="1" t="str">
        <f ca="1">IFERROR(__xludf.DUMMYFUNCTION("""COMPUTED_VALUE"""),"Luis Emmanuel Lopez Chaparro")</f>
        <v>Luis Emmanuel Lopez Chaparro</v>
      </c>
      <c r="M33" s="1">
        <f ca="1">IFERROR(__xludf.DUMMYFUNCTION("""COMPUTED_VALUE"""),525528054570)</f>
        <v>525528054570</v>
      </c>
      <c r="N33" s="1" t="str">
        <f ca="1">IFERROR(__xludf.DUMMYFUNCTION("""COMPUTED_VALUE"""),"luisemmanuellopez@yahoo.com.mx")</f>
        <v>luisemmanuellopez@yahoo.com.mx</v>
      </c>
      <c r="O33" s="1" t="str">
        <f ca="1">IFERROR(__xludf.DUMMYFUNCTION("""COMPUTED_VALUE"""),"Devocionales")</f>
        <v>Devocionales</v>
      </c>
      <c r="P33" s="1" t="str">
        <f ca="1">IFERROR(__xludf.DUMMYFUNCTION("""COMPUTED_VALUE"""),"creci en una iglesia cristina, tuve un par de años fuer de la iglesia y el señor nuevamente me trajo y fue cuando entendi todo lo que habia escuchado de niña el amor, la misericordia y el perdon de Dios")</f>
        <v>creci en una iglesia cristina, tuve un par de años fuer de la iglesia y el señor nuevamente me trajo y fue cuando entendi todo lo que habia escuchado de niña el amor, la misericordia y el perdon de Dios</v>
      </c>
      <c r="Q33" s="1" t="str">
        <f ca="1">IFERROR(__xludf.DUMMYFUNCTION("""COMPUTED_VALUE"""),"Creo que seria de mucha bendicion a mi vida")</f>
        <v>Creo que seria de mucha bendicion a mi vida</v>
      </c>
      <c r="R33" s="1" t="str">
        <f ca="1">IFERROR(__xludf.DUMMYFUNCTION("""COMPUTED_VALUE"""),"Si")</f>
        <v>Si</v>
      </c>
      <c r="S33" s="1" t="str">
        <f ca="1">IFERROR(__xludf.DUMMYFUNCTION("""COMPUTED_VALUE"""),"Natacion")</f>
        <v>Natacion</v>
      </c>
      <c r="T33" s="1" t="str">
        <f ca="1">IFERROR(__xludf.DUMMYFUNCTION("""COMPUTED_VALUE"""),"No")</f>
        <v>No</v>
      </c>
      <c r="U33" s="1"/>
      <c r="V33" s="1" t="str">
        <f ca="1">IFERROR(__xludf.DUMMYFUNCTION("""COMPUTED_VALUE"""),"No termine la carrera pero empece a estudiar fisioterapia")</f>
        <v>No termine la carrera pero empece a estudiar fisioterapia</v>
      </c>
      <c r="W33" s="1" t="str">
        <f ca="1">IFERROR(__xludf.DUMMYFUNCTION("""COMPUTED_VALUE"""),"Control de grupo, adaptabilidad, resolucion de problemas, primeros auxilios, certificaciones de natacion")</f>
        <v>Control de grupo, adaptabilidad, resolucion de problemas, primeros auxilios, certificaciones de natacion</v>
      </c>
      <c r="X33" s="1" t="str">
        <f ca="1">IFERROR(__xludf.DUMMYFUNCTION("""COMPUTED_VALUE"""),"B. Me gusta animar a las personas, D. Me gustan los deportes, E. Me gusta el trabajo con niños, F. Soy eficiente en el trabajo con herramientas, equipos y maquinarias, G. Soy más eficiente en el trabajo individual, H. Soy organizado (a), I. Se me facilita"&amp;" el trabajo físico, M. Soy bueno (a) con los números, N. Suelo llevar el liderazgo en un grupo, O. Puedo enseñar con facilidad")</f>
        <v>B. Me gusta animar a las personas, D. Me gustan los deportes, E. Me gusta el trabajo con niños, F. Soy eficiente en el trabajo con herramientas, equipos y maquinarias, G. Soy más eficiente en el trabajo individual, H. Soy organizado (a), I. Se me facilita el trabajo físico, M. Soy bueno (a) con los números, N. Suelo llevar el liderazgo en un grupo, O. Puedo enseñar con facilidad</v>
      </c>
      <c r="Y33" s="1" t="str">
        <f ca="1">IFERROR(__xludf.DUMMYFUNCTION("""COMPUTED_VALUE"""),"si en 2013")</f>
        <v>si en 2013</v>
      </c>
      <c r="Z33" s="1"/>
    </row>
    <row r="34" spans="1:26" x14ac:dyDescent="0.35">
      <c r="A34" s="1" t="str">
        <f ca="1">IFERROR(__xludf.DUMMYFUNCTION("""COMPUTED_VALUE"""),"23-Apr-2025 14:25:59")</f>
        <v>23-Apr-2025 14:25:59</v>
      </c>
      <c r="B34" s="1"/>
      <c r="C34" s="1" t="str">
        <f ca="1">IFERROR(__xludf.DUMMYFUNCTION("""COMPUTED_VALUE"""),"Daniela Lizzeth, Palacios Cervantes")</f>
        <v>Daniela Lizzeth, Palacios Cervantes</v>
      </c>
      <c r="D34" s="1">
        <f ca="1">IFERROR(__xludf.DUMMYFUNCTION("""COMPUTED_VALUE"""),19)</f>
        <v>19</v>
      </c>
      <c r="E34" s="1" t="str">
        <f ca="1">IFERROR(__xludf.DUMMYFUNCTION("""COMPUTED_VALUE"""),"Mujer")</f>
        <v>Mujer</v>
      </c>
      <c r="F34" s="1" t="str">
        <f ca="1">IFERROR(__xludf.DUMMYFUNCTION("""COMPUTED_VALUE"""),"Morelos, Mexico")</f>
        <v>Morelos, Mexico</v>
      </c>
      <c r="G34" s="1" t="str">
        <f ca="1">IFERROR(__xludf.DUMMYFUNCTION("""COMPUTED_VALUE"""),"danieluxpalacel@gmail.com")</f>
        <v>danieluxpalacel@gmail.com</v>
      </c>
      <c r="H34" s="1">
        <f ca="1">IFERROR(__xludf.DUMMYFUNCTION("""COMPUTED_VALUE"""),527776347492)</f>
        <v>527776347492</v>
      </c>
      <c r="I34" s="1" t="str">
        <f ca="1">IFERROR(__xludf.DUMMYFUNCTION("""COMPUTED_VALUE"""),"Toda la temporada (07 de Julio al 16 de agosto)")</f>
        <v>Toda la temporada (07 de Julio al 16 de agosto)</v>
      </c>
      <c r="J34" s="1" t="str">
        <f ca="1">IFERROR(__xludf.DUMMYFUNCTION("""COMPUTED_VALUE"""),"Lectura Biblica Anual")</f>
        <v>Lectura Biblica Anual</v>
      </c>
      <c r="K34" s="1" t="str">
        <f ca="1">IFERROR(__xludf.DUMMYFUNCTION("""COMPUTED_VALUE"""),"Mahanaim Iglesia Cristiana Fundamental de Jiutepec")</f>
        <v>Mahanaim Iglesia Cristiana Fundamental de Jiutepec</v>
      </c>
      <c r="L34" s="1" t="str">
        <f ca="1">IFERROR(__xludf.DUMMYFUNCTION("""COMPUTED_VALUE"""),"Fernando Bermúdez Canchola")</f>
        <v>Fernando Bermúdez Canchola</v>
      </c>
      <c r="M34" s="1">
        <f ca="1">IFERROR(__xludf.DUMMYFUNCTION("""COMPUTED_VALUE"""),527351258023)</f>
        <v>527351258023</v>
      </c>
      <c r="N34" s="1" t="str">
        <f ca="1">IFERROR(__xludf.DUMMYFUNCTION("""COMPUTED_VALUE"""),"ferberca48@gmail.com")</f>
        <v>ferberca48@gmail.com</v>
      </c>
      <c r="O34" s="1" t="str">
        <f ca="1">IFERROR(__xludf.DUMMYFUNCTION("""COMPUTED_VALUE"""),"Maestra de escuela dominical y Club Sabatino Misión Las Rocas")</f>
        <v>Maestra de escuela dominical y Club Sabatino Misión Las Rocas</v>
      </c>
      <c r="P34" s="1" t="str">
        <f ca="1">IFERROR(__xludf.DUMMYFUNCTION("""COMPUTED_VALUE"""),"Yo nací en una familia cristiana por lo que desde que estaba pequeña estoy en contacto con la Biblia. Iba a la escuela que también era cristiana, memorizaba versículos, prestaba atención en las lecciones de escuela dominical, todo mi entorno era cristiano"&amp;", llevándome a pensar ideas erróneas y vivir con eso apesar de haber escuchado el plan de salvación. Conforme crecí tenía la idea de que por haber nacido en una familia cristiana, por ir a la iglesia y por ser hija de servidor ya era salva, sabía que no e"&amp;"ra un pensamiento correcto ya que había escuchado el plan de salvación recordando que la salvación era por fe y no por obras pero simplemente me conforme a decir ""Soy salva"" e ignorar la verdad. Hubo un tiempo en el que me volví rebelde, mi corazón esta"&amp;"ba endurecido ya que yo veía a mi hermano que estaba llevando una vida apartada de Dios y yo quería ser como él, cosa que desde luego mis padres no me permitieron, mi ignorancia, enojo y pecado no me permitian ver o entender el porque mis padres no me dej"&amp;"aban ser o actuar como mi hermano, para mi era injusto y me molestaba el hecho de que las conversaciones con mis padres fueran dirigidas a versículos de la Biblia. Paso el tiempo y yo fui creciendo con el corazón endurecido, comenzó a molestarme el tené q"&amp;"ue ir a la iglesia todos los domingos, comencé a crear excusas para evitar las reuniones de oración, comencé a evitar la música cristiana y a escuchar música del mundo, comencé a vivir una doble vida apartada del Señor. En 2018 asistí por primera vez al c"&amp;"ampamento de Bernal, ese año pude sentir el llamado de Dios a mi vida, sin embargo en mi corazón había dureza, resentimiento y pecado por lo que decidí cerrarme y seguir con mi doble vida al regresar a casa. 2019 fue un año que marcó mi vida, fue un año e"&amp;"n el que Dios quebranto mi corazón y pude abrir los ojos a la realidad, dándome cuenta de la vida que estaba llevando, me sentía avergonzada y sentia la necesidad de acercarme a Dios, ese año asistí de nuevo al campamento, pero esta vez con una mentalidad"&amp;" diferente y mi corazón quebrantado, fue así que la noche del Viernes 12 de Julio del 2019 Dios habló a mi vida a través del predicador, fue ahí donde me arrodillé y decidí dejar mis cargas y angustias en manos de Dios, arrepentida de mis pecados esa noch"&amp;"e tomé mi decisión de salvación, lo que yo sentí esa noche fue algo simplemente inexplicable que marcó mi vida. Desde ese día camino tomada de la mano del Señor, buscando cada día ser más como esa mujer virtuosa que Dios quiere que sea, ha sido un camino "&amp;"difícil y lleno de pruebas, sin embargo he podido ver la mano del Señor en todo, el es fiel así como misericordioso y lo he podido ver en mi vida.")</f>
        <v>Yo nací en una familia cristiana por lo que desde que estaba pequeña estoy en contacto con la Biblia. Iba a la escuela que también era cristiana, memorizaba versículos, prestaba atención en las lecciones de escuela dominical, todo mi entorno era cristiano, llevándome a pensar ideas erróneas y vivir con eso apesar de haber escuchado el plan de salvación. Conforme crecí tenía la idea de que por haber nacido en una familia cristiana, por ir a la iglesia y por ser hija de servidor ya era salva, sabía que no era un pensamiento correcto ya que había escuchado el plan de salvación recordando que la salvación era por fe y no por obras pero simplemente me conforme a decir "Soy salva" e ignorar la verdad. Hubo un tiempo en el que me volví rebelde, mi corazón estaba endurecido ya que yo veía a mi hermano que estaba llevando una vida apartada de Dios y yo quería ser como él, cosa que desde luego mis padres no me permitieron, mi ignorancia, enojo y pecado no me permitian ver o entender el porque mis padres no me dejaban ser o actuar como mi hermano, para mi era injusto y me molestaba el hecho de que las conversaciones con mis padres fueran dirigidas a versículos de la Biblia. Paso el tiempo y yo fui creciendo con el corazón endurecido, comenzó a molestarme el tené que ir a la iglesia todos los domingos, comencé a crear excusas para evitar las reuniones de oración, comencé a evitar la música cristiana y a escuchar música del mundo, comencé a vivir una doble vida apartada del Señor. En 2018 asistí por primera vez al campamento de Bernal, ese año pude sentir el llamado de Dios a mi vida, sin embargo en mi corazón había dureza, resentimiento y pecado por lo que decidí cerrarme y seguir con mi doble vida al regresar a casa. 2019 fue un año que marcó mi vida, fue un año en el que Dios quebranto mi corazón y pude abrir los ojos a la realidad, dándome cuenta de la vida que estaba llevando, me sentía avergonzada y sentia la necesidad de acercarme a Dios, ese año asistí de nuevo al campamento, pero esta vez con una mentalidad diferente y mi corazón quebrantado, fue así que la noche del Viernes 12 de Julio del 2019 Dios habló a mi vida a través del predicador, fue ahí donde me arrodillé y decidí dejar mis cargas y angustias en manos de Dios, arrepentida de mis pecados esa noche tomé mi decisión de salvación, lo que yo sentí esa noche fue algo simplemente inexplicable que marcó mi vida. Desde ese día camino tomada de la mano del Señor, buscando cada día ser más como esa mujer virtuosa que Dios quiere que sea, ha sido un camino difícil y lleno de pruebas, sin embargo he podido ver la mano del Señor en todo, el es fiel así como misericordioso y lo he podido ver en mi vida.</v>
      </c>
      <c r="Q34" s="1" t="str">
        <f ca="1">IFERROR(__xludf.DUMMYFUNCTION("""COMPUTED_VALUE"""),"Yo tomé decisión de salvación en 2019, durante el día de fogata del campamento Dios habló a mi vida y yo decidí entregarle mi corazón. Cómo campera, ver a los equipantes en lavado, limpiando o haciendo lo que sea con una sonrisa y con animo me hizo pensar"&amp;" que me gustaría tener ese mismo sentir que ellos, la emoción y alegría de poder servir al Señor y de poder ser parte de su obra. Hubo equipantes que fueron de bendición a mi vida durante mi tiempo de campera, este año me gustaría poder unirme a ellos est"&amp;"ar de el otro lado de campamento, sirviendo al Señor con alegría y poder transmitir esa alegría a los camperos en el área en que Dios me permita estar. Me gustaría ser de bendición para los demás así como en algún momento los equipantes fueron de bendició"&amp;"n a mi vida.")</f>
        <v>Yo tomé decisión de salvación en 2019, durante el día de fogata del campamento Dios habló a mi vida y yo decidí entregarle mi corazón. Cómo campera, ver a los equipantes en lavado, limpiando o haciendo lo que sea con una sonrisa y con animo me hizo pensar que me gustaría tener ese mismo sentir que ellos, la emoción y alegría de poder servir al Señor y de poder ser parte de su obra. Hubo equipantes que fueron de bendición a mi vida durante mi tiempo de campera, este año me gustaría poder unirme a ellos estar de el otro lado de campamento, sirviendo al Señor con alegría y poder transmitir esa alegría a los camperos en el área en que Dios me permita estar. Me gustaría ser de bendición para los demás así como en algún momento los equipantes fueron de bendición a mi vida.</v>
      </c>
      <c r="R34" s="1" t="str">
        <f ca="1">IFERROR(__xludf.DUMMYFUNCTION("""COMPUTED_VALUE"""),"Si")</f>
        <v>Si</v>
      </c>
      <c r="S34" s="1" t="str">
        <f ca="1">IFERROR(__xludf.DUMMYFUNCTION("""COMPUTED_VALUE"""),"Voleibol.")</f>
        <v>Voleibol.</v>
      </c>
      <c r="T34" s="1" t="str">
        <f ca="1">IFERROR(__xludf.DUMMYFUNCTION("""COMPUTED_VALUE"""),"Si")</f>
        <v>Si</v>
      </c>
      <c r="U34" s="1" t="str">
        <f ca="1">IFERROR(__xludf.DUMMYFUNCTION("""COMPUTED_VALUE"""),"Piano.")</f>
        <v>Piano.</v>
      </c>
      <c r="V34" s="1" t="str">
        <f ca="1">IFERROR(__xludf.DUMMYFUNCTION("""COMPUTED_VALUE"""),"Estoy terminando mi preparatoria dentro del sistema A.C.E., orando para que primeramente Dios pueda terminar mi preparatoria para seguido tomar una decisión que glorifique a Dios con respecto a la universidad.")</f>
        <v>Estoy terminando mi preparatoria dentro del sistema A.C.E., orando para que primeramente Dios pueda terminar mi preparatoria para seguido tomar una decisión que glorifique a Dios con respecto a la universidad.</v>
      </c>
      <c r="W34" s="1" t="str">
        <f ca="1">IFERROR(__xludf.DUMMYFUNCTION("""COMPUTED_VALUE"""),"Dios me ha dado habilidades creativas y musicales, me gustan las manualidades, trabajar con las manos así como cantar. También la habilidad para escuchar y poder aconsejar, me gusta escuchar poder ser de bendición como de consuelo a los demás.")</f>
        <v>Dios me ha dado habilidades creativas y musicales, me gustan las manualidades, trabajar con las manos así como cantar. También la habilidad para escuchar y poder aconsejar, me gusta escuchar poder ser de bendición como de consuelo a los demás.</v>
      </c>
      <c r="X34" s="1" t="str">
        <f ca="1">IFERROR(__xludf.DUMMYFUNCTION("""COMPUTED_VALUE"""),"B. Me gusta animar a las personas, C. Suelo buscar que el trabajo se realice en equipo, D. Me gustan los deportes, E. Me gusta el trabajo con niños, H. Soy organizado (a), J. Me gusta la atención a las personas, K. Soy creativo (a), L. Soy bueno (a) en ca"&amp;"nto o algún instrumento, O. Puedo enseñar con facilidad")</f>
        <v>B. Me gusta animar a las personas, C. Suelo buscar que el trabajo se realice en equipo, D. Me gustan los deportes, E. Me gusta el trabajo con niños, H. Soy organizado (a), J. Me gusta la atención a las personas, K. Soy creativo (a), L. Soy bueno (a) en canto o algún instrumento, O. Puedo enseñar con facilidad</v>
      </c>
      <c r="Y34" s="1" t="str">
        <f ca="1">IFERROR(__xludf.DUMMYFUNCTION("""COMPUTED_VALUE"""),"2018,2019 y 2020 (Campa Virtual)")</f>
        <v>2018,2019 y 2020 (Campa Virtual)</v>
      </c>
      <c r="Z34" s="1"/>
    </row>
    <row r="35" spans="1:26" x14ac:dyDescent="0.35">
      <c r="A35" s="1" t="str">
        <f ca="1">IFERROR(__xludf.DUMMYFUNCTION("""COMPUTED_VALUE"""),"24-Apr-2025 00:05:56")</f>
        <v>24-Apr-2025 00:05:56</v>
      </c>
      <c r="B35" s="1"/>
      <c r="C35" s="1" t="str">
        <f ca="1">IFERROR(__xludf.DUMMYFUNCTION("""COMPUTED_VALUE"""),"Cristhan Arturo, Castillo Roman")</f>
        <v>Cristhan Arturo, Castillo Roman</v>
      </c>
      <c r="D35" s="1">
        <f ca="1">IFERROR(__xludf.DUMMYFUNCTION("""COMPUTED_VALUE"""),21)</f>
        <v>21</v>
      </c>
      <c r="E35" s="1" t="str">
        <f ca="1">IFERROR(__xludf.DUMMYFUNCTION("""COMPUTED_VALUE"""),"Hombre")</f>
        <v>Hombre</v>
      </c>
      <c r="F35" s="1" t="str">
        <f ca="1">IFERROR(__xludf.DUMMYFUNCTION("""COMPUTED_VALUE"""),"Guerrero, Mexico")</f>
        <v>Guerrero, Mexico</v>
      </c>
      <c r="G35" s="1" t="str">
        <f ca="1">IFERROR(__xludf.DUMMYFUNCTION("""COMPUTED_VALUE"""),"cristhancastillo94@gmail.com")</f>
        <v>cristhancastillo94@gmail.com</v>
      </c>
      <c r="H35" s="1" t="str">
        <f ca="1">IFERROR(__xludf.DUMMYFUNCTION("""COMPUTED_VALUE"""),"#ERROR!")</f>
        <v>#ERROR!</v>
      </c>
      <c r="I35" s="1" t="str">
        <f ca="1">IFERROR(__xludf.DUMMYFUNCTION("""COMPUTED_VALUE"""),"Semana de entrenamiento (07 - 13) Julio, Comunidad Jóvenes + 18 (14-19) Julio")</f>
        <v>Semana de entrenamiento (07 - 13) Julio, Comunidad Jóvenes + 18 (14-19) Julio</v>
      </c>
      <c r="J35" s="1" t="str">
        <f ca="1">IFERROR(__xludf.DUMMYFUNCTION("""COMPUTED_VALUE"""),"El de PV")</f>
        <v>El de PV</v>
      </c>
      <c r="K35" s="1" t="str">
        <f ca="1">IFERROR(__xludf.DUMMYFUNCTION("""COMPUTED_VALUE"""),"shekinah")</f>
        <v>shekinah</v>
      </c>
      <c r="L35" s="1" t="str">
        <f ca="1">IFERROR(__xludf.DUMMYFUNCTION("""COMPUTED_VALUE"""),"Arturo Vergara")</f>
        <v>Arturo Vergara</v>
      </c>
      <c r="M35" s="1">
        <f ca="1">IFERROR(__xludf.DUMMYFUNCTION("""COMPUTED_VALUE"""),527444192659)</f>
        <v>527444192659</v>
      </c>
      <c r="N35" s="1" t="str">
        <f ca="1">IFERROR(__xludf.DUMMYFUNCTION("""COMPUTED_VALUE"""),"cristhancastillo94@gmail.com")</f>
        <v>cristhancastillo94@gmail.com</v>
      </c>
      <c r="O35" s="1" t="str">
        <f ca="1">IFERROR(__xludf.DUMMYFUNCTION("""COMPUTED_VALUE"""),"Alabanza")</f>
        <v>Alabanza</v>
      </c>
      <c r="P35" s="1" t="str">
        <f ca="1">IFERROR(__xludf.DUMMYFUNCTION("""COMPUTED_VALUE"""),"Conocí a Dios cuando tenía 17 años y decidí entregar mi vida a él a los 19 años Dios me cambio me purifico y me enseñó cosas nuevas")</f>
        <v>Conocí a Dios cuando tenía 17 años y decidí entregar mi vida a él a los 19 años Dios me cambio me purifico y me enseñó cosas nuevas</v>
      </c>
      <c r="Q35" s="1" t="str">
        <f ca="1">IFERROR(__xludf.DUMMYFUNCTION("""COMPUTED_VALUE"""),"Por qué me gusta venir a PV 
Y por qué ya fui una vez")</f>
        <v>Por qué me gusta venir a PV 
Y por qué ya fui una vez</v>
      </c>
      <c r="R35" s="1" t="str">
        <f ca="1">IFERROR(__xludf.DUMMYFUNCTION("""COMPUTED_VALUE"""),"Si")</f>
        <v>Si</v>
      </c>
      <c r="S35" s="1" t="str">
        <f ca="1">IFERROR(__xludf.DUMMYFUNCTION("""COMPUTED_VALUE"""),"Basquetbol")</f>
        <v>Basquetbol</v>
      </c>
      <c r="T35" s="1" t="str">
        <f ca="1">IFERROR(__xludf.DUMMYFUNCTION("""COMPUTED_VALUE"""),"Si")</f>
        <v>Si</v>
      </c>
      <c r="U35" s="1" t="str">
        <f ca="1">IFERROR(__xludf.DUMMYFUNCTION("""COMPUTED_VALUE"""),"Guitarra, Bajo, Piano, Bateria")</f>
        <v>Guitarra, Bajo, Piano, Bateria</v>
      </c>
      <c r="V35" s="1" t="str">
        <f ca="1">IFERROR(__xludf.DUMMYFUNCTION("""COMPUTED_VALUE"""),"Licenciatura en Contaduria")</f>
        <v>Licenciatura en Contaduria</v>
      </c>
      <c r="W35" s="1" t="str">
        <f ca="1">IFERROR(__xludf.DUMMYFUNCTION("""COMPUTED_VALUE"""),"Contador, Extrovertido")</f>
        <v>Contador, Extrovertido</v>
      </c>
      <c r="X35" s="1" t="str">
        <f ca="1">IFERROR(__xludf.DUMMYFUNCTION("""COMPUTED_VALUE"""),"B. Me gusta animar a las personas, C. Suelo buscar que el trabajo se realice en equipo, D. Me gustan los deportes, J. Me gusta la atención a las personas, K. Soy creativo (a), L. Soy bueno (a) en canto o algún instrumento, M. Soy bueno (a) con los números"&amp;", N. Suelo llevar el liderazgo en un grupo, O. Puedo enseñar con facilidad")</f>
        <v>B. Me gusta animar a las personas, C. Suelo buscar que el trabajo se realice en equipo, D. Me gustan los deportes, J. Me gusta la atención a las personas, K. Soy creativo (a), L. Soy bueno (a) en canto o algún instrumento, M. Soy bueno (a) con los números, N. Suelo llevar el liderazgo en un grupo, O. Puedo enseñar con facilidad</v>
      </c>
      <c r="Y35" s="1" t="str">
        <f ca="1">IFERROR(__xludf.DUMMYFUNCTION("""COMPUTED_VALUE"""),"Aunthentic y Anteriores")</f>
        <v>Aunthentic y Anteriores</v>
      </c>
      <c r="Z35" s="1"/>
    </row>
    <row r="36" spans="1:26" x14ac:dyDescent="0.35">
      <c r="A36" s="1" t="str">
        <f ca="1">IFERROR(__xludf.DUMMYFUNCTION("""COMPUTED_VALUE"""),"24-Apr-2025 15:51:06")</f>
        <v>24-Apr-2025 15:51:06</v>
      </c>
      <c r="B36" s="1"/>
      <c r="C36" s="1" t="str">
        <f ca="1">IFERROR(__xludf.DUMMYFUNCTION("""COMPUTED_VALUE"""),"Gemma Damaris, Luis Tlacuilo")</f>
        <v>Gemma Damaris, Luis Tlacuilo</v>
      </c>
      <c r="D36" s="1">
        <f ca="1">IFERROR(__xludf.DUMMYFUNCTION("""COMPUTED_VALUE"""),22)</f>
        <v>22</v>
      </c>
      <c r="E36" s="1" t="str">
        <f ca="1">IFERROR(__xludf.DUMMYFUNCTION("""COMPUTED_VALUE"""),"Mujer")</f>
        <v>Mujer</v>
      </c>
      <c r="F36" s="1" t="str">
        <f ca="1">IFERROR(__xludf.DUMMYFUNCTION("""COMPUTED_VALUE"""),"Jalisco, Mexico")</f>
        <v>Jalisco, Mexico</v>
      </c>
      <c r="G36" s="1" t="str">
        <f ca="1">IFERROR(__xludf.DUMMYFUNCTION("""COMPUTED_VALUE"""),"damarisluis13@gmail.com")</f>
        <v>damarisluis13@gmail.com</v>
      </c>
      <c r="H36" s="1">
        <f ca="1">IFERROR(__xludf.DUMMYFUNCTION("""COMPUTED_VALUE"""),523316343568)</f>
        <v>523316343568</v>
      </c>
      <c r="I36" s="1" t="str">
        <f ca="1">IFERROR(__xludf.DUMMYFUNCTION("""COMPUTED_VALUE"""),"Toda la temporada (07 de Julio al 16 de agosto)")</f>
        <v>Toda la temporada (07 de Julio al 16 de agosto)</v>
      </c>
      <c r="J36" s="1" t="str">
        <f ca="1">IFERROR(__xludf.DUMMYFUNCTION("""COMPUTED_VALUE"""),"365 misericordias cada mañana")</f>
        <v>365 misericordias cada mañana</v>
      </c>
      <c r="K36" s="1" t="str">
        <f ca="1">IFERROR(__xludf.DUMMYFUNCTION("""COMPUTED_VALUE"""),"Iglesia Vida")</f>
        <v>Iglesia Vida</v>
      </c>
      <c r="L36" s="1" t="str">
        <f ca="1">IFERROR(__xludf.DUMMYFUNCTION("""COMPUTED_VALUE"""),"Neftalí Rubio")</f>
        <v>Neftalí Rubio</v>
      </c>
      <c r="M36" s="1">
        <f ca="1">IFERROR(__xludf.DUMMYFUNCTION("""COMPUTED_VALUE"""),524411036024)</f>
        <v>524411036024</v>
      </c>
      <c r="N36" s="1" t="str">
        <f ca="1">IFERROR(__xludf.DUMMYFUNCTION("""COMPUTED_VALUE"""),"nefaly@gmail.com")</f>
        <v>nefaly@gmail.com</v>
      </c>
      <c r="O36" s="1" t="str">
        <f ca="1">IFERROR(__xludf.DUMMYFUNCTION("""COMPUTED_VALUE"""),"Multimedia, adolescentes y niños")</f>
        <v>Multimedia, adolescentes y niños</v>
      </c>
      <c r="P36" s="1" t="str">
        <f ca="1">IFERROR(__xludf.DUMMYFUNCTION("""COMPUTED_VALUE"""),"Nací en un familia cristiana, pero comprendí el evangelio hasta mi adolescencia, y aunque mi caminar no fue lineal, si no hasta 2021 donde consagré mi vida a Cristo, comencé a asistir a mi actual iglesia y a servirle.")</f>
        <v>Nací en un familia cristiana, pero comprendí el evangelio hasta mi adolescencia, y aunque mi caminar no fue lineal, si no hasta 2021 donde consagré mi vida a Cristo, comencé a asistir a mi actual iglesia y a servirle.</v>
      </c>
      <c r="Q36" s="1" t="str">
        <f ca="1">IFERROR(__xludf.DUMMYFUNCTION("""COMPUTED_VALUE"""),"Poder servirle de tiempo completo en mi verano, y de manera específica que sea de bendición para mi vida, y ser instrumento y materia dispuesta para lo que Dios quiera hacer a través de mi.")</f>
        <v>Poder servirle de tiempo completo en mi verano, y de manera específica que sea de bendición para mi vida, y ser instrumento y materia dispuesta para lo que Dios quiera hacer a través de mi.</v>
      </c>
      <c r="R36" s="1" t="str">
        <f ca="1">IFERROR(__xludf.DUMMYFUNCTION("""COMPUTED_VALUE"""),"No")</f>
        <v>No</v>
      </c>
      <c r="S36" s="1"/>
      <c r="T36" s="1" t="str">
        <f ca="1">IFERROR(__xludf.DUMMYFUNCTION("""COMPUTED_VALUE"""),"No")</f>
        <v>No</v>
      </c>
      <c r="U36" s="1"/>
      <c r="V36" s="1" t="str">
        <f ca="1">IFERROR(__xludf.DUMMYFUNCTION("""COMPUTED_VALUE"""),"Psicología")</f>
        <v>Psicología</v>
      </c>
      <c r="W36" s="1" t="str">
        <f ca="1">IFERROR(__xludf.DUMMYFUNCTION("""COMPUTED_VALUE"""),"Administrativas")</f>
        <v>Administrativas</v>
      </c>
      <c r="X36" s="1" t="str">
        <f ca="1">IFERROR(__xludf.DUMMYFUNCTION("""COMPUTED_VALUE"""),"A. Soy un discipulador activo, B. Me gusta animar a las personas, C. Suelo buscar que el trabajo se realice en equipo, E. Me gusta el trabajo con niños, H. Soy organizado (a), J. Me gusta la atención a las personas, O. Puedo enseñar con facilidad")</f>
        <v>A. Soy un discipulador activo, B. Me gusta animar a las personas, C. Suelo buscar que el trabajo se realice en equipo, E. Me gusta el trabajo con niños, H. Soy organizado (a), J. Me gusta la atención a las personas, O. Puedo enseñar con facilidad</v>
      </c>
      <c r="Y36" s="1">
        <f ca="1">IFERROR(__xludf.DUMMYFUNCTION("""COMPUTED_VALUE"""),2024.2021)</f>
        <v>2024.2021</v>
      </c>
      <c r="Z36" s="1"/>
    </row>
    <row r="37" spans="1:26" x14ac:dyDescent="0.35">
      <c r="A37" s="1" t="str">
        <f ca="1">IFERROR(__xludf.DUMMYFUNCTION("""COMPUTED_VALUE"""),"24-Apr-2025 16:00:23")</f>
        <v>24-Apr-2025 16:00:23</v>
      </c>
      <c r="B37" s="1"/>
      <c r="C37" s="1" t="str">
        <f ca="1">IFERROR(__xludf.DUMMYFUNCTION("""COMPUTED_VALUE"""),"Jezabel, Garcia Reyes")</f>
        <v>Jezabel, Garcia Reyes</v>
      </c>
      <c r="D37" s="1">
        <f ca="1">IFERROR(__xludf.DUMMYFUNCTION("""COMPUTED_VALUE"""),16)</f>
        <v>16</v>
      </c>
      <c r="E37" s="1" t="str">
        <f ca="1">IFERROR(__xludf.DUMMYFUNCTION("""COMPUTED_VALUE"""),"Mujer")</f>
        <v>Mujer</v>
      </c>
      <c r="F37" s="1" t="str">
        <f ca="1">IFERROR(__xludf.DUMMYFUNCTION("""COMPUTED_VALUE"""),"Jalisco, Mexico")</f>
        <v>Jalisco, Mexico</v>
      </c>
      <c r="G37" s="1" t="str">
        <f ca="1">IFERROR(__xludf.DUMMYFUNCTION("""COMPUTED_VALUE"""),"garciareyesmia1@gmail.com")</f>
        <v>garciareyesmia1@gmail.com</v>
      </c>
      <c r="H37" s="1">
        <f ca="1">IFERROR(__xludf.DUMMYFUNCTION("""COMPUTED_VALUE"""),523315711521)</f>
        <v>523315711521</v>
      </c>
      <c r="I37" s="1" t="str">
        <f ca="1">IFERROR(__xludf.DUMMYFUNCTION("""COMPUTED_VALUE"""),"Semana de entrenamiento (07 - 13) Julio, Comunidad Jóvenes + 18 (14-19) Julio, Semana de niños y niñas (21-25) Julio, Jóvenes de 13 – 17 años / SEM1/ (28 Julio a 02 de agosto), Jóvenes de 13 – 17 años / SEM2/ (4 - 09 agosto), Jóvenes de 13 – 17 años / SEM"&amp;"3/ (11 - 16 agosto), Toda la temporada (07 de Julio al 16 de agosto)")</f>
        <v>Semana de entrenamiento (07 - 13) Julio, Comunidad Jóvenes + 18 (14-19) Julio, Semana de niños y niñas (21-25) Julio, Jóvenes de 13 – 17 años / SEM1/ (28 Julio a 02 de agosto), Jóvenes de 13 – 17 años / SEM2/ (4 - 09 agosto), Jóvenes de 13 – 17 años / SEM3/ (11 - 16 agosto), Toda la temporada (07 de Julio al 16 de agosto)</v>
      </c>
      <c r="J37" s="1" t="str">
        <f ca="1">IFERROR(__xludf.DUMMYFUNCTION("""COMPUTED_VALUE"""),"La biblia en un año")</f>
        <v>La biblia en un año</v>
      </c>
      <c r="K37" s="1" t="str">
        <f ca="1">IFERROR(__xludf.DUMMYFUNCTION("""COMPUTED_VALUE"""),"Iglesia vida")</f>
        <v>Iglesia vida</v>
      </c>
      <c r="L37" s="1" t="str">
        <f ca="1">IFERROR(__xludf.DUMMYFUNCTION("""COMPUTED_VALUE"""),"Neftalí Rubio Bonilla")</f>
        <v>Neftalí Rubio Bonilla</v>
      </c>
      <c r="M37" s="1">
        <f ca="1">IFERROR(__xludf.DUMMYFUNCTION("""COMPUTED_VALUE"""),524411036024)</f>
        <v>524411036024</v>
      </c>
      <c r="N37" s="1" t="str">
        <f ca="1">IFERROR(__xludf.DUMMYFUNCTION("""COMPUTED_VALUE"""),"nefaly@gmail.com")</f>
        <v>nefaly@gmail.com</v>
      </c>
      <c r="O37" s="1" t="str">
        <f ca="1">IFERROR(__xludf.DUMMYFUNCTION("""COMPUTED_VALUE"""),"Cafetería")</f>
        <v>Cafetería</v>
      </c>
      <c r="P37" s="1" t="str">
        <f ca="1">IFERROR(__xludf.DUMMYFUNCTION("""COMPUTED_VALUE"""),"Una vez estaba en la situación de qué literal iba a ser este secuestrada por un chico que conocí y este, y como que Dios me hizo abrir los ojos antes de qué o sea porque me iba a ir con él a vivir, pero Dios me dijo no y ya no me fui y de qué Dios me dio "&amp;"muchas visiones, no muchas visiones, sino que muchas respuestas un domingo que fui a la iglesia y ahí fue como de qué no este es mi lugar con Dios y así fue como me pasó y ese es mi testimonio de salvación, porque literal o sea y me di cuenta que si Dios "&amp;"me salvó de eso como no me puede saludar de del infierno, o sea es súper impresionante")</f>
        <v>Una vez estaba en la situación de qué literal iba a ser este secuestrada por un chico que conocí y este, y como que Dios me hizo abrir los ojos antes de qué o sea porque me iba a ir con él a vivir, pero Dios me dijo no y ya no me fui y de qué Dios me dio muchas visiones, no muchas visiones, sino que muchas respuestas un domingo que fui a la iglesia y ahí fue como de qué no este es mi lugar con Dios y así fue como me pasó y ese es mi testimonio de salvación, porque literal o sea y me di cuenta que si Dios me salvó de eso como no me puede saludar de del infierno, o sea es súper impresionante</v>
      </c>
      <c r="Q37" s="1" t="str">
        <f ca="1">IFERROR(__xludf.DUMMYFUNCTION("""COMPUTED_VALUE"""),"Anteriormente ya serví en Guatemala 🇬🇹💗 igual en Querétaro, y creo que no está demás volver a servir. Aparte siento que en yo al ir cambian ahí muchos mis convicciones, como que sé verdaderamente lo que es servir con un corazón guiado a Dios")</f>
        <v>Anteriormente ya serví en Guatemala 🇬🇹💗 igual en Querétaro, y creo que no está demás volver a servir. Aparte siento que en yo al ir cambian ahí muchos mis convicciones, como que sé verdaderamente lo que es servir con un corazón guiado a Dios</v>
      </c>
      <c r="R37" s="1" t="str">
        <f ca="1">IFERROR(__xludf.DUMMYFUNCTION("""COMPUTED_VALUE"""),"No")</f>
        <v>No</v>
      </c>
      <c r="S37" s="1"/>
      <c r="T37" s="1" t="str">
        <f ca="1">IFERROR(__xludf.DUMMYFUNCTION("""COMPUTED_VALUE"""),"No")</f>
        <v>No</v>
      </c>
      <c r="U37" s="1"/>
      <c r="V37" s="1" t="str">
        <f ca="1">IFERROR(__xludf.DUMMYFUNCTION("""COMPUTED_VALUE"""),"Estoy en los últimos meses de preparatoria")</f>
        <v>Estoy en los últimos meses de preparatoria</v>
      </c>
      <c r="W37" s="1" t="str">
        <f ca="1">IFERROR(__xludf.DUMMYFUNCTION("""COMPUTED_VALUE"""),"Decoración, cafetería,")</f>
        <v>Decoración, cafetería,</v>
      </c>
      <c r="X37" s="1" t="str">
        <f ca="1">IFERROR(__xludf.DUMMYFUNCTION("""COMPUTED_VALUE"""),"B. Me gusta animar a las personas, C. Suelo buscar que el trabajo se realice en equipo, G. Soy más eficiente en el trabajo individual, J. Me gusta la atención a las personas, K. Soy creativo (a), O. Puedo enseñar con facilidad")</f>
        <v>B. Me gusta animar a las personas, C. Suelo buscar que el trabajo se realice en equipo, G. Soy más eficiente en el trabajo individual, J. Me gusta la atención a las personas, K. Soy creativo (a), O. Puedo enseñar con facilidad</v>
      </c>
      <c r="Y37" s="1" t="str">
        <f ca="1">IFERROR(__xludf.DUMMYFUNCTION("""COMPUTED_VALUE"""),"Sólo he sido dos veces campera. El año pasado fui a servir. Igual fue a servir a Guatemala 🇬🇹🫶🏻 y deseo servir esta vez otra vez en Querétaro")</f>
        <v>Sólo he sido dos veces campera. El año pasado fui a servir. Igual fue a servir a Guatemala 🇬🇹🫶🏻 y deseo servir esta vez otra vez en Querétaro</v>
      </c>
      <c r="Z37" s="1"/>
    </row>
    <row r="38" spans="1:26" x14ac:dyDescent="0.35">
      <c r="A38" s="1" t="str">
        <f ca="1">IFERROR(__xludf.DUMMYFUNCTION("""COMPUTED_VALUE"""),"26-Apr-2025 12:53:11")</f>
        <v>26-Apr-2025 12:53:11</v>
      </c>
      <c r="B38" s="1"/>
      <c r="C38" s="1" t="str">
        <f ca="1">IFERROR(__xludf.DUMMYFUNCTION("""COMPUTED_VALUE"""),"Ariel Elías, Luis Ruiz")</f>
        <v>Ariel Elías, Luis Ruiz</v>
      </c>
      <c r="D38" s="1">
        <f ca="1">IFERROR(__xludf.DUMMYFUNCTION("""COMPUTED_VALUE"""),17)</f>
        <v>17</v>
      </c>
      <c r="E38" s="1" t="str">
        <f ca="1">IFERROR(__xludf.DUMMYFUNCTION("""COMPUTED_VALUE"""),"Hombre")</f>
        <v>Hombre</v>
      </c>
      <c r="F38" s="1" t="str">
        <f ca="1">IFERROR(__xludf.DUMMYFUNCTION("""COMPUTED_VALUE"""),"Jalisco, Mexico")</f>
        <v>Jalisco, Mexico</v>
      </c>
      <c r="G38" s="1" t="str">
        <f ca="1">IFERROR(__xludf.DUMMYFUNCTION("""COMPUTED_VALUE"""),"arielur35@gmail.com")</f>
        <v>arielur35@gmail.com</v>
      </c>
      <c r="H38" s="1">
        <f ca="1">IFERROR(__xludf.DUMMYFUNCTION("""COMPUTED_VALUE"""),523322570408)</f>
        <v>523322570408</v>
      </c>
      <c r="I38" s="1" t="str">
        <f ca="1">IFERROR(__xludf.DUMMYFUNCTION("""COMPUTED_VALUE"""),"Toda la temporada (07 de Julio al 16 de agosto)")</f>
        <v>Toda la temporada (07 de Julio al 16 de agosto)</v>
      </c>
      <c r="J38" s="1" t="str">
        <f ca="1">IFERROR(__xludf.DUMMYFUNCTION("""COMPUTED_VALUE"""),"Hoy es tendencia")</f>
        <v>Hoy es tendencia</v>
      </c>
      <c r="K38" s="1" t="str">
        <f ca="1">IFERROR(__xludf.DUMMYFUNCTION("""COMPUTED_VALUE"""),"Iglesia vida")</f>
        <v>Iglesia vida</v>
      </c>
      <c r="L38" s="1" t="str">
        <f ca="1">IFERROR(__xludf.DUMMYFUNCTION("""COMPUTED_VALUE"""),"Neftalí Rubio")</f>
        <v>Neftalí Rubio</v>
      </c>
      <c r="M38" s="1">
        <f ca="1">IFERROR(__xludf.DUMMYFUNCTION("""COMPUTED_VALUE"""),524411036024)</f>
        <v>524411036024</v>
      </c>
      <c r="N38" s="1" t="str">
        <f ca="1">IFERROR(__xludf.DUMMYFUNCTION("""COMPUTED_VALUE"""),"nefaly@gmail.com")</f>
        <v>nefaly@gmail.com</v>
      </c>
      <c r="O38" s="1" t="str">
        <f ca="1">IFERROR(__xludf.DUMMYFUNCTION("""COMPUTED_VALUE"""),"Con niños como maestro y en cafetería en caja")</f>
        <v>Con niños como maestro y en cafetería en caja</v>
      </c>
      <c r="P38" s="1" t="str">
        <f ca="1">IFERROR(__xludf.DUMMYFUNCTION("""COMPUTED_VALUE"""),"Soy de familia cristiana pero no entendía lo que es ser cristiano y lo que hizo jesús por mi hasta el campamento del 2021 en la roca que conocí a Jesús y de ahí en adelante mi vida a cambiado para bien gracias a Dios")</f>
        <v>Soy de familia cristiana pero no entendía lo que es ser cristiano y lo que hizo jesús por mi hasta el campamento del 2021 en la roca que conocí a Jesús y de ahí en adelante mi vida a cambiado para bien gracias a Dios</v>
      </c>
      <c r="Q38" s="1" t="str">
        <f ca="1">IFERROR(__xludf.DUMMYFUNCTION("""COMPUTED_VALUE"""),"Me gusta el campamento de Bernal y pues si no haré nada en mi casa pues aprovecho mi tiempo y también tendría que pedir vacaciones en el trabajo pero si es por dispocisión")</f>
        <v>Me gusta el campamento de Bernal y pues si no haré nada en mi casa pues aprovecho mi tiempo y también tendría que pedir vacaciones en el trabajo pero si es por dispocisión</v>
      </c>
      <c r="R38" s="1" t="str">
        <f ca="1">IFERROR(__xludf.DUMMYFUNCTION("""COMPUTED_VALUE"""),"Si")</f>
        <v>Si</v>
      </c>
      <c r="S38" s="1" t="str">
        <f ca="1">IFERROR(__xludf.DUMMYFUNCTION("""COMPUTED_VALUE"""),"Futbol, basketball, volleyball y ciclismo de montaña")</f>
        <v>Futbol, basketball, volleyball y ciclismo de montaña</v>
      </c>
      <c r="T38" s="1" t="str">
        <f ca="1">IFERROR(__xludf.DUMMYFUNCTION("""COMPUTED_VALUE"""),"No")</f>
        <v>No</v>
      </c>
      <c r="U38" s="1"/>
      <c r="V38" s="1" t="str">
        <f ca="1">IFERROR(__xludf.DUMMYFUNCTION("""COMPUTED_VALUE"""),"Electromecánica parte de muchas cosas eléctricas")</f>
        <v>Electromecánica parte de muchas cosas eléctricas</v>
      </c>
      <c r="W38" s="1" t="str">
        <f ca="1">IFERROR(__xludf.DUMMYFUNCTION("""COMPUTED_VALUE"""),"Uso de herramientas y electricidad")</f>
        <v>Uso de herramientas y electricidad</v>
      </c>
      <c r="X38" s="1" t="str">
        <f ca="1">IFERROR(__xludf.DUMMYFUNCTION("""COMPUTED_VALUE"""),"B. Me gusta animar a las personas, D. Me gustan los deportes, F. Soy eficiente en el trabajo con herramientas, equipos y maquinarias, H. Soy organizado (a), M. Soy bueno (a) con los números, O. Puedo enseñar con facilidad")</f>
        <v>B. Me gusta animar a las personas, D. Me gustan los deportes, F. Soy eficiente en el trabajo con herramientas, equipos y maquinarias, H. Soy organizado (a), M. Soy bueno (a) con los números, O. Puedo enseñar con facilidad</v>
      </c>
      <c r="Y38" s="1" t="str">
        <f ca="1">IFERROR(__xludf.DUMMYFUNCTION("""COMPUTED_VALUE"""),"Si, 2021, 2022, 2023,")</f>
        <v>Si, 2021, 2022, 2023,</v>
      </c>
      <c r="Z38" s="1"/>
    </row>
    <row r="39" spans="1:26" x14ac:dyDescent="0.35">
      <c r="A39" s="1" t="str">
        <f ca="1">IFERROR(__xludf.DUMMYFUNCTION("""COMPUTED_VALUE"""),"26-Apr-2025 20:38:57")</f>
        <v>26-Apr-2025 20:38:57</v>
      </c>
      <c r="B39" s="1"/>
      <c r="C39" s="1" t="str">
        <f ca="1">IFERROR(__xludf.DUMMYFUNCTION("""COMPUTED_VALUE"""),"Keila, Enríquez")</f>
        <v>Keila, Enríquez</v>
      </c>
      <c r="D39" s="1">
        <f ca="1">IFERROR(__xludf.DUMMYFUNCTION("""COMPUTED_VALUE"""),24)</f>
        <v>24</v>
      </c>
      <c r="E39" s="1" t="str">
        <f ca="1">IFERROR(__xludf.DUMMYFUNCTION("""COMPUTED_VALUE"""),"Mujer")</f>
        <v>Mujer</v>
      </c>
      <c r="F39" s="1" t="str">
        <f ca="1">IFERROR(__xludf.DUMMYFUNCTION("""COMPUTED_VALUE"""),"Puebla, Mexico")</f>
        <v>Puebla, Mexico</v>
      </c>
      <c r="G39" s="1" t="str">
        <f ca="1">IFERROR(__xludf.DUMMYFUNCTION("""COMPUTED_VALUE"""),"keilaev94@gmail.com")</f>
        <v>keilaev94@gmail.com</v>
      </c>
      <c r="H39" s="1">
        <f ca="1">IFERROR(__xludf.DUMMYFUNCTION("""COMPUTED_VALUE"""),522224846219)</f>
        <v>522224846219</v>
      </c>
      <c r="I39" s="1" t="str">
        <f ca="1">IFERROR(__xludf.DUMMYFUNCTION("""COMPUTED_VALUE"""),"Jóvenes de 13 – 17 años / SEM1/ (28 Julio a 02 de agosto)")</f>
        <v>Jóvenes de 13 – 17 años / SEM1/ (28 Julio a 02 de agosto)</v>
      </c>
      <c r="J39" s="1" t="str">
        <f ca="1">IFERROR(__xludf.DUMMYFUNCTION("""COMPUTED_VALUE"""),"Teniendo el corazón de maria en el mundo de Marta")</f>
        <v>Teniendo el corazón de maria en el mundo de Marta</v>
      </c>
      <c r="K39" s="1" t="str">
        <f ca="1">IFERROR(__xludf.DUMMYFUNCTION("""COMPUTED_VALUE"""),"El puente BC")</f>
        <v>El puente BC</v>
      </c>
      <c r="L39" s="1" t="str">
        <f ca="1">IFERROR(__xludf.DUMMYFUNCTION("""COMPUTED_VALUE"""),"Carlos Miranda")</f>
        <v>Carlos Miranda</v>
      </c>
      <c r="M39" s="1">
        <f ca="1">IFERROR(__xludf.DUMMYFUNCTION("""COMPUTED_VALUE"""),522221218840)</f>
        <v>522221218840</v>
      </c>
      <c r="N39" s="1" t="str">
        <f ca="1">IFERROR(__xludf.DUMMYFUNCTION("""COMPUTED_VALUE"""),"CGMiranda@hotmail.com")</f>
        <v>CGMiranda@hotmail.com</v>
      </c>
      <c r="O39" s="1" t="str">
        <f ca="1">IFERROR(__xludf.DUMMYFUNCTION("""COMPUTED_VALUE"""),"Alabanza y jovenes")</f>
        <v>Alabanza y jovenes</v>
      </c>
      <c r="P39" s="1" t="str">
        <f ca="1">IFERROR(__xludf.DUMMYFUNCTION("""COMPUTED_VALUE"""),"Hace un tiempo, atravesé una etapa difícil en mi vida, luchando con problemas alimenticios y una autoestima muy dañada. Pero en medio de esa oscuridad, Dios usó a una chica misionera que se acercó y habló directamente a mi corazón, recordándome el valor i"&amp;"nmenso que tengo para Él. A través de sus palabras y del amor de Jesús, pude ver que mi vida tenía propósito y que yo era profundamente amada.  
Hoy, Dios me permite usar mi historia como testimonio y guía para otras chicas, ayudándolas a descubrir su ver"&amp;"dadero valor y a experimentar el amor incondicional de Jesús. Es un honor para mí acompañarlas, alentarlas y caminar junto a ellas en esta hermosa aventura de fe.")</f>
        <v>Hace un tiempo, atravesé una etapa difícil en mi vida, luchando con problemas alimenticios y una autoestima muy dañada. Pero en medio de esa oscuridad, Dios usó a una chica misionera que se acercó y habló directamente a mi corazón, recordándome el valor inmenso que tengo para Él. A través de sus palabras y del amor de Jesús, pude ver que mi vida tenía propósito y que yo era profundamente amada.  
Hoy, Dios me permite usar mi historia como testimonio y guía para otras chicas, ayudándolas a descubrir su verdadero valor y a experimentar el amor incondicional de Jesús. Es un honor para mí acompañarlas, alentarlas y caminar junto a ellas en esta hermosa aventura de fe.</v>
      </c>
      <c r="Q39" s="1" t="str">
        <f ca="1">IFERROR(__xludf.DUMMYFUNCTION("""COMPUTED_VALUE"""),"Porque siento que mi propósito es ser de bendición para los chavos, guiarlos a que conozcan a Jesús de una manera real y a que se llenen del Espíritu Santo. Por eso, deseo ser parte de este equipo de verano, para acompañarlos en su caminar de fe y ver cóm"&amp;"o Dios transforma sus vidas como transformó la mía.")</f>
        <v>Porque siento que mi propósito es ser de bendición para los chavos, guiarlos a que conozcan a Jesús de una manera real y a que se llenen del Espíritu Santo. Por eso, deseo ser parte de este equipo de verano, para acompañarlos en su caminar de fe y ver cómo Dios transforma sus vidas como transformó la mía.</v>
      </c>
      <c r="R39" s="1" t="str">
        <f ca="1">IFERROR(__xludf.DUMMYFUNCTION("""COMPUTED_VALUE"""),"Si")</f>
        <v>Si</v>
      </c>
      <c r="S39" s="1" t="str">
        <f ca="1">IFERROR(__xludf.DUMMYFUNCTION("""COMPUTED_VALUE"""),"Running")</f>
        <v>Running</v>
      </c>
      <c r="T39" s="1" t="str">
        <f ca="1">IFERROR(__xludf.DUMMYFUNCTION("""COMPUTED_VALUE"""),"Si")</f>
        <v>Si</v>
      </c>
      <c r="U39" s="1" t="str">
        <f ca="1">IFERROR(__xludf.DUMMYFUNCTION("""COMPUTED_VALUE"""),"Violin")</f>
        <v>Violin</v>
      </c>
      <c r="V39" s="1" t="str">
        <f ca="1">IFERROR(__xludf.DUMMYFUNCTION("""COMPUTED_VALUE"""),"Medicina y también un Técnico en Paramedico")</f>
        <v>Medicina y también un Técnico en Paramedico</v>
      </c>
      <c r="W39" s="1" t="str">
        <f ca="1">IFERROR(__xludf.DUMMYFUNCTION("""COMPUTED_VALUE"""),"Música, ballet y actuar rápido en situaciones complicadas")</f>
        <v>Música, ballet y actuar rápido en situaciones complicadas</v>
      </c>
      <c r="X39" s="1" t="str">
        <f ca="1">IFERROR(__xludf.DUMMYFUNCTION("""COMPUTED_VALUE"""),"C. Suelo buscar que el trabajo se realice en equipo, D. Me gustan los deportes, H. Soy organizado (a), L. Soy bueno (a) en canto o algún instrumento, N. Suelo llevar el liderazgo en un grupo, O. Puedo enseñar con facilidad")</f>
        <v>C. Suelo buscar que el trabajo se realice en equipo, D. Me gustan los deportes, H. Soy organizado (a), L. Soy bueno (a) en canto o algún instrumento, N. Suelo llevar el liderazgo en un grupo, O. Puedo enseñar con facilidad</v>
      </c>
      <c r="Y39" s="1" t="str">
        <f ca="1">IFERROR(__xludf.DUMMYFUNCTION("""COMPUTED_VALUE"""),"No")</f>
        <v>No</v>
      </c>
      <c r="Z39" s="1"/>
    </row>
    <row r="40" spans="1:26" x14ac:dyDescent="0.35">
      <c r="A40" s="1" t="str">
        <f ca="1">IFERROR(__xludf.DUMMYFUNCTION("""COMPUTED_VALUE"""),"26-Apr-2025 22:06:06")</f>
        <v>26-Apr-2025 22:06:06</v>
      </c>
      <c r="B40" s="1"/>
      <c r="C40" s="1" t="str">
        <f ca="1">IFERROR(__xludf.DUMMYFUNCTION("""COMPUTED_VALUE"""),"Zahid Jabneel, Mendez Collado")</f>
        <v>Zahid Jabneel, Mendez Collado</v>
      </c>
      <c r="D40" s="1">
        <f ca="1">IFERROR(__xludf.DUMMYFUNCTION("""COMPUTED_VALUE"""),19)</f>
        <v>19</v>
      </c>
      <c r="E40" s="1" t="str">
        <f ca="1">IFERROR(__xludf.DUMMYFUNCTION("""COMPUTED_VALUE"""),"Hombre")</f>
        <v>Hombre</v>
      </c>
      <c r="F40" s="1" t="str">
        <f ca="1">IFERROR(__xludf.DUMMYFUNCTION("""COMPUTED_VALUE"""),"Veracruz, Mexico")</f>
        <v>Veracruz, Mexico</v>
      </c>
      <c r="G40" s="1" t="str">
        <f ca="1">IFERROR(__xludf.DUMMYFUNCTION("""COMPUTED_VALUE"""),"zajmendez7@gmail.com")</f>
        <v>zajmendez7@gmail.com</v>
      </c>
      <c r="H40" s="1">
        <f ca="1">IFERROR(__xludf.DUMMYFUNCTION("""COMPUTED_VALUE"""),522721230275)</f>
        <v>522721230275</v>
      </c>
      <c r="I40" s="1" t="str">
        <f ca="1">IFERROR(__xludf.DUMMYFUNCTION("""COMPUTED_VALUE"""),"Jóvenes de 13 – 17 años / SEM2/ (4 - 09 agosto)")</f>
        <v>Jóvenes de 13 – 17 años / SEM2/ (4 - 09 agosto)</v>
      </c>
      <c r="J40" s="1" t="str">
        <f ca="1">IFERROR(__xludf.DUMMYFUNCTION("""COMPUTED_VALUE"""),"La Buena Parte")</f>
        <v>La Buena Parte</v>
      </c>
      <c r="K40" s="1" t="str">
        <f ca="1">IFERROR(__xludf.DUMMYFUNCTION("""COMPUTED_VALUE"""),"El Sembrador Orizaba Centro")</f>
        <v>El Sembrador Orizaba Centro</v>
      </c>
      <c r="L40" s="1" t="str">
        <f ca="1">IFERROR(__xludf.DUMMYFUNCTION("""COMPUTED_VALUE"""),"Chai Sanchez")</f>
        <v>Chai Sanchez</v>
      </c>
      <c r="M40" s="1">
        <f ca="1">IFERROR(__xludf.DUMMYFUNCTION("""COMPUTED_VALUE"""),522727839926)</f>
        <v>522727839926</v>
      </c>
      <c r="N40" s="1" t="str">
        <f ca="1">IFERROR(__xludf.DUMMYFUNCTION("""COMPUTED_VALUE"""),"chaisanchezavilla@gmail.com")</f>
        <v>chaisanchezavilla@gmail.com</v>
      </c>
      <c r="O40" s="1" t="str">
        <f ca="1">IFERROR(__xludf.DUMMYFUNCTION("""COMPUTED_VALUE"""),"Maestro de Escuela Biblica")</f>
        <v>Maestro de Escuela Biblica</v>
      </c>
      <c r="P40" s="1" t="str">
        <f ca="1">IFERROR(__xludf.DUMMYFUNCTION("""COMPUTED_VALUE"""),"Cuando era joven empeze a sentir algo que me impulsaba a hacer las cosas para el Señor, y cada ves mas me sentia atraido a Él y con la necesidad de conocerle a Él aun mas y fue cuando tome la decisiones que queria seguirle")</f>
        <v>Cuando era joven empeze a sentir algo que me impulsaba a hacer las cosas para el Señor, y cada ves mas me sentia atraido a Él y con la necesidad de conocerle a Él aun mas y fue cuando tome la decisiones que queria seguirle</v>
      </c>
      <c r="Q40" s="1" t="str">
        <f ca="1">IFERROR(__xludf.DUMMYFUNCTION("""COMPUTED_VALUE"""),"Desde hace 2 años me habian comentado acerca del campamento y tenia el deseo de ir a apoyar asi como una vez mis padres lo hicieron en el seminario de PV y apenas se me abrio una oportunidad de ir y no la podia desaprovecharla")</f>
        <v>Desde hace 2 años me habian comentado acerca del campamento y tenia el deseo de ir a apoyar asi como una vez mis padres lo hicieron en el seminario de PV y apenas se me abrio una oportunidad de ir y no la podia desaprovecharla</v>
      </c>
      <c r="R40" s="1" t="str">
        <f ca="1">IFERROR(__xludf.DUMMYFUNCTION("""COMPUTED_VALUE"""),"No")</f>
        <v>No</v>
      </c>
      <c r="S40" s="1"/>
      <c r="T40" s="1" t="str">
        <f ca="1">IFERROR(__xludf.DUMMYFUNCTION("""COMPUTED_VALUE"""),"No")</f>
        <v>No</v>
      </c>
      <c r="U40" s="1"/>
      <c r="V40" s="1" t="str">
        <f ca="1">IFERROR(__xludf.DUMMYFUNCTION("""COMPUTED_VALUE"""),"Ingenieria Quimica")</f>
        <v>Ingenieria Quimica</v>
      </c>
      <c r="W40" s="1" t="str">
        <f ca="1">IFERROR(__xludf.DUMMYFUNCTION("""COMPUTED_VALUE"""),"Habil en el trabajo manual")</f>
        <v>Habil en el trabajo manual</v>
      </c>
      <c r="X40" s="1" t="str">
        <f ca="1">IFERROR(__xludf.DUMMYFUNCTION("""COMPUTED_VALUE"""),"A. Soy un discipulador activo, B. Me gusta animar a las personas, C. Suelo buscar que el trabajo se realice en equipo, E. Me gusta el trabajo con niños, G. Soy más eficiente en el trabajo individual, I. Se me facilita el trabajo físico, J. Me gusta la ate"&amp;"nción a las personas, K. Soy creativo (a), L. Soy bueno (a) en canto o algún instrumento, M. Soy bueno (a) con los números, N. Suelo llevar el liderazgo en un grupo, O. Puedo enseñar con facilidad")</f>
        <v>A. Soy un discipulador activo, B. Me gusta animar a las personas, C. Suelo buscar que el trabajo se realice en equipo, E. Me gusta el trabajo con niños, G. Soy más eficiente en el trabajo individual, I. Se me facilita el trabajo físico, J. Me gusta la atención a las personas, K. Soy creativo (a), L. Soy bueno (a) en canto o algún instrumento, M. Soy bueno (a) con los números, N. Suelo llevar el liderazgo en un grupo, O. Puedo enseñar con facilidad</v>
      </c>
      <c r="Y40" s="1" t="str">
        <f ca="1">IFERROR(__xludf.DUMMYFUNCTION("""COMPUTED_VALUE"""),"No he ido")</f>
        <v>No he ido</v>
      </c>
      <c r="Z40" s="1"/>
    </row>
    <row r="41" spans="1:26" x14ac:dyDescent="0.35">
      <c r="A41" s="1" t="str">
        <f ca="1">IFERROR(__xludf.DUMMYFUNCTION("""COMPUTED_VALUE"""),"27-Apr-2025 14:22:01")</f>
        <v>27-Apr-2025 14:22:01</v>
      </c>
      <c r="B41" s="1"/>
      <c r="C41" s="1" t="str">
        <f ca="1">IFERROR(__xludf.DUMMYFUNCTION("""COMPUTED_VALUE"""),"Marley shirel, Flores Alonso")</f>
        <v>Marley shirel, Flores Alonso</v>
      </c>
      <c r="D41" s="1">
        <f ca="1">IFERROR(__xludf.DUMMYFUNCTION("""COMPUTED_VALUE"""),15)</f>
        <v>15</v>
      </c>
      <c r="E41" s="1" t="str">
        <f ca="1">IFERROR(__xludf.DUMMYFUNCTION("""COMPUTED_VALUE"""),"Mujer")</f>
        <v>Mujer</v>
      </c>
      <c r="F41" s="1" t="str">
        <f ca="1">IFERROR(__xludf.DUMMYFUNCTION("""COMPUTED_VALUE"""),"Morelos, Mexico")</f>
        <v>Morelos, Mexico</v>
      </c>
      <c r="G41" s="1" t="str">
        <f ca="1">IFERROR(__xludf.DUMMYFUNCTION("""COMPUTED_VALUE"""),"marleyshirelflores@gmail.com")</f>
        <v>marleyshirelflores@gmail.com</v>
      </c>
      <c r="H41" s="1">
        <f ca="1">IFERROR(__xludf.DUMMYFUNCTION("""COMPUTED_VALUE"""),527351276278)</f>
        <v>527351276278</v>
      </c>
      <c r="I41" s="1" t="str">
        <f ca="1">IFERROR(__xludf.DUMMYFUNCTION("""COMPUTED_VALUE"""),"Toda la temporada (07 de Julio al 16 de agosto)")</f>
        <v>Toda la temporada (07 de Julio al 16 de agosto)</v>
      </c>
      <c r="J41" s="1" t="str">
        <f ca="1">IFERROR(__xludf.DUMMYFUNCTION("""COMPUTED_VALUE"""),"Pasos diarios")</f>
        <v>Pasos diarios</v>
      </c>
      <c r="K41" s="1" t="str">
        <f ca="1">IFERROR(__xludf.DUMMYFUNCTION("""COMPUTED_VALUE"""),"Iglesia cristiana mahanaim")</f>
        <v>Iglesia cristiana mahanaim</v>
      </c>
      <c r="L41" s="1" t="str">
        <f ca="1">IFERROR(__xludf.DUMMYFUNCTION("""COMPUTED_VALUE"""),"Fernando bermudez")</f>
        <v>Fernando bermudez</v>
      </c>
      <c r="M41" s="1">
        <f ca="1">IFERROR(__xludf.DUMMYFUNCTION("""COMPUTED_VALUE"""),527351258023)</f>
        <v>527351258023</v>
      </c>
      <c r="N41" s="1" t="str">
        <f ca="1">IFERROR(__xludf.DUMMYFUNCTION("""COMPUTED_VALUE"""),"ferberca48@gmail.com")</f>
        <v>ferberca48@gmail.com</v>
      </c>
      <c r="O41" s="1" t="str">
        <f ca="1">IFERROR(__xludf.DUMMYFUNCTION("""COMPUTED_VALUE"""),"Evangelismo")</f>
        <v>Evangelismo</v>
      </c>
      <c r="P41" s="1" t="str">
        <f ca="1">IFERROR(__xludf.DUMMYFUNCTION("""COMPUTED_VALUE"""),"Fue en un campamento de palabra de vida")</f>
        <v>Fue en un campamento de palabra de vida</v>
      </c>
      <c r="Q41" s="1" t="str">
        <f ca="1">IFERROR(__xludf.DUMMYFUNCTION("""COMPUTED_VALUE"""),"Para poder servir al señor")</f>
        <v>Para poder servir al señor</v>
      </c>
      <c r="R41" s="1" t="str">
        <f ca="1">IFERROR(__xludf.DUMMYFUNCTION("""COMPUTED_VALUE"""),"Si")</f>
        <v>Si</v>
      </c>
      <c r="S41" s="1" t="str">
        <f ca="1">IFERROR(__xludf.DUMMYFUNCTION("""COMPUTED_VALUE"""),"Volleyball")</f>
        <v>Volleyball</v>
      </c>
      <c r="T41" s="1" t="str">
        <f ca="1">IFERROR(__xludf.DUMMYFUNCTION("""COMPUTED_VALUE"""),"No")</f>
        <v>No</v>
      </c>
      <c r="U41" s="1"/>
      <c r="V41" s="1" t="str">
        <f ca="1">IFERROR(__xludf.DUMMYFUNCTION("""COMPUTED_VALUE"""),"High school")</f>
        <v>High school</v>
      </c>
      <c r="W41" s="1" t="str">
        <f ca="1">IFERROR(__xludf.DUMMYFUNCTION("""COMPUTED_VALUE"""),"Dibujo")</f>
        <v>Dibujo</v>
      </c>
      <c r="X41" s="1" t="str">
        <f ca="1">IFERROR(__xludf.DUMMYFUNCTION("""COMPUTED_VALUE"""),"D. Me gustan los deportes, G. Soy más eficiente en el trabajo individual, H. Soy organizado (a), K. Soy creativo (a), L. Soy bueno (a) en canto o algún instrumento, M. Soy bueno (a) con los números")</f>
        <v>D. Me gustan los deportes, G. Soy más eficiente en el trabajo individual, H. Soy organizado (a), K. Soy creativo (a), L. Soy bueno (a) en canto o algún instrumento, M. Soy bueno (a) con los números</v>
      </c>
      <c r="Y41" s="1" t="str">
        <f ca="1">IFERROR(__xludf.DUMMYFUNCTION("""COMPUTED_VALUE"""),"2014 - 2025")</f>
        <v>2014 - 2025</v>
      </c>
      <c r="Z41" s="1"/>
    </row>
    <row r="42" spans="1:26" x14ac:dyDescent="0.35">
      <c r="A42" s="1" t="str">
        <f ca="1">IFERROR(__xludf.DUMMYFUNCTION("""COMPUTED_VALUE"""),"28-Apr-2025 04:22:51")</f>
        <v>28-Apr-2025 04:22:51</v>
      </c>
      <c r="B42" s="1"/>
      <c r="C42" s="1" t="str">
        <f ca="1">IFERROR(__xludf.DUMMYFUNCTION("""COMPUTED_VALUE"""),"Sergio Timoteo, González Medina")</f>
        <v>Sergio Timoteo, González Medina</v>
      </c>
      <c r="D42" s="1">
        <f ca="1">IFERROR(__xludf.DUMMYFUNCTION("""COMPUTED_VALUE"""),16)</f>
        <v>16</v>
      </c>
      <c r="E42" s="1" t="str">
        <f ca="1">IFERROR(__xludf.DUMMYFUNCTION("""COMPUTED_VALUE"""),"Hombre")</f>
        <v>Hombre</v>
      </c>
      <c r="F42" s="1" t="str">
        <f ca="1">IFERROR(__xludf.DUMMYFUNCTION("""COMPUTED_VALUE"""),"Morelos, Mexico")</f>
        <v>Morelos, Mexico</v>
      </c>
      <c r="G42" s="1" t="str">
        <f ca="1">IFERROR(__xludf.DUMMYFUNCTION("""COMPUTED_VALUE"""),"timoteogonzalez777@gmail.com")</f>
        <v>timoteogonzalez777@gmail.com</v>
      </c>
      <c r="H42" s="1">
        <f ca="1">IFERROR(__xludf.DUMMYFUNCTION("""COMPUTED_VALUE"""),527353618466)</f>
        <v>527353618466</v>
      </c>
      <c r="I42" s="1" t="str">
        <f ca="1">IFERROR(__xludf.DUMMYFUNCTION("""COMPUTED_VALUE"""),"Semana de entrenamiento (07 - 13) Julio, Comunidad Jóvenes + 18 (14-19) Julio, Semana de niños y niñas (21-25) Julio")</f>
        <v>Semana de entrenamiento (07 - 13) Julio, Comunidad Jóvenes + 18 (14-19) Julio, Semana de niños y niñas (21-25) Julio</v>
      </c>
      <c r="J42" s="1" t="str">
        <f ca="1">IFERROR(__xludf.DUMMYFUNCTION("""COMPUTED_VALUE"""),"Caminemos con la Palabra")</f>
        <v>Caminemos con la Palabra</v>
      </c>
      <c r="K42" s="1" t="str">
        <f ca="1">IFERROR(__xludf.DUMMYFUNCTION("""COMPUTED_VALUE"""),"Palabra de Fe")</f>
        <v>Palabra de Fe</v>
      </c>
      <c r="L42" s="1" t="str">
        <f ca="1">IFERROR(__xludf.DUMMYFUNCTION("""COMPUTED_VALUE"""),"Sergio Gonzalez Rivera")</f>
        <v>Sergio Gonzalez Rivera</v>
      </c>
      <c r="M42" s="1">
        <f ca="1">IFERROR(__xludf.DUMMYFUNCTION("""COMPUTED_VALUE"""),527351365595)</f>
        <v>527351365595</v>
      </c>
      <c r="N42" s="1" t="str">
        <f ca="1">IFERROR(__xludf.DUMMYFUNCTION("""COMPUTED_VALUE"""),"serglerv@gmail.com")</f>
        <v>serglerv@gmail.com</v>
      </c>
      <c r="O42" s="1" t="str">
        <f ca="1">IFERROR(__xludf.DUMMYFUNCTION("""COMPUTED_VALUE"""),"Ministerio de Jovenes")</f>
        <v>Ministerio de Jovenes</v>
      </c>
      <c r="P42" s="1" t="str">
        <f ca="1">IFERROR(__xludf.DUMMYFUNCTION("""COMPUTED_VALUE"""),"Mi testimonio personal es una historia que comenzó con el asombro, la curiosidad y una riesgosa incredulidad. A los doce años, ya era un conocedor de la Palabra del Señor, pues mis padres habían sido pastores durante años. Escuchaba hablar de milagros, te"&amp;"stimonios, alabanzas y sermones los domingos; sin embargo, aún no existía en mí un puente entre aquellas vivencias espirituales y una relación personal con el Señor Jesús. Entendía la teología: sabía que éramos pecadores, que necesitábamos un Salvador y q"&amp;"uién era ese Salvador. No obstante, carecía de una convicción real en mi interior. Pensaba que tanto contacto con la Palabra me había adormecido, pero en realidad todo se debía a una falta de intimidad con Dios.
Viví momentos familiares difíciles, y con "&amp;"ellos surgió una profunda necesidad de sostén. Fue entonces cuando me adentré en la Palabra de manera íntima y con un corazón sensible. Sin buscar algo específico, encontré en ella el consuelo que necesitaba: más que un conocimiento, era una profunda reve"&amp;"lación que interactuaba directamente con mi alma.
Con el paso del tiempo, los Proverbios se convirtieron para mí en palabras de claridad en medio de mis dudas. Más adelante, los entendí como la sabiduría de Dios, que me enseñaba acerca de la sabiduría, l"&amp;"a inteligencia y el entendimiento que Él deseaba para mi vida.
Posteriormente, me sumergí en las cartas de Pablo, y fue entonces cuando todo lo que antes había escuchado comenzó a adquirir un significado personal. Ahora la Palabra se revelaba a mí porque"&amp;" la leía con un corazón correcto: uno necesitado de Dios.
Mi testimonio personal no fue un cambio apresurado, sino un caminar continuo en el Señor, en el cual Él utilizó los momentos difíciles de mi vida para acercarme a Él y transformar mi vida mediante"&amp;" la revelación de su Palabra.")</f>
        <v>Mi testimonio personal es una historia que comenzó con el asombro, la curiosidad y una riesgosa incredulidad. A los doce años, ya era un conocedor de la Palabra del Señor, pues mis padres habían sido pastores durante años. Escuchaba hablar de milagros, testimonios, alabanzas y sermones los domingos; sin embargo, aún no existía en mí un puente entre aquellas vivencias espirituales y una relación personal con el Señor Jesús. Entendía la teología: sabía que éramos pecadores, que necesitábamos un Salvador y quién era ese Salvador. No obstante, carecía de una convicción real en mi interior. Pensaba que tanto contacto con la Palabra me había adormecido, pero en realidad todo se debía a una falta de intimidad con Dios.
Viví momentos familiares difíciles, y con ellos surgió una profunda necesidad de sostén. Fue entonces cuando me adentré en la Palabra de manera íntima y con un corazón sensible. Sin buscar algo específico, encontré en ella el consuelo que necesitaba: más que un conocimiento, era una profunda revelación que interactuaba directamente con mi alma.
Con el paso del tiempo, los Proverbios se convirtieron para mí en palabras de claridad en medio de mis dudas. Más adelante, los entendí como la sabiduría de Dios, que me enseñaba acerca de la sabiduría, la inteligencia y el entendimiento que Él deseaba para mi vida.
Posteriormente, me sumergí en las cartas de Pablo, y fue entonces cuando todo lo que antes había escuchado comenzó a adquirir un significado personal. Ahora la Palabra se revelaba a mí porque la leía con un corazón correcto: uno necesitado de Dios.
Mi testimonio personal no fue un cambio apresurado, sino un caminar continuo en el Señor, en el cual Él utilizó los momentos difíciles de mi vida para acercarme a Él y transformar mi vida mediante la revelación de su Palabra.</v>
      </c>
      <c r="Q42" s="1" t="str">
        <f ca="1">IFERROR(__xludf.DUMMYFUNCTION("""COMPUTED_VALUE"""),"Durante el mes de marzo estuve sirviendo en la convención estudiantil, y fue una experiencia muy enriquecedora. Pude hacer muchos amigos, ponerme a prueba en el servicio, aprender a ser más organizado e independiente, y ser útil y eficiente en las distint"&amp;"as áreas asignadas. Por encima de todo, aprendí a adoptar el carácter de servicio que tuvo el Señor Jesús, sabiendo que todo lo que hacía era para Él y con la motivación de estar colaborando, aunque indirectamente, en la salvación de muchas personas al re"&amp;"alizar un buen trabajo en mi área.
Esta es precisamente la razón por la cual, este verano, me gustaría formar parte del equipo. Asistí en 2022 como campero, y las enseñanzas recibidas en el campamento, junto con el contacto constante con la Palabra, me d"&amp;"ieron claridad y fortalecieron mi relación con el Señor. Además, pude ver a muchos amigos y conocidos recibir a Cristo en su corazón y cambiar por completo el rumbo de sus vidas. Esa es mi mayor motivación: ahora deseo ser parte de los colaboradores que h"&amp;"acen posible ese campamento y que impactan tantas vidas.
Quiero, al igual que ocurrió conmigo, dar testimonio a través de mi servicio, desempeñar un buen trabajo y ser un instrumento para que muchas personas encuentren claridad en su caminar y reciban al"&amp;" Señor en su corazón.")</f>
        <v>Durante el mes de marzo estuve sirviendo en la convención estudiantil, y fue una experiencia muy enriquecedora. Pude hacer muchos amigos, ponerme a prueba en el servicio, aprender a ser más organizado e independiente, y ser útil y eficiente en las distintas áreas asignadas. Por encima de todo, aprendí a adoptar el carácter de servicio que tuvo el Señor Jesús, sabiendo que todo lo que hacía era para Él y con la motivación de estar colaborando, aunque indirectamente, en la salvación de muchas personas al realizar un buen trabajo en mi área.
Esta es precisamente la razón por la cual, este verano, me gustaría formar parte del equipo. Asistí en 2022 como campero, y las enseñanzas recibidas en el campamento, junto con el contacto constante con la Palabra, me dieron claridad y fortalecieron mi relación con el Señor. Además, pude ver a muchos amigos y conocidos recibir a Cristo en su corazón y cambiar por completo el rumbo de sus vidas. Esa es mi mayor motivación: ahora deseo ser parte de los colaboradores que hacen posible ese campamento y que impactan tantas vidas.
Quiero, al igual que ocurrió conmigo, dar testimonio a través de mi servicio, desempeñar un buen trabajo y ser un instrumento para que muchas personas encuentren claridad en su caminar y reciban al Señor en su corazón.</v>
      </c>
      <c r="R42" s="1" t="str">
        <f ca="1">IFERROR(__xludf.DUMMYFUNCTION("""COMPUTED_VALUE"""),"Si")</f>
        <v>Si</v>
      </c>
      <c r="S42" s="1" t="str">
        <f ca="1">IFERROR(__xludf.DUMMYFUNCTION("""COMPUTED_VALUE"""),"Badminton")</f>
        <v>Badminton</v>
      </c>
      <c r="T42" s="1" t="str">
        <f ca="1">IFERROR(__xludf.DUMMYFUNCTION("""COMPUTED_VALUE"""),"No")</f>
        <v>No</v>
      </c>
      <c r="U42" s="1"/>
      <c r="V42" s="1" t="str">
        <f ca="1">IFERROR(__xludf.DUMMYFUNCTION("""COMPUTED_VALUE"""),"Preparatoria")</f>
        <v>Preparatoria</v>
      </c>
      <c r="W42" s="1" t="str">
        <f ca="1">IFERROR(__xludf.DUMMYFUNCTION("""COMPUTED_VALUE"""),"Habilidades deportivas: Tengo habilidades deportivas, para el bádminton y el básquetbol.  Habilidades culturales: Soy bueno hablando en público y escribo mucho en mis tiempos libres.  Habilidades computacionales: Sé cómo usar programas de productividad, p")</f>
        <v>Habilidades deportivas: Tengo habilidades deportivas, para el bádminton y el básquetbol.  Habilidades culturales: Soy bueno hablando en público y escribo mucho en mis tiempos libres.  Habilidades computacionales: Sé cómo usar programas de productividad, p</v>
      </c>
      <c r="X42" s="1" t="str">
        <f ca="1">IFERROR(__xludf.DUMMYFUNCTION("""COMPUTED_VALUE"""),"B. Me gusta animar a las personas, D. Me gustan los deportes, H. Soy organizado (a), J. Me gusta la atención a las personas, K. Soy creativo (a)")</f>
        <v>B. Me gusta animar a las personas, D. Me gustan los deportes, H. Soy organizado (a), J. Me gusta la atención a las personas, K. Soy creativo (a)</v>
      </c>
      <c r="Y42" s="1">
        <f ca="1">IFERROR(__xludf.DUMMYFUNCTION("""COMPUTED_VALUE"""),2022)</f>
        <v>2022</v>
      </c>
      <c r="Z42" s="1"/>
    </row>
    <row r="43" spans="1:26" x14ac:dyDescent="0.35">
      <c r="A43" s="1" t="str">
        <f ca="1">IFERROR(__xludf.DUMMYFUNCTION("""COMPUTED_VALUE"""),"28-Apr-2025 18:28:04")</f>
        <v>28-Apr-2025 18:28:04</v>
      </c>
      <c r="B43" s="1"/>
      <c r="C43" s="1" t="str">
        <f ca="1">IFERROR(__xludf.DUMMYFUNCTION("""COMPUTED_VALUE"""),"Esther, Tello Alcaraz")</f>
        <v>Esther, Tello Alcaraz</v>
      </c>
      <c r="D43" s="1">
        <f ca="1">IFERROR(__xludf.DUMMYFUNCTION("""COMPUTED_VALUE"""),17)</f>
        <v>17</v>
      </c>
      <c r="E43" s="1" t="str">
        <f ca="1">IFERROR(__xludf.DUMMYFUNCTION("""COMPUTED_VALUE"""),"Mujer")</f>
        <v>Mujer</v>
      </c>
      <c r="F43" s="1" t="str">
        <f ca="1">IFERROR(__xludf.DUMMYFUNCTION("""COMPUTED_VALUE"""),"Jalisco, Mexico")</f>
        <v>Jalisco, Mexico</v>
      </c>
      <c r="G43" s="1" t="str">
        <f ca="1">IFERROR(__xludf.DUMMYFUNCTION("""COMPUTED_VALUE"""),"esther5.alcaraz@gmail.com")</f>
        <v>esther5.alcaraz@gmail.com</v>
      </c>
      <c r="H43" s="1">
        <f ca="1">IFERROR(__xludf.DUMMYFUNCTION("""COMPUTED_VALUE"""),523334772865)</f>
        <v>523334772865</v>
      </c>
      <c r="I43" s="1" t="str">
        <f ca="1">IFERROR(__xludf.DUMMYFUNCTION("""COMPUTED_VALUE"""),"Toda la temporada (07 de Julio al 16 de agosto)")</f>
        <v>Toda la temporada (07 de Julio al 16 de agosto)</v>
      </c>
      <c r="J43" s="1" t="str">
        <f ca="1">IFERROR(__xludf.DUMMYFUNCTION("""COMPUTED_VALUE"""),"Hora silenciosa")</f>
        <v>Hora silenciosa</v>
      </c>
      <c r="K43" s="1" t="str">
        <f ca="1">IFERROR(__xludf.DUMMYFUNCTION("""COMPUTED_VALUE"""),"Iglesia Vida")</f>
        <v>Iglesia Vida</v>
      </c>
      <c r="L43" s="1" t="str">
        <f ca="1">IFERROR(__xludf.DUMMYFUNCTION("""COMPUTED_VALUE"""),"Neftali Rubio Bonilla")</f>
        <v>Neftali Rubio Bonilla</v>
      </c>
      <c r="M43" s="1">
        <f ca="1">IFERROR(__xludf.DUMMYFUNCTION("""COMPUTED_VALUE"""),524411036024)</f>
        <v>524411036024</v>
      </c>
      <c r="N43" s="1" t="str">
        <f ca="1">IFERROR(__xludf.DUMMYFUNCTION("""COMPUTED_VALUE"""),"nefaly@gmail.com")</f>
        <v>nefaly@gmail.com</v>
      </c>
      <c r="O43" s="1" t="str">
        <f ca="1">IFERROR(__xludf.DUMMYFUNCTION("""COMPUTED_VALUE"""),"Cafeteria y escuelita dominical")</f>
        <v>Cafeteria y escuelita dominical</v>
      </c>
      <c r="P43" s="1" t="str">
        <f ca="1">IFERROR(__xludf.DUMMYFUNCTION("""COMPUTED_VALUE"""),"Naci en una familia cristiana que siempre me mostro el amor de Dios, pero hasta la pandemia me acerque a Dios y lo acepte en mi corazón,despues paso el tiempo y deje que se enfriara mi relacion hasta que a inicios del año pasado congrege mi vida al señor "&amp;"y me permito servir el año pasado en el campamento en la escuelita dominical")</f>
        <v>Naci en una familia cristiana que siempre me mostro el amor de Dios, pero hasta la pandemia me acerque a Dios y lo acepte en mi corazón,despues paso el tiempo y deje que se enfriara mi relacion hasta que a inicios del año pasado congrege mi vida al señor y me permito servir el año pasado en el campamento en la escuelita dominical</v>
      </c>
      <c r="Q43" s="1" t="str">
        <f ca="1">IFERROR(__xludf.DUMMYFUNCTION("""COMPUTED_VALUE"""),"Porque anteriormente ya he servido de equipante y me gusto bastante la experiencia y me gustaria poder aprender mas sobre la palabra del señor y alcanzar a cuantas mas personas pueda con el evangelio")</f>
        <v>Porque anteriormente ya he servido de equipante y me gusto bastante la experiencia y me gustaria poder aprender mas sobre la palabra del señor y alcanzar a cuantas mas personas pueda con el evangelio</v>
      </c>
      <c r="R43" s="1" t="str">
        <f ca="1">IFERROR(__xludf.DUMMYFUNCTION("""COMPUTED_VALUE"""),"No")</f>
        <v>No</v>
      </c>
      <c r="S43" s="1"/>
      <c r="T43" s="1" t="str">
        <f ca="1">IFERROR(__xludf.DUMMYFUNCTION("""COMPUTED_VALUE"""),"No")</f>
        <v>No</v>
      </c>
      <c r="U43" s="1"/>
      <c r="V43" s="1" t="str">
        <f ca="1">IFERROR(__xludf.DUMMYFUNCTION("""COMPUTED_VALUE"""),"El bachillerato")</f>
        <v>El bachillerato</v>
      </c>
      <c r="W43" s="1" t="str">
        <f ca="1">IFERROR(__xludf.DUMMYFUNCTION("""COMPUTED_VALUE"""),"Soy buena con los niños y logro que se interesen en Dios y aprendan mas de el y soy activa y soy buena escuchando y aconsejando")</f>
        <v>Soy buena con los niños y logro que se interesen en Dios y aprendan mas de el y soy activa y soy buena escuchando y aconsejando</v>
      </c>
      <c r="X43" s="1" t="str">
        <f ca="1">IFERROR(__xludf.DUMMYFUNCTION("""COMPUTED_VALUE"""),"B. Me gusta animar a las personas, C. Suelo buscar que el trabajo se realice en equipo, E. Me gusta el trabajo con niños, J. Me gusta la atención a las personas, K. Soy creativo (a), O. Puedo enseñar con facilidad")</f>
        <v>B. Me gusta animar a las personas, C. Suelo buscar que el trabajo se realice en equipo, E. Me gusta el trabajo con niños, J. Me gusta la atención a las personas, K. Soy creativo (a), O. Puedo enseñar con facilidad</v>
      </c>
      <c r="Y43" s="1" t="str">
        <f ca="1">IFERROR(__xludf.DUMMYFUNCTION("""COMPUTED_VALUE"""),"Si ,en el 2022,23 y 24")</f>
        <v>Si ,en el 2022,23 y 24</v>
      </c>
      <c r="Z43" s="1"/>
    </row>
    <row r="44" spans="1:26" x14ac:dyDescent="0.35">
      <c r="A44" s="1" t="str">
        <f ca="1">IFERROR(__xludf.DUMMYFUNCTION("""COMPUTED_VALUE"""),"28-Apr-2025 19:10:28")</f>
        <v>28-Apr-2025 19:10:28</v>
      </c>
      <c r="B44" s="1"/>
      <c r="C44" s="1" t="str">
        <f ca="1">IFERROR(__xludf.DUMMYFUNCTION("""COMPUTED_VALUE"""),"Lilia Esmeralda, Cinto Tamez")</f>
        <v>Lilia Esmeralda, Cinto Tamez</v>
      </c>
      <c r="D44" s="1">
        <f ca="1">IFERROR(__xludf.DUMMYFUNCTION("""COMPUTED_VALUE"""),21)</f>
        <v>21</v>
      </c>
      <c r="E44" s="1" t="str">
        <f ca="1">IFERROR(__xludf.DUMMYFUNCTION("""COMPUTED_VALUE"""),"Mujer")</f>
        <v>Mujer</v>
      </c>
      <c r="F44" s="1" t="str">
        <f ca="1">IFERROR(__xludf.DUMMYFUNCTION("""COMPUTED_VALUE"""),"Jalisco, Mexico")</f>
        <v>Jalisco, Mexico</v>
      </c>
      <c r="G44" s="1" t="str">
        <f ca="1">IFERROR(__xludf.DUMMYFUNCTION("""COMPUTED_VALUE"""),"rutesther19@gmail.com")</f>
        <v>rutesther19@gmail.com</v>
      </c>
      <c r="H44" s="1">
        <f ca="1">IFERROR(__xludf.DUMMYFUNCTION("""COMPUTED_VALUE"""),523317762342)</f>
        <v>523317762342</v>
      </c>
      <c r="I44" s="1" t="str">
        <f ca="1">IFERROR(__xludf.DUMMYFUNCTION("""COMPUTED_VALUE"""),"Semana de entrenamiento (07 - 13) Julio, Comunidad Jóvenes + 18 (14-19) Julio")</f>
        <v>Semana de entrenamiento (07 - 13) Julio, Comunidad Jóvenes + 18 (14-19) Julio</v>
      </c>
      <c r="J44" s="1" t="str">
        <f ca="1">IFERROR(__xludf.DUMMYFUNCTION("""COMPUTED_VALUE"""),"Emotionally Healthy Spirituality Day by Day")</f>
        <v>Emotionally Healthy Spirituality Day by Day</v>
      </c>
      <c r="K44" s="1" t="str">
        <f ca="1">IFERROR(__xludf.DUMMYFUNCTION("""COMPUTED_VALUE"""),"Iglesia Bíblica Misionera Guadalajara")</f>
        <v>Iglesia Bíblica Misionera Guadalajara</v>
      </c>
      <c r="L44" s="1" t="str">
        <f ca="1">IFERROR(__xludf.DUMMYFUNCTION("""COMPUTED_VALUE"""),"Geronimo Tamez")</f>
        <v>Geronimo Tamez</v>
      </c>
      <c r="M44" s="1">
        <f ca="1">IFERROR(__xludf.DUMMYFUNCTION("""COMPUTED_VALUE"""),523323326921)</f>
        <v>523323326921</v>
      </c>
      <c r="N44" s="1" t="str">
        <f ca="1">IFERROR(__xludf.DUMMYFUNCTION("""COMPUTED_VALUE"""),"geroymarielatamez@hotmail.com")</f>
        <v>geroymarielatamez@hotmail.com</v>
      </c>
      <c r="O44" s="1" t="str">
        <f ca="1">IFERROR(__xludf.DUMMYFUNCTION("""COMPUTED_VALUE"""),"Alabanza/Escuela dominical/Misiones y evangelismo.")</f>
        <v>Alabanza/Escuela dominical/Misiones y evangelismo.</v>
      </c>
      <c r="P44" s="1" t="str">
        <f ca="1">IFERROR(__xludf.DUMMYFUNCTION("""COMPUTED_VALUE"""),"Recibí a Cristo a mis 7 años en mi primer campamento de Palabra de Vida en el 2010, y cuando crecí, a mis 12 años decidí consagrar mi vida al Señor.")</f>
        <v>Recibí a Cristo a mis 7 años en mi primer campamento de Palabra de Vida en el 2010, y cuando crecí, a mis 12 años decidí consagrar mi vida al Señor.</v>
      </c>
      <c r="Q44" s="1" t="str">
        <f ca="1">IFERROR(__xludf.DUMMYFUNCTION("""COMPUTED_VALUE"""),"Primeramente para cumplir la gran comisión. Ir y hacer discípulos a todas las naciones. Para poder ser de bendición a cada persona que esté en el instituto y para poder ver amados hermanos en Cristo de nuevo. ❤️")</f>
        <v>Primeramente para cumplir la gran comisión. Ir y hacer discípulos a todas las naciones. Para poder ser de bendición a cada persona que esté en el instituto y para poder ver amados hermanos en Cristo de nuevo. ❤️</v>
      </c>
      <c r="R44" s="1" t="str">
        <f ca="1">IFERROR(__xludf.DUMMYFUNCTION("""COMPUTED_VALUE"""),"No")</f>
        <v>No</v>
      </c>
      <c r="S44" s="1"/>
      <c r="T44" s="1" t="str">
        <f ca="1">IFERROR(__xludf.DUMMYFUNCTION("""COMPUTED_VALUE"""),"No")</f>
        <v>No</v>
      </c>
      <c r="U44" s="1"/>
      <c r="V44" s="1" t="str">
        <f ca="1">IFERROR(__xludf.DUMMYFUNCTION("""COMPUTED_VALUE"""),"Relaciones Internacionales")</f>
        <v>Relaciones Internacionales</v>
      </c>
      <c r="W44" s="1" t="str">
        <f ca="1">IFERROR(__xludf.DUMMYFUNCTION("""COMPUTED_VALUE"""),"Soy estudiante y temporalmente trabajo traduciendo el evangelio.")</f>
        <v>Soy estudiante y temporalmente trabajo traduciendo el evangelio.</v>
      </c>
      <c r="X44" s="1" t="str">
        <f ca="1">IFERROR(__xludf.DUMMYFUNCTION("""COMPUTED_VALUE"""),"A. Soy un discipulador activo, B. Me gusta animar a las personas, C. Suelo buscar que el trabajo se realice en equipo, J. Me gusta la atención a las personas, L. Soy bueno (a) en canto o algún instrumento")</f>
        <v>A. Soy un discipulador activo, B. Me gusta animar a las personas, C. Suelo buscar que el trabajo se realice en equipo, J. Me gusta la atención a las personas, L. Soy bueno (a) en canto o algún instrumento</v>
      </c>
      <c r="Y44" s="1" t="str">
        <f ca="1">IFERROR(__xludf.DUMMYFUNCTION("""COMPUTED_VALUE"""),"Campera en el 2010 y 2019 y he sido equipante en el 2023 y 2024.")</f>
        <v>Campera en el 2010 y 2019 y he sido equipante en el 2023 y 2024.</v>
      </c>
      <c r="Z44" s="1"/>
    </row>
    <row r="45" spans="1:26" x14ac:dyDescent="0.35">
      <c r="A45" s="1" t="str">
        <f ca="1">IFERROR(__xludf.DUMMYFUNCTION("""COMPUTED_VALUE"""),"28-Apr-2025 20:00:41")</f>
        <v>28-Apr-2025 20:00:41</v>
      </c>
      <c r="B45" s="1"/>
      <c r="C45" s="1" t="str">
        <f ca="1">IFERROR(__xludf.DUMMYFUNCTION("""COMPUTED_VALUE"""),"Alondra, Morales Mendiola")</f>
        <v>Alondra, Morales Mendiola</v>
      </c>
      <c r="D45" s="1">
        <f ca="1">IFERROR(__xludf.DUMMYFUNCTION("""COMPUTED_VALUE"""),20)</f>
        <v>20</v>
      </c>
      <c r="E45" s="1" t="str">
        <f ca="1">IFERROR(__xludf.DUMMYFUNCTION("""COMPUTED_VALUE"""),"Mujer")</f>
        <v>Mujer</v>
      </c>
      <c r="F45" s="1" t="str">
        <f ca="1">IFERROR(__xludf.DUMMYFUNCTION("""COMPUTED_VALUE"""),"Queretaro, Mexico")</f>
        <v>Queretaro, Mexico</v>
      </c>
      <c r="G45" s="1" t="str">
        <f ca="1">IFERROR(__xludf.DUMMYFUNCTION("""COMPUTED_VALUE"""),"alomendiola108@gmail.com")</f>
        <v>alomendiola108@gmail.com</v>
      </c>
      <c r="H45" s="1">
        <f ca="1">IFERROR(__xludf.DUMMYFUNCTION("""COMPUTED_VALUE"""),524412657003)</f>
        <v>524412657003</v>
      </c>
      <c r="I45" s="1" t="str">
        <f ca="1">IFERROR(__xludf.DUMMYFUNCTION("""COMPUTED_VALUE"""),"Comunidad Jóvenes + 18 (14-19) Julio")</f>
        <v>Comunidad Jóvenes + 18 (14-19) Julio</v>
      </c>
      <c r="J45" s="1" t="str">
        <f ca="1">IFERROR(__xludf.DUMMYFUNCTION("""COMPUTED_VALUE"""),"Arde")</f>
        <v>Arde</v>
      </c>
      <c r="K45" s="1" t="str">
        <f ca="1">IFERROR(__xludf.DUMMYFUNCTION("""COMPUTED_VALUE"""),"Horizonte Tx")</f>
        <v>Horizonte Tx</v>
      </c>
      <c r="L45" s="1" t="str">
        <f ca="1">IFERROR(__xludf.DUMMYFUNCTION("""COMPUTED_VALUE"""),"Hugo ventura")</f>
        <v>Hugo ventura</v>
      </c>
      <c r="M45" s="1">
        <f ca="1">IFERROR(__xludf.DUMMYFUNCTION("""COMPUTED_VALUE"""),524422301269)</f>
        <v>524422301269</v>
      </c>
      <c r="N45" s="1" t="str">
        <f ca="1">IFERROR(__xludf.DUMMYFUNCTION("""COMPUTED_VALUE"""),"venturahugo10@gmail.com")</f>
        <v>venturahugo10@gmail.com</v>
      </c>
      <c r="O45" s="1" t="str">
        <f ca="1">IFERROR(__xludf.DUMMYFUNCTION("""COMPUTED_VALUE"""),"Alabanza")</f>
        <v>Alabanza</v>
      </c>
      <c r="P45" s="1" t="str">
        <f ca="1">IFERROR(__xludf.DUMMYFUNCTION("""COMPUTED_VALUE"""),"crecí en una iglesia desde pequeña pero no había comprendido el evangelio y eso era evidente en mi vida diaria, totalmente alejada de Dios haciendo lo que yo creía mejor pero también con muchos temores 
A los 13 en la que ahora es mi iglesia local pude es"&amp;"cuchar el evangelio nuevamente y pude comprender que necesitaba de un Salvador, necesitaba de la obra redentora de Cristo en mi vida y entregué mi vida a Cristo creyendo plenamente en el y arrepintiendome de mis pecados, por la obra de Cristo soy Salva ! "&amp;"Y hoy se que soy soy Salva por los méritos de Jesus y no los mios")</f>
        <v>crecí en una iglesia desde pequeña pero no había comprendido el evangelio y eso era evidente en mi vida diaria, totalmente alejada de Dios haciendo lo que yo creía mejor pero también con muchos temores 
A los 13 en la que ahora es mi iglesia local pude escuchar el evangelio nuevamente y pude comprender que necesitaba de un Salvador, necesitaba de la obra redentora de Cristo en mi vida y entregué mi vida a Cristo creyendo plenamente en el y arrepintiendome de mis pecados, por la obra de Cristo soy Salva ! Y hoy se que soy soy Salva por los méritos de Jesus y no los mios</v>
      </c>
      <c r="Q45" s="1" t="str">
        <f ca="1">IFERROR(__xludf.DUMMYFUNCTION("""COMPUTED_VALUE"""),"Por qué deseo poder servir con mi tiempo y compartir con los demás acerca de Cristo")</f>
        <v>Por qué deseo poder servir con mi tiempo y compartir con los demás acerca de Cristo</v>
      </c>
      <c r="R45" s="1" t="str">
        <f ca="1">IFERROR(__xludf.DUMMYFUNCTION("""COMPUTED_VALUE"""),"No")</f>
        <v>No</v>
      </c>
      <c r="S45" s="1"/>
      <c r="T45" s="1" t="str">
        <f ca="1">IFERROR(__xludf.DUMMYFUNCTION("""COMPUTED_VALUE"""),"Si")</f>
        <v>Si</v>
      </c>
      <c r="U45" s="1" t="str">
        <f ca="1">IFERROR(__xludf.DUMMYFUNCTION("""COMPUTED_VALUE"""),"Teclado")</f>
        <v>Teclado</v>
      </c>
      <c r="V45" s="1" t="str">
        <f ca="1">IFERROR(__xludf.DUMMYFUNCTION("""COMPUTED_VALUE"""),"Actualmente no estudió, pero estoy trabajando formalmente")</f>
        <v>Actualmente no estudió, pero estoy trabajando formalmente</v>
      </c>
      <c r="W45" s="1" t="str">
        <f ca="1">IFERROR(__xludf.DUMMYFUNCTION("""COMPUTED_VALUE"""),"Puedo trabajar en equipo,dirigir, habilidades creativas")</f>
        <v>Puedo trabajar en equipo,dirigir, habilidades creativas</v>
      </c>
      <c r="X45" s="1" t="str">
        <f ca="1">IFERROR(__xludf.DUMMYFUNCTION("""COMPUTED_VALUE"""),"B. Me gusta animar a las personas, J. Me gusta la atención a las personas, N. Suelo llevar el liderazgo en un grupo")</f>
        <v>B. Me gusta animar a las personas, J. Me gusta la atención a las personas, N. Suelo llevar el liderazgo en un grupo</v>
      </c>
      <c r="Y45" s="1" t="str">
        <f ca="1">IFERROR(__xludf.DUMMYFUNCTION("""COMPUTED_VALUE"""),"Si anteriormente estuve como campera 3 veces en semana de adolescentes")</f>
        <v>Si anteriormente estuve como campera 3 veces en semana de adolescentes</v>
      </c>
      <c r="Z45" s="1"/>
    </row>
    <row r="46" spans="1:26" x14ac:dyDescent="0.35">
      <c r="A46" s="1" t="str">
        <f ca="1">IFERROR(__xludf.DUMMYFUNCTION("""COMPUTED_VALUE"""),"28-Apr-2025 22:27:16")</f>
        <v>28-Apr-2025 22:27:16</v>
      </c>
      <c r="B46" s="1"/>
      <c r="C46" s="1" t="str">
        <f ca="1">IFERROR(__xludf.DUMMYFUNCTION("""COMPUTED_VALUE"""),"Laila, Gonzalez")</f>
        <v>Laila, Gonzalez</v>
      </c>
      <c r="D46" s="1">
        <f ca="1">IFERROR(__xludf.DUMMYFUNCTION("""COMPUTED_VALUE"""),17)</f>
        <v>17</v>
      </c>
      <c r="E46" s="1" t="str">
        <f ca="1">IFERROR(__xludf.DUMMYFUNCTION("""COMPUTED_VALUE"""),"Mujer")</f>
        <v>Mujer</v>
      </c>
      <c r="F46" s="1" t="str">
        <f ca="1">IFERROR(__xludf.DUMMYFUNCTION("""COMPUTED_VALUE"""),"Morelos, Mexico")</f>
        <v>Morelos, Mexico</v>
      </c>
      <c r="G46" s="1" t="str">
        <f ca="1">IFERROR(__xludf.DUMMYFUNCTION("""COMPUTED_VALUE"""),"lailagonzalez.2607@gmail.com")</f>
        <v>lailagonzalez.2607@gmail.com</v>
      </c>
      <c r="H46" s="1">
        <f ca="1">IFERROR(__xludf.DUMMYFUNCTION("""COMPUTED_VALUE"""),527352584545)</f>
        <v>527352584545</v>
      </c>
      <c r="I46" s="1" t="str">
        <f ca="1">IFERROR(__xludf.DUMMYFUNCTION("""COMPUTED_VALUE"""),"Semana de entrenamiento (07 - 13) Julio, Jóvenes de 13 – 17 años / SEM2/ (4 - 09 agosto), Jóvenes de 13 – 17 años / SEM3/ (11 - 16 agosto)")</f>
        <v>Semana de entrenamiento (07 - 13) Julio, Jóvenes de 13 – 17 años / SEM2/ (4 - 09 agosto), Jóvenes de 13 – 17 años / SEM3/ (11 - 16 agosto)</v>
      </c>
      <c r="J46" s="1" t="str">
        <f ca="1">IFERROR(__xludf.DUMMYFUNCTION("""COMPUTED_VALUE"""),"Caminando en la Palabra")</f>
        <v>Caminando en la Palabra</v>
      </c>
      <c r="K46" s="1" t="str">
        <f ca="1">IFERROR(__xludf.DUMMYFUNCTION("""COMPUTED_VALUE"""),"Iglesia de Palabra de Fe y Amor")</f>
        <v>Iglesia de Palabra de Fe y Amor</v>
      </c>
      <c r="L46" s="1" t="str">
        <f ca="1">IFERROR(__xludf.DUMMYFUNCTION("""COMPUTED_VALUE"""),"Sergio Gonzalez Rivera")</f>
        <v>Sergio Gonzalez Rivera</v>
      </c>
      <c r="M46" s="1">
        <f ca="1">IFERROR(__xludf.DUMMYFUNCTION("""COMPUTED_VALUE"""),527351365596)</f>
        <v>527351365596</v>
      </c>
      <c r="N46" s="1" t="str">
        <f ca="1">IFERROR(__xludf.DUMMYFUNCTION("""COMPUTED_VALUE"""),"serchyo@gmail.com")</f>
        <v>serchyo@gmail.com</v>
      </c>
      <c r="O46" s="1" t="str">
        <f ca="1">IFERROR(__xludf.DUMMYFUNCTION("""COMPUTED_VALUE"""),"Bienvenida, niños")</f>
        <v>Bienvenida, niños</v>
      </c>
      <c r="P46" s="1" t="str">
        <f ca="1">IFERROR(__xludf.DUMMYFUNCTION("""COMPUTED_VALUE"""),"Mi familia pasó por unos meses muy complicados, llenos de incertidumbre e inestabilidad que me llevaron a un punto de quiebre y fue en ese momento en el que sabía que yo no podía salir de ahí, pero Él si, y le entregue mi vida, mis cargas , preocupaciones"&amp;" y sueños.")</f>
        <v>Mi familia pasó por unos meses muy complicados, llenos de incertidumbre e inestabilidad que me llevaron a un punto de quiebre y fue en ese momento en el que sabía que yo no podía salir de ahí, pero Él si, y le entregue mi vida, mis cargas , preocupaciones y sueños.</v>
      </c>
      <c r="Q46" s="1" t="str">
        <f ca="1">IFERROR(__xludf.DUMMYFUNCTION("""COMPUTED_VALUE"""),"Lo veo como una muy buena oportunidad de conocerme más a mi misma y a más personas.
Me gusta servir, estar haciendo muchas cosas y aprender otras nuevas.")</f>
        <v>Lo veo como una muy buena oportunidad de conocerme más a mi misma y a más personas.
Me gusta servir, estar haciendo muchas cosas y aprender otras nuevas.</v>
      </c>
      <c r="R46" s="1" t="str">
        <f ca="1">IFERROR(__xludf.DUMMYFUNCTION("""COMPUTED_VALUE"""),"Si")</f>
        <v>Si</v>
      </c>
      <c r="S46" s="1" t="str">
        <f ca="1">IFERROR(__xludf.DUMMYFUNCTION("""COMPUTED_VALUE"""),"Badminton")</f>
        <v>Badminton</v>
      </c>
      <c r="T46" s="1" t="str">
        <f ca="1">IFERROR(__xludf.DUMMYFUNCTION("""COMPUTED_VALUE"""),"No")</f>
        <v>No</v>
      </c>
      <c r="U46" s="1"/>
      <c r="V46" s="1" t="str">
        <f ca="1">IFERROR(__xludf.DUMMYFUNCTION("""COMPUTED_VALUE"""),"Preparatoria")</f>
        <v>Preparatoria</v>
      </c>
      <c r="W46" s="1" t="str">
        <f ca="1">IFERROR(__xludf.DUMMYFUNCTION("""COMPUTED_VALUE"""),"Organización y administración de un restaurante")</f>
        <v>Organización y administración de un restaurante</v>
      </c>
      <c r="X46" s="1" t="str">
        <f ca="1">IFERROR(__xludf.DUMMYFUNCTION("""COMPUTED_VALUE"""),"C. Suelo buscar que el trabajo se realice en equipo, E. Me gusta el trabajo con niños, G. Soy más eficiente en el trabajo individual, H. Soy organizado (a), I. Se me facilita el trabajo físico, J. Me gusta la atención a las personas, N. Suelo llevar el li"&amp;"derazgo en un grupo, O. Puedo enseñar con facilidad")</f>
        <v>C. Suelo buscar que el trabajo se realice en equipo, E. Me gusta el trabajo con niños, G. Soy más eficiente en el trabajo individual, H. Soy organizado (a), I. Se me facilita el trabajo físico, J. Me gusta la atención a las personas, N. Suelo llevar el liderazgo en un grupo, O. Puedo enseñar con facilidad</v>
      </c>
      <c r="Y46" s="1" t="str">
        <f ca="1">IFERROR(__xludf.DUMMYFUNCTION("""COMPUTED_VALUE"""),"Si, 2022")</f>
        <v>Si, 2022</v>
      </c>
      <c r="Z46" s="1"/>
    </row>
    <row r="47" spans="1:26" x14ac:dyDescent="0.35">
      <c r="A47" s="1" t="str">
        <f ca="1">IFERROR(__xludf.DUMMYFUNCTION("""COMPUTED_VALUE"""),"29-Apr-2025 14:51:45")</f>
        <v>29-Apr-2025 14:51:45</v>
      </c>
      <c r="B47" s="1"/>
      <c r="C47" s="1" t="str">
        <f ca="1">IFERROR(__xludf.DUMMYFUNCTION("""COMPUTED_VALUE"""),"Michel, Paz Rodríguez")</f>
        <v>Michel, Paz Rodríguez</v>
      </c>
      <c r="D47" s="1">
        <f ca="1">IFERROR(__xludf.DUMMYFUNCTION("""COMPUTED_VALUE"""),15)</f>
        <v>15</v>
      </c>
      <c r="E47" s="1" t="str">
        <f ca="1">IFERROR(__xludf.DUMMYFUNCTION("""COMPUTED_VALUE"""),"Mujer")</f>
        <v>Mujer</v>
      </c>
      <c r="F47" s="1" t="str">
        <f ca="1">IFERROR(__xludf.DUMMYFUNCTION("""COMPUTED_VALUE"""),"Tamaulipas, Mexico")</f>
        <v>Tamaulipas, Mexico</v>
      </c>
      <c r="G47" s="1" t="str">
        <f ca="1">IFERROR(__xludf.DUMMYFUNCTION("""COMPUTED_VALUE"""),"rdzmichel39@gmail.com")</f>
        <v>rdzmichel39@gmail.com</v>
      </c>
      <c r="H47" s="1">
        <f ca="1">IFERROR(__xludf.DUMMYFUNCTION("""COMPUTED_VALUE"""),528334457545)</f>
        <v>528334457545</v>
      </c>
      <c r="I47" s="1" t="str">
        <f ca="1">IFERROR(__xludf.DUMMYFUNCTION("""COMPUTED_VALUE"""),"Semana de entrenamiento (07 - 13) Julio, Comunidad Jóvenes + 18 (14-19) Julio, Semana de niños y niñas (21-25) Julio, Jóvenes de 13 – 17 años / SEM1/ (28 Julio a 02 de agosto), Jóvenes de 13 – 17 años / SEM2/ (4 - 09 agosto)")</f>
        <v>Semana de entrenamiento (07 - 13) Julio, Comunidad Jóvenes + 18 (14-19) Julio, Semana de niños y niñas (21-25) Julio, Jóvenes de 13 – 17 años / SEM1/ (28 Julio a 02 de agosto), Jóvenes de 13 – 17 años / SEM2/ (4 - 09 agosto)</v>
      </c>
      <c r="J47" s="1" t="str">
        <f ca="1">IFERROR(__xludf.DUMMYFUNCTION("""COMPUTED_VALUE"""),"DEVOCIONAL EN LINEA")</f>
        <v>DEVOCIONAL EN LINEA</v>
      </c>
      <c r="K47" s="1" t="str">
        <f ca="1">IFERROR(__xludf.DUMMYFUNCTION("""COMPUTED_VALUE"""),"IB GRACIAS SOBRE GRACIAS")</f>
        <v>IB GRACIAS SOBRE GRACIAS</v>
      </c>
      <c r="L47" s="1" t="str">
        <f ca="1">IFERROR(__xludf.DUMMYFUNCTION("""COMPUTED_VALUE"""),"EDGAR FRANCO GONZÁLEZ")</f>
        <v>EDGAR FRANCO GONZÁLEZ</v>
      </c>
      <c r="M47" s="1">
        <f ca="1">IFERROR(__xludf.DUMMYFUNCTION("""COMPUTED_VALUE"""),528331768824)</f>
        <v>528331768824</v>
      </c>
      <c r="N47" s="1" t="str">
        <f ca="1">IFERROR(__xludf.DUMMYFUNCTION("""COMPUTED_VALUE"""),"edgar.franco83@gmail.com")</f>
        <v>edgar.franco83@gmail.com</v>
      </c>
      <c r="O47" s="1" t="str">
        <f ca="1">IFERROR(__xludf.DUMMYFUNCTION("""COMPUTED_VALUE"""),"MINISTERIO DE JOVENES")</f>
        <v>MINISTERIO DE JOVENES</v>
      </c>
      <c r="P47" s="1" t="str">
        <f ca="1">IFERROR(__xludf.DUMMYFUNCTION("""COMPUTED_VALUE"""),"fue el año pasado en el campamento el último dia, ese día me di cuánta que no estaba amando a Dios como debería, que había algo en mi que estaba inconforme, ese día en la cruz que puse a llorar y le pedí perdón a cristo por todo lo malo que había hecho.")</f>
        <v>fue el año pasado en el campamento el último dia, ese día me di cuánta que no estaba amando a Dios como debería, que había algo en mi que estaba inconforme, ese día en la cruz que puse a llorar y le pedí perdón a cristo por todo lo malo que había hecho.</v>
      </c>
      <c r="Q47" s="1" t="str">
        <f ca="1">IFERROR(__xludf.DUMMYFUNCTION("""COMPUTED_VALUE"""),"Por qué se me puede servir para mí vida espiritual y  para seguir amando a Dios")</f>
        <v>Por qué se me puede servir para mí vida espiritual y  para seguir amando a Dios</v>
      </c>
      <c r="R47" s="1" t="str">
        <f ca="1">IFERROR(__xludf.DUMMYFUNCTION("""COMPUTED_VALUE"""),"Si")</f>
        <v>Si</v>
      </c>
      <c r="S47" s="1" t="str">
        <f ca="1">IFERROR(__xludf.DUMMYFUNCTION("""COMPUTED_VALUE"""),"Handball")</f>
        <v>Handball</v>
      </c>
      <c r="T47" s="1" t="str">
        <f ca="1">IFERROR(__xludf.DUMMYFUNCTION("""COMPUTED_VALUE"""),"No")</f>
        <v>No</v>
      </c>
      <c r="U47" s="1"/>
      <c r="V47" s="1" t="str">
        <f ca="1">IFERROR(__xludf.DUMMYFUNCTION("""COMPUTED_VALUE"""),"Programación")</f>
        <v>Programación</v>
      </c>
      <c r="W47" s="1" t="str">
        <f ca="1">IFERROR(__xludf.DUMMYFUNCTION("""COMPUTED_VALUE"""),"Se cuidar y llevarme bien con los niños chiquitos")</f>
        <v>Se cuidar y llevarme bien con los niños chiquitos</v>
      </c>
      <c r="X47" s="1" t="str">
        <f ca="1">IFERROR(__xludf.DUMMYFUNCTION("""COMPUTED_VALUE"""),"B. Me gusta animar a las personas, C. Suelo buscar que el trabajo se realice en equipo, D. Me gustan los deportes, E. Me gusta el trabajo con niños, K. Soy creativo (a), N. Suelo llevar el liderazgo en un grupo")</f>
        <v>B. Me gusta animar a las personas, C. Suelo buscar que el trabajo se realice en equipo, D. Me gustan los deportes, E. Me gusta el trabajo con niños, K. Soy creativo (a), N. Suelo llevar el liderazgo en un grupo</v>
      </c>
      <c r="Y47" s="1" t="str">
        <f ca="1">IFERROR(__xludf.DUMMYFUNCTION("""COMPUTED_VALUE"""),"temporada 2024")</f>
        <v>temporada 2024</v>
      </c>
      <c r="Z47" s="1"/>
    </row>
    <row r="48" spans="1:26" x14ac:dyDescent="0.35">
      <c r="A48" s="1" t="str">
        <f ca="1">IFERROR(__xludf.DUMMYFUNCTION("""COMPUTED_VALUE"""),"29-Apr-2025 22:09:08")</f>
        <v>29-Apr-2025 22:09:08</v>
      </c>
      <c r="B48" s="1"/>
      <c r="C48" s="1" t="str">
        <f ca="1">IFERROR(__xludf.DUMMYFUNCTION("""COMPUTED_VALUE"""),"Stephanie Yameli, Herrera palafox")</f>
        <v>Stephanie Yameli, Herrera palafox</v>
      </c>
      <c r="D48" s="1">
        <f ca="1">IFERROR(__xludf.DUMMYFUNCTION("""COMPUTED_VALUE"""),20)</f>
        <v>20</v>
      </c>
      <c r="E48" s="1" t="str">
        <f ca="1">IFERROR(__xludf.DUMMYFUNCTION("""COMPUTED_VALUE"""),"Mujer")</f>
        <v>Mujer</v>
      </c>
      <c r="F48" s="1" t="str">
        <f ca="1">IFERROR(__xludf.DUMMYFUNCTION("""COMPUTED_VALUE"""),"Queretaro, Mexico")</f>
        <v>Queretaro, Mexico</v>
      </c>
      <c r="G48" s="1" t="str">
        <f ca="1">IFERROR(__xludf.DUMMYFUNCTION("""COMPUTED_VALUE"""),"stephanieherrerapalafox@gmail.com")</f>
        <v>stephanieherrerapalafox@gmail.com</v>
      </c>
      <c r="H48" s="1">
        <f ca="1">IFERROR(__xludf.DUMMYFUNCTION("""COMPUTED_VALUE"""),524411392222)</f>
        <v>524411392222</v>
      </c>
      <c r="I48" s="1" t="str">
        <f ca="1">IFERROR(__xludf.DUMMYFUNCTION("""COMPUTED_VALUE"""),"Semana de entrenamiento (07 - 13) Julio, Comunidad Jóvenes + 18 (14-19) Julio, Semana de niños y niñas (21-25) Julio, Jóvenes de 13 – 17 años / SEM1/ (28 Julio a 02 de agosto), Jóvenes de 13 – 17 años / SEM2/ (4 - 09 agosto), Jóvenes de 13 – 17 años / SEM"&amp;"3/ (11 - 16 agosto), Toda la temporada (07 de Julio al 16 de agosto)")</f>
        <v>Semana de entrenamiento (07 - 13) Julio, Comunidad Jóvenes + 18 (14-19) Julio, Semana de niños y niñas (21-25) Julio, Jóvenes de 13 – 17 años / SEM1/ (28 Julio a 02 de agosto), Jóvenes de 13 – 17 años / SEM2/ (4 - 09 agosto), Jóvenes de 13 – 17 años / SEM3/ (11 - 16 agosto), Toda la temporada (07 de Julio al 16 de agosto)</v>
      </c>
      <c r="J48" s="1" t="str">
        <f ca="1">IFERROR(__xludf.DUMMYFUNCTION("""COMPUTED_VALUE"""),"Glorify")</f>
        <v>Glorify</v>
      </c>
      <c r="K48" s="1" t="str">
        <f ca="1">IFERROR(__xludf.DUMMYFUNCTION("""COMPUTED_VALUE"""),"Llamada final")</f>
        <v>Llamada final</v>
      </c>
      <c r="L48" s="1" t="str">
        <f ca="1">IFERROR(__xludf.DUMMYFUNCTION("""COMPUTED_VALUE"""),"Ramiro herrera Cervantes")</f>
        <v>Ramiro herrera Cervantes</v>
      </c>
      <c r="M48" s="1">
        <f ca="1">IFERROR(__xludf.DUMMYFUNCTION("""COMPUTED_VALUE"""),524411392222)</f>
        <v>524411392222</v>
      </c>
      <c r="N48" s="1" t="str">
        <f ca="1">IFERROR(__xludf.DUMMYFUNCTION("""COMPUTED_VALUE"""),"ramiroherreracervantes@gmail.com")</f>
        <v>ramiroherreracervantes@gmail.com</v>
      </c>
      <c r="O48" s="1" t="str">
        <f ca="1">IFERROR(__xludf.DUMMYFUNCTION("""COMPUTED_VALUE"""),"Alabanza y niños")</f>
        <v>Alabanza y niños</v>
      </c>
      <c r="P48" s="1" t="str">
        <f ca="1">IFERROR(__xludf.DUMMYFUNCTION("""COMPUTED_VALUE"""),"Nací en el evangelio y en una convención de estudiantes (ACE) en una predicación supe que necesitaba nacer de nuevo a los 15 años fue que tome la decisión")</f>
        <v>Nací en el evangelio y en una convención de estudiantes (ACE) en una predicación supe que necesitaba nacer de nuevo a los 15 años fue que tome la decisión</v>
      </c>
      <c r="Q48" s="1" t="str">
        <f ca="1">IFERROR(__xludf.DUMMYFUNCTION("""COMPUTED_VALUE"""),"Llevo varios años viniendo como campera pero creo que ahora necesito dar de mi servicio ya no solo recibir si no dar de mi esfuerzo para servir a Dios")</f>
        <v>Llevo varios años viniendo como campera pero creo que ahora necesito dar de mi servicio ya no solo recibir si no dar de mi esfuerzo para servir a Dios</v>
      </c>
      <c r="R48" s="1" t="str">
        <f ca="1">IFERROR(__xludf.DUMMYFUNCTION("""COMPUTED_VALUE"""),"Si")</f>
        <v>Si</v>
      </c>
      <c r="S48" s="1" t="str">
        <f ca="1">IFERROR(__xludf.DUMMYFUNCTION("""COMPUTED_VALUE"""),"Volleyball")</f>
        <v>Volleyball</v>
      </c>
      <c r="T48" s="1" t="str">
        <f ca="1">IFERROR(__xludf.DUMMYFUNCTION("""COMPUTED_VALUE"""),"Si")</f>
        <v>Si</v>
      </c>
      <c r="U48" s="1" t="str">
        <f ca="1">IFERROR(__xludf.DUMMYFUNCTION("""COMPUTED_VALUE"""),"Guitarra")</f>
        <v>Guitarra</v>
      </c>
      <c r="V48" s="1" t="str">
        <f ca="1">IFERROR(__xludf.DUMMYFUNCTION("""COMPUTED_VALUE"""),"Teología en Cristo para las Naciones Mty")</f>
        <v>Teología en Cristo para las Naciones Mty</v>
      </c>
      <c r="W48" s="1" t="str">
        <f ca="1">IFERROR(__xludf.DUMMYFUNCTION("""COMPUTED_VALUE"""),"Canto")</f>
        <v>Canto</v>
      </c>
      <c r="X48" s="1" t="str">
        <f ca="1">IFERROR(__xludf.DUMMYFUNCTION("""COMPUTED_VALUE"""),"A. Soy un discipulador activo, D. Me gustan los deportes, H. Soy organizado (a), J. Me gusta la atención a las personas, L. Soy bueno (a) en canto o algún instrumento, O. Puedo enseñar con facilidad")</f>
        <v>A. Soy un discipulador activo, D. Me gustan los deportes, H. Soy organizado (a), J. Me gusta la atención a las personas, L. Soy bueno (a) en canto o algún instrumento, O. Puedo enseñar con facilidad</v>
      </c>
      <c r="Y48" s="1" t="str">
        <f ca="1">IFERROR(__xludf.DUMMYFUNCTION("""COMPUTED_VALUE"""),"Si en más 18")</f>
        <v>Si en más 18</v>
      </c>
      <c r="Z48" s="1"/>
    </row>
    <row r="49" spans="1:26" x14ac:dyDescent="0.35">
      <c r="A49" s="3">
        <f ca="1">IFERROR(__xludf.DUMMYFUNCTION("""COMPUTED_VALUE"""),45778.5439004629)</f>
        <v>45778.543900462901</v>
      </c>
      <c r="B49" s="1"/>
      <c r="C49" s="1" t="str">
        <f ca="1">IFERROR(__xludf.DUMMYFUNCTION("""COMPUTED_VALUE"""),"Karen Paulina, Camacho Bahena")</f>
        <v>Karen Paulina, Camacho Bahena</v>
      </c>
      <c r="D49" s="1">
        <f ca="1">IFERROR(__xludf.DUMMYFUNCTION("""COMPUTED_VALUE"""),19)</f>
        <v>19</v>
      </c>
      <c r="E49" s="1" t="str">
        <f ca="1">IFERROR(__xludf.DUMMYFUNCTION("""COMPUTED_VALUE"""),"Mujer")</f>
        <v>Mujer</v>
      </c>
      <c r="F49" s="1" t="str">
        <f ca="1">IFERROR(__xludf.DUMMYFUNCTION("""COMPUTED_VALUE"""),"Puebla, Mexico")</f>
        <v>Puebla, Mexico</v>
      </c>
      <c r="G49" s="1" t="str">
        <f ca="1">IFERROR(__xludf.DUMMYFUNCTION("""COMPUTED_VALUE"""),"karencamachobahena06@gmail.com")</f>
        <v>karencamachobahena06@gmail.com</v>
      </c>
      <c r="H49" s="1">
        <f ca="1">IFERROR(__xludf.DUMMYFUNCTION("""COMPUTED_VALUE"""),527353225573)</f>
        <v>527353225573</v>
      </c>
      <c r="I49" s="1" t="str">
        <f ca="1">IFERROR(__xludf.DUMMYFUNCTION("""COMPUTED_VALUE"""),"Semana de entrenamiento (07 - 13) Julio, Semana de niños y niñas (21-25) Julio, Jóvenes de 13 – 17 años / SEM1/ (28 Julio a 02 de agosto), Jóvenes de 13 – 17 años / SEM2/ (4 - 09 agosto), Jóvenes de 13 – 17 años / SEM3/ (11 - 16 agosto)")</f>
        <v>Semana de entrenamiento (07 - 13) Julio, Semana de niños y niñas (21-25) Julio, Jóvenes de 13 – 17 años / SEM1/ (28 Julio a 02 de agosto), Jóvenes de 13 – 17 años / SEM2/ (4 - 09 agosto), Jóvenes de 13 – 17 años / SEM3/ (11 - 16 agosto)</v>
      </c>
      <c r="J49" s="1" t="str">
        <f ca="1">IFERROR(__xludf.DUMMYFUNCTION("""COMPUTED_VALUE"""),"Ahora estoy leyendo la Biblia, pero aveces devocionales que me regala mi mamá, o de yourversion")</f>
        <v>Ahora estoy leyendo la Biblia, pero aveces devocionales que me regala mi mamá, o de yourversion</v>
      </c>
      <c r="K49" s="1" t="str">
        <f ca="1">IFERROR(__xludf.DUMMYFUNCTION("""COMPUTED_VALUE"""),"Amistad de Puebla")</f>
        <v>Amistad de Puebla</v>
      </c>
      <c r="L49" s="1" t="str">
        <f ca="1">IFERROR(__xludf.DUMMYFUNCTION("""COMPUTED_VALUE"""),"Israel Camacho")</f>
        <v>Israel Camacho</v>
      </c>
      <c r="M49" s="1">
        <f ca="1">IFERROR(__xludf.DUMMYFUNCTION("""COMPUTED_VALUE"""),52529581247722)</f>
        <v>52529581247722</v>
      </c>
      <c r="N49" s="1" t="str">
        <f ca="1">IFERROR(__xludf.DUMMYFUNCTION("""COMPUTED_VALUE"""),"israelcamacho.0307@gmail.com")</f>
        <v>israelcamacho.0307@gmail.com</v>
      </c>
      <c r="O49" s="1" t="str">
        <f ca="1">IFERROR(__xludf.DUMMYFUNCTION("""COMPUTED_VALUE"""),"Con los niños")</f>
        <v>Con los niños</v>
      </c>
      <c r="P49" s="1" t="str">
        <f ca="1">IFERROR(__xludf.DUMMYFUNCTION("""COMPUTED_VALUE"""),"Desde niña he ido a la iglesia, y he conocido de Cristo, me sabía capítulos enteros de La Biblia, y yo creía que era salva, pero desde los 14-15 empecé con trastornos alimenticios, insomios muy fuertes, dormía hasta que saliera el sol, por qué sentía un m"&amp;"iedo y una ansiedad muy fuerte, y cada que lograba dormir, tenía pesadillas muy fuertes. Tuve un viaje en familia, fuimos de vacaciones. Nadie sabe eso pero en esas vacaciones trate de quitarme la vida durante una noche. En ese momento Dios me cego la vis"&amp;"ta y empecé a ver un ministerio, que desde niña me han dicho que voy a tener, toda mi vida, siempre que oran por mi, me dicen sobre ese ministerio. Cegó mis ojos, ví el ministerio, y ví a un niño pequeño, que se que en un futuro lo voy a conocer. Dios me "&amp;"recordó que no estaba sola y que el sigue teniendo algo grande para mí. Años después, a los 18, Dios me despertó una noche y comencé a recibirlo en mi corazón con mi voz y no solo con el pensamiento. Ahora a mis 19 me di cuenta que conocía a Dios, por med"&amp;"io de otras personas, escuela cristiana, iglesia, familia cristiana, etc. Creía conocer a Dios, pero en realidad solo lo conocía por medio de los demás, y ahora lo estoy conociendo cara a cara. Este año y el pasado han sido difíciles por qué tengo un herm"&amp;"ano que está pasando por una enfermedad terminal, así que he estado amando y odiando a Dios, pero ahora confío en que su voluntad es para bien, y que no se ha olvidado de nosotros.")</f>
        <v>Desde niña he ido a la iglesia, y he conocido de Cristo, me sabía capítulos enteros de La Biblia, y yo creía que era salva, pero desde los 14-15 empecé con trastornos alimenticios, insomios muy fuertes, dormía hasta que saliera el sol, por qué sentía un miedo y una ansiedad muy fuerte, y cada que lograba dormir, tenía pesadillas muy fuertes. Tuve un viaje en familia, fuimos de vacaciones. Nadie sabe eso pero en esas vacaciones trate de quitarme la vida durante una noche. En ese momento Dios me cego la vista y empecé a ver un ministerio, que desde niña me han dicho que voy a tener, toda mi vida, siempre que oran por mi, me dicen sobre ese ministerio. Cegó mis ojos, ví el ministerio, y ví a un niño pequeño, que se que en un futuro lo voy a conocer. Dios me recordó que no estaba sola y que el sigue teniendo algo grande para mí. Años después, a los 18, Dios me despertó una noche y comencé a recibirlo en mi corazón con mi voz y no solo con el pensamiento. Ahora a mis 19 me di cuenta que conocía a Dios, por medio de otras personas, escuela cristiana, iglesia, familia cristiana, etc. Creía conocer a Dios, pero en realidad solo lo conocía por medio de los demás, y ahora lo estoy conociendo cara a cara. Este año y el pasado han sido difíciles por qué tengo un hermano que está pasando por una enfermedad terminal, así que he estado amando y odiando a Dios, pero ahora confío en que su voluntad es para bien, y que no se ha olvidado de nosotros.</v>
      </c>
      <c r="Q49" s="1" t="str">
        <f ca="1">IFERROR(__xludf.DUMMYFUNCTION("""COMPUTED_VALUE"""),"Desde niña conozco este campamento, y siempre he deseado crecer y poder servir, junto a otros que también están buscando a Dios.")</f>
        <v>Desde niña conozco este campamento, y siempre he deseado crecer y poder servir, junto a otros que también están buscando a Dios.</v>
      </c>
      <c r="R49" s="1" t="str">
        <f ca="1">IFERROR(__xludf.DUMMYFUNCTION("""COMPUTED_VALUE"""),"No")</f>
        <v>No</v>
      </c>
      <c r="S49" s="1"/>
      <c r="T49" s="1" t="str">
        <f ca="1">IFERROR(__xludf.DUMMYFUNCTION("""COMPUTED_VALUE"""),"No")</f>
        <v>No</v>
      </c>
      <c r="U49" s="1"/>
      <c r="V49" s="1" t="str">
        <f ca="1">IFERROR(__xludf.DUMMYFUNCTION("""COMPUTED_VALUE"""),"Estuve estudiando psicología, la carrera, cursos y diplomados, pero me tomé una pausa para servir y trabajar este año, después comenzaré a estudiar pedagogía.")</f>
        <v>Estuve estudiando psicología, la carrera, cursos y diplomados, pero me tomé una pausa para servir y trabajar este año, después comenzaré a estudiar pedagogía.</v>
      </c>
      <c r="W49" s="1" t="str">
        <f ca="1">IFERROR(__xludf.DUMMYFUNCTION("""COMPUTED_VALUE"""),"Habilidades: Comunicación efectiva, liderazgo, trabajo en equipo, me gusta actuar y bailar, facilidad al hablar.  Oficios: Atención al cliente, creación de contenido, edición foto y vídeo, organización de eventos.  Profesión: Profesional inmobiliario en K")</f>
        <v>Habilidades: Comunicación efectiva, liderazgo, trabajo en equipo, me gusta actuar y bailar, facilidad al hablar.  Oficios: Atención al cliente, creación de contenido, edición foto y vídeo, organización de eventos.  Profesión: Profesional inmobiliario en K</v>
      </c>
      <c r="X49" s="1" t="str">
        <f ca="1">IFERROR(__xludf.DUMMYFUNCTION("""COMPUTED_VALUE"""),"A. Soy un discipulador activo, B. Me gusta animar a las personas, D. Me gustan los deportes, E. Me gusta el trabajo con niños, J. Me gusta la atención a las personas, K. Soy creativo (a), N. Suelo llevar el liderazgo en un grupo, O. Puedo enseñar con faci"&amp;"lidad")</f>
        <v>A. Soy un discipulador activo, B. Me gusta animar a las personas, D. Me gustan los deportes, E. Me gusta el trabajo con niños, J. Me gusta la atención a las personas, K. Soy creativo (a), N. Suelo llevar el liderazgo en un grupo, O. Puedo enseñar con facilidad</v>
      </c>
      <c r="Y49" s="1" t="str">
        <f ca="1">IFERROR(__xludf.DUMMYFUNCTION("""COMPUTED_VALUE"""),"He Sido campera 2 veces, en el año pasado primera semana, y en el 2022 segunda semana, y he ido a competir 3 veces.")</f>
        <v>He Sido campera 2 veces, en el año pasado primera semana, y en el 2022 segunda semana, y he ido a competir 3 veces.</v>
      </c>
      <c r="Z49" s="1"/>
    </row>
    <row r="50" spans="1:26" x14ac:dyDescent="0.35">
      <c r="A50" s="3">
        <f ca="1">IFERROR(__xludf.DUMMYFUNCTION("""COMPUTED_VALUE"""),45778.71625)</f>
        <v>45778.716249999998</v>
      </c>
      <c r="B50" s="1"/>
      <c r="C50" s="1" t="str">
        <f ca="1">IFERROR(__xludf.DUMMYFUNCTION("""COMPUTED_VALUE"""),"Pablo Samuel, Pozo Alfaro")</f>
        <v>Pablo Samuel, Pozo Alfaro</v>
      </c>
      <c r="D50" s="1">
        <f ca="1">IFERROR(__xludf.DUMMYFUNCTION("""COMPUTED_VALUE"""),18)</f>
        <v>18</v>
      </c>
      <c r="E50" s="1" t="str">
        <f ca="1">IFERROR(__xludf.DUMMYFUNCTION("""COMPUTED_VALUE"""),"Hombre")</f>
        <v>Hombre</v>
      </c>
      <c r="F50" s="1" t="str">
        <f ca="1">IFERROR(__xludf.DUMMYFUNCTION("""COMPUTED_VALUE"""),"Chiapas, Mexico")</f>
        <v>Chiapas, Mexico</v>
      </c>
      <c r="G50" s="1" t="str">
        <f ca="1">IFERROR(__xludf.DUMMYFUNCTION("""COMPUTED_VALUE"""),"gonzosam3000@gmail.com")</f>
        <v>gonzosam3000@gmail.com</v>
      </c>
      <c r="H50" s="1">
        <f ca="1">IFERROR(__xludf.DUMMYFUNCTION("""COMPUTED_VALUE"""),529613670765)</f>
        <v>529613670765</v>
      </c>
      <c r="I50" s="1" t="str">
        <f ca="1">IFERROR(__xludf.DUMMYFUNCTION("""COMPUTED_VALUE"""),"Semana de entrenamiento (07 - 13) Julio, Semana de niños y niñas (21-25) Julio, Jóvenes de 13 – 17 años / SEM1/ (28 Julio a 02 de agosto), Jóvenes de 13 – 17 años / SEM2/ (4 - 09 agosto), Jóvenes de 13 – 17 años / SEM3/ (11 - 16 agosto)")</f>
        <v>Semana de entrenamiento (07 - 13) Julio, Semana de niños y niñas (21-25) Julio, Jóvenes de 13 – 17 años / SEM1/ (28 Julio a 02 de agosto), Jóvenes de 13 – 17 años / SEM2/ (4 - 09 agosto), Jóvenes de 13 – 17 años / SEM3/ (11 - 16 agosto)</v>
      </c>
      <c r="J50" s="1" t="str">
        <f ca="1">IFERROR(__xludf.DUMMYFUNCTION("""COMPUTED_VALUE"""),"Vida viva Tiempo con Dios")</f>
        <v>Vida viva Tiempo con Dios</v>
      </c>
      <c r="K50" s="1" t="str">
        <f ca="1">IFERROR(__xludf.DUMMYFUNCTION("""COMPUTED_VALUE"""),"Viña de Dios")</f>
        <v>Viña de Dios</v>
      </c>
      <c r="L50" s="1" t="str">
        <f ca="1">IFERROR(__xludf.DUMMYFUNCTION("""COMPUTED_VALUE"""),"Pedro Pablo Alfaro Gonzales")</f>
        <v>Pedro Pablo Alfaro Gonzales</v>
      </c>
      <c r="M50" s="1">
        <f ca="1">IFERROR(__xludf.DUMMYFUNCTION("""COMPUTED_VALUE"""),529613644869)</f>
        <v>529613644869</v>
      </c>
      <c r="N50" s="1" t="str">
        <f ca="1">IFERROR(__xludf.DUMMYFUNCTION("""COMPUTED_VALUE"""),"ppalfaro_g@gmail.com")</f>
        <v>ppalfaro_g@gmail.com</v>
      </c>
      <c r="O50" s="1" t="str">
        <f ca="1">IFERROR(__xludf.DUMMYFUNCTION("""COMPUTED_VALUE"""),"Alabanza")</f>
        <v>Alabanza</v>
      </c>
      <c r="P50" s="1" t="str">
        <f ca="1">IFERROR(__xludf.DUMMYFUNCTION("""COMPUTED_VALUE"""),"Nací en una familia pastoral, y mi proceso en la fe fue un tanto complicado para mi ya que crecí viendo hacia el mundo en lugar de ver lo hermoso que el señor puso frente a mi, pero cuando encontré al señor, y al fin logré ver lo que había puesto en mi co"&amp;"razón y en mi vida, comprendí que todo a mi alrededor y toda su creación me mostraba su gloria y cuando lo comprendí decidí entregarle mi vida.")</f>
        <v>Nací en una familia pastoral, y mi proceso en la fe fue un tanto complicado para mi ya que crecí viendo hacia el mundo en lugar de ver lo hermoso que el señor puso frente a mi, pero cuando encontré al señor, y al fin logré ver lo que había puesto en mi corazón y en mi vida, comprendí que todo a mi alrededor y toda su creación me mostraba su gloria y cuando lo comprendí decidí entregarle mi vida.</v>
      </c>
      <c r="Q50" s="1" t="str">
        <f ca="1">IFERROR(__xludf.DUMMYFUNCTION("""COMPUTED_VALUE"""),"Alguna vez de niño viví la semana de Camp en Palabra de vida, siempre deseé volver y no había podido hasta ahora, y el deseo de mi corazón desde que comprendí mi fe, ha sido servir a su obra donde quiera que pueda.")</f>
        <v>Alguna vez de niño viví la semana de Camp en Palabra de vida, siempre deseé volver y no había podido hasta ahora, y el deseo de mi corazón desde que comprendí mi fe, ha sido servir a su obra donde quiera que pueda.</v>
      </c>
      <c r="R50" s="1" t="str">
        <f ca="1">IFERROR(__xludf.DUMMYFUNCTION("""COMPUTED_VALUE"""),"Si")</f>
        <v>Si</v>
      </c>
      <c r="S50" s="1" t="str">
        <f ca="1">IFERROR(__xludf.DUMMYFUNCTION("""COMPUTED_VALUE"""),"Fútbol, Karate, Gimnasio.")</f>
        <v>Fútbol, Karate, Gimnasio.</v>
      </c>
      <c r="T50" s="1" t="str">
        <f ca="1">IFERROR(__xludf.DUMMYFUNCTION("""COMPUTED_VALUE"""),"Si")</f>
        <v>Si</v>
      </c>
      <c r="U50" s="1" t="str">
        <f ca="1">IFERROR(__xludf.DUMMYFUNCTION("""COMPUTED_VALUE"""),"Piano")</f>
        <v>Piano</v>
      </c>
      <c r="V50" s="1" t="str">
        <f ca="1">IFERROR(__xludf.DUMMYFUNCTION("""COMPUTED_VALUE"""),"Estoy estudiando el 4to semestre de preparatoria")</f>
        <v>Estoy estudiando el 4to semestre de preparatoria</v>
      </c>
      <c r="W50" s="1" t="str">
        <f ca="1">IFERROR(__xludf.DUMMYFUNCTION("""COMPUTED_VALUE"""),"Conocimientos básicos para el preparamiento físico juvenil como deportivo.")</f>
        <v>Conocimientos básicos para el preparamiento físico juvenil como deportivo.</v>
      </c>
      <c r="X50" s="1" t="str">
        <f ca="1">IFERROR(__xludf.DUMMYFUNCTION("""COMPUTED_VALUE"""),"A. Soy un discipulador activo, C. Suelo buscar que el trabajo se realice en equipo, D. Me gustan los deportes, E. Me gusta el trabajo con niños, F. Soy eficiente en el trabajo con herramientas, equipos y maquinarias, I. Se me facilita el trabajo físico, J"&amp;". Me gusta la atención a las personas, L. Soy bueno (a) en canto o algún instrumento, M. Soy bueno (a) con los números, N. Suelo llevar el liderazgo en un grupo, O. Puedo enseñar con facilidad")</f>
        <v>A. Soy un discipulador activo, C. Suelo buscar que el trabajo se realice en equipo, D. Me gustan los deportes, E. Me gusta el trabajo con niños, F. Soy eficiente en el trabajo con herramientas, equipos y maquinarias, I. Se me facilita el trabajo físico, J. Me gusta la atención a las personas, L. Soy bueno (a) en canto o algún instrumento, M. Soy bueno (a) con los números, N. Suelo llevar el liderazgo en un grupo, O. Puedo enseñar con facilidad</v>
      </c>
      <c r="Y50" s="1">
        <f ca="1">IFERROR(__xludf.DUMMYFUNCTION("""COMPUTED_VALUE"""),2017)</f>
        <v>2017</v>
      </c>
      <c r="Z50" s="1"/>
    </row>
    <row r="51" spans="1:26" x14ac:dyDescent="0.35">
      <c r="A51" s="3">
        <f ca="1">IFERROR(__xludf.DUMMYFUNCTION("""COMPUTED_VALUE"""),45779.4588657407)</f>
        <v>45779.4588657407</v>
      </c>
      <c r="B51" s="1"/>
      <c r="C51" s="1" t="str">
        <f ca="1">IFERROR(__xludf.DUMMYFUNCTION("""COMPUTED_VALUE"""),"Alejandra Isabella, García Solano")</f>
        <v>Alejandra Isabella, García Solano</v>
      </c>
      <c r="D51" s="1">
        <f ca="1">IFERROR(__xludf.DUMMYFUNCTION("""COMPUTED_VALUE"""),22)</f>
        <v>22</v>
      </c>
      <c r="E51" s="1" t="str">
        <f ca="1">IFERROR(__xludf.DUMMYFUNCTION("""COMPUTED_VALUE"""),"Mujer")</f>
        <v>Mujer</v>
      </c>
      <c r="F51" s="1" t="str">
        <f ca="1">IFERROR(__xludf.DUMMYFUNCTION("""COMPUTED_VALUE"""),"Veracruz, Mexico")</f>
        <v>Veracruz, Mexico</v>
      </c>
      <c r="G51" s="1" t="str">
        <f ca="1">IFERROR(__xludf.DUMMYFUNCTION("""COMPUTED_VALUE"""),"alisabellags@gmail.com")</f>
        <v>alisabellags@gmail.com</v>
      </c>
      <c r="H51" s="1">
        <f ca="1">IFERROR(__xludf.DUMMYFUNCTION("""COMPUTED_VALUE"""),522721842320)</f>
        <v>522721842320</v>
      </c>
      <c r="I51" s="1" t="str">
        <f ca="1">IFERROR(__xludf.DUMMYFUNCTION("""COMPUTED_VALUE"""),"Semana de entrenamiento (07 - 13) Julio, Comunidad Jóvenes + 18 (14-19) Julio, Semana de niños y niñas (21-25) Julio, Jóvenes de 13 – 17 años / SEM1/ (28 Julio a 02 de agosto)")</f>
        <v>Semana de entrenamiento (07 - 13) Julio, Comunidad Jóvenes + 18 (14-19) Julio, Semana de niños y niñas (21-25) Julio, Jóvenes de 13 – 17 años / SEM1/ (28 Julio a 02 de agosto)</v>
      </c>
      <c r="J51" s="1" t="str">
        <f ca="1">IFERROR(__xludf.DUMMYFUNCTION("""COMPUTED_VALUE"""),"Nuestro Pan Diario Israel")</f>
        <v>Nuestro Pan Diario Israel</v>
      </c>
      <c r="K51" s="1" t="str">
        <f ca="1">IFERROR(__xludf.DUMMYFUNCTION("""COMPUTED_VALUE"""),"Orizaba Centro")</f>
        <v>Orizaba Centro</v>
      </c>
      <c r="L51" s="1" t="str">
        <f ca="1">IFERROR(__xludf.DUMMYFUNCTION("""COMPUTED_VALUE"""),"Alejandro García Pérez")</f>
        <v>Alejandro García Pérez</v>
      </c>
      <c r="M51" s="1">
        <f ca="1">IFERROR(__xludf.DUMMYFUNCTION("""COMPUTED_VALUE"""),522721390989)</f>
        <v>522721390989</v>
      </c>
      <c r="N51" s="1" t="str">
        <f ca="1">IFERROR(__xludf.DUMMYFUNCTION("""COMPUTED_VALUE"""),"alexanderix@hotmail.com")</f>
        <v>alexanderix@hotmail.com</v>
      </c>
      <c r="O51" s="1" t="str">
        <f ca="1">IFERROR(__xludf.DUMMYFUNCTION("""COMPUTED_VALUE"""),"Coro, Maestra con los niños, campamento")</f>
        <v>Coro, Maestra con los niños, campamento</v>
      </c>
      <c r="P51" s="1" t="str">
        <f ca="1">IFERROR(__xludf.DUMMYFUNCTION("""COMPUTED_VALUE"""),"Yo nací en cuna cristiana, sin embargo yo sé que eso no te salva, a mi mis padres me hablaban del Señor Jesús desde muy pequeña y lo acepte en mi corazón, más grande (12años aprox) reafirme mi decisión por el Señor, que el Señor Jesucristo es el hijo de D"&amp;"ios y que vino a morir por mi en la cruz a pagar todos mis pecados, eso que me separaba de esa relación con el padre y que resucito de entre los muertos y que algún día nosotros estaremos con el para siempre. Mi versículo favorito es en Romanos 8:38 y 39."&amp;" Porque no hay NADA que nos separe ni que PUEDA separarnos del amor de Dios. Ese amor que fue reflejado en Cristo.")</f>
        <v>Yo nací en cuna cristiana, sin embargo yo sé que eso no te salva, a mi mis padres me hablaban del Señor Jesús desde muy pequeña y lo acepte en mi corazón, más grande (12años aprox) reafirme mi decisión por el Señor, que el Señor Jesucristo es el hijo de Dios y que vino a morir por mi en la cruz a pagar todos mis pecados, eso que me separaba de esa relación con el padre y que resucito de entre los muertos y que algún día nosotros estaremos con el para siempre. Mi versículo favorito es en Romanos 8:38 y 39. Porque no hay NADA que nos separe ni que PUEDA separarnos del amor de Dios. Ese amor que fue reflejado en Cristo.</v>
      </c>
      <c r="Q51" s="1" t="str">
        <f ca="1">IFERROR(__xludf.DUMMYFUNCTION("""COMPUTED_VALUE"""),"El trabajo que se realiza ahí es muy importante, porque estamos trabajando con almas, desde lo que les digas hasta lo que que vean en ti diferente porque Cristo mora en nosotros puede marcar algo en su vida y ese algo Cristo lo puede utilizar para hablarl"&amp;"es a sus vidas, principalmente en la predicación del evangelio. Las amistades genuinas que se generan ahí en donde conoces a personas que tienen tu mismo sentir y amor en el Señor nos animan, en la palabra dice ""Dios es el que me ayuda,el Señor está con "&amp;"los que se sostienen mi vida"". El verano pasado el hermano Roy nos decía ""Dios quiere tratar contigo"" porque no porque estemos sirviendo significa que solo Dios le va a hablar a las personas que no lo conocen o que se han alejado de él, a nosotros cuan"&amp;"do somos siervos también. Eso no puede ir separado.")</f>
        <v>El trabajo que se realiza ahí es muy importante, porque estamos trabajando con almas, desde lo que les digas hasta lo que que vean en ti diferente porque Cristo mora en nosotros puede marcar algo en su vida y ese algo Cristo lo puede utilizar para hablarles a sus vidas, principalmente en la predicación del evangelio. Las amistades genuinas que se generan ahí en donde conoces a personas que tienen tu mismo sentir y amor en el Señor nos animan, en la palabra dice "Dios es el que me ayuda,el Señor está con los que se sostienen mi vida". El verano pasado el hermano Roy nos decía "Dios quiere tratar contigo" porque no porque estemos sirviendo significa que solo Dios le va a hablar a las personas que no lo conocen o que se han alejado de él, a nosotros cuando somos siervos también. Eso no puede ir separado.</v>
      </c>
      <c r="R51" s="1" t="str">
        <f ca="1">IFERROR(__xludf.DUMMYFUNCTION("""COMPUTED_VALUE"""),"Si")</f>
        <v>Si</v>
      </c>
      <c r="S51" s="1" t="str">
        <f ca="1">IFERROR(__xludf.DUMMYFUNCTION("""COMPUTED_VALUE"""),"Volleball, basquetball.")</f>
        <v>Volleball, basquetball.</v>
      </c>
      <c r="T51" s="1" t="str">
        <f ca="1">IFERROR(__xludf.DUMMYFUNCTION("""COMPUTED_VALUE"""),"No")</f>
        <v>No</v>
      </c>
      <c r="U51" s="1"/>
      <c r="V51" s="1" t="str">
        <f ca="1">IFERROR(__xludf.DUMMYFUNCTION("""COMPUTED_VALUE"""),"Ingeniería Química, son procesos químicos a nivel industrial.")</f>
        <v>Ingeniería Química, son procesos químicos a nivel industrial.</v>
      </c>
      <c r="W51" s="1" t="str">
        <f ca="1">IFERROR(__xludf.DUMMYFUNCTION("""COMPUTED_VALUE"""),"Hablo inglés, pertenezco al coro de la iglesia, soy empática, responsable, respetuosa, me gusta ser útil, tengo facilidad para hablar con jóvenes y niños. Soy creativa, me gusta mucho la fotografía")</f>
        <v>Hablo inglés, pertenezco al coro de la iglesia, soy empática, responsable, respetuosa, me gusta ser útil, tengo facilidad para hablar con jóvenes y niños. Soy creativa, me gusta mucho la fotografía</v>
      </c>
      <c r="X51" s="1" t="str">
        <f ca="1">IFERROR(__xludf.DUMMYFUNCTION("""COMPUTED_VALUE"""),"B. Me gusta animar a las personas, C. Suelo buscar que el trabajo se realice en equipo, D. Me gustan los deportes, E. Me gusta el trabajo con niños, F. Soy eficiente en el trabajo con herramientas, equipos y maquinarias, I. Se me facilita el trabajo físic"&amp;"o, J. Me gusta la atención a las personas, K. Soy creativo (a), L. Soy bueno (a) en canto o algún instrumento, M. Soy bueno (a) con los números, N. Suelo llevar el liderazgo en un grupo, O. Puedo enseñar con facilidad")</f>
        <v>B. Me gusta animar a las personas, C. Suelo buscar que el trabajo se realice en equipo, D. Me gustan los deportes, E. Me gusta el trabajo con niños, F. Soy eficiente en el trabajo con herramientas, equipos y maquinarias, I. Se me facilita el trabajo físico, J. Me gusta la atención a las personas, K. Soy creativo (a), L. Soy bueno (a) en canto o algún instrumento, M. Soy bueno (a) con los números, N. Suelo llevar el liderazgo en un grupo, O. Puedo enseñar con facilidad</v>
      </c>
      <c r="Y51" s="1" t="str">
        <f ca="1">IFERROR(__xludf.DUMMYFUNCTION("""COMPUTED_VALUE"""),"No")</f>
        <v>No</v>
      </c>
      <c r="Z51" s="1"/>
    </row>
    <row r="52" spans="1:26" x14ac:dyDescent="0.35">
      <c r="A52" s="3">
        <f ca="1">IFERROR(__xludf.DUMMYFUNCTION("""COMPUTED_VALUE"""),45779.4909027777)</f>
        <v>45779.490902777703</v>
      </c>
      <c r="B52" s="1"/>
      <c r="C52" s="1" t="str">
        <f ca="1">IFERROR(__xludf.DUMMYFUNCTION("""COMPUTED_VALUE"""),"Mireya, Luis Tlacuilo")</f>
        <v>Mireya, Luis Tlacuilo</v>
      </c>
      <c r="D52" s="1">
        <f ca="1">IFERROR(__xludf.DUMMYFUNCTION("""COMPUTED_VALUE"""),19)</f>
        <v>19</v>
      </c>
      <c r="E52" s="1" t="str">
        <f ca="1">IFERROR(__xludf.DUMMYFUNCTION("""COMPUTED_VALUE"""),"Mujer")</f>
        <v>Mujer</v>
      </c>
      <c r="F52" s="1" t="str">
        <f ca="1">IFERROR(__xludf.DUMMYFUNCTION("""COMPUTED_VALUE"""),"Jalisco, Mexico")</f>
        <v>Jalisco, Mexico</v>
      </c>
      <c r="G52" s="1" t="str">
        <f ca="1">IFERROR(__xludf.DUMMYFUNCTION("""COMPUTED_VALUE"""),"mireyatlacuilo.ml@gmail.com")</f>
        <v>mireyatlacuilo.ml@gmail.com</v>
      </c>
      <c r="H52" s="1">
        <f ca="1">IFERROR(__xludf.DUMMYFUNCTION("""COMPUTED_VALUE"""),523333959765)</f>
        <v>523333959765</v>
      </c>
      <c r="I52" s="1" t="str">
        <f ca="1">IFERROR(__xludf.DUMMYFUNCTION("""COMPUTED_VALUE"""),"Semana de entrenamiento (07 - 13) Julio, Comunidad Jóvenes + 18 (14-19) Julio, Semana de niños y niñas (21-25) Julio, Jóvenes de 13 – 17 años / SEM1/ (28 Julio a 02 de agosto), Jóvenes de 13 – 17 años / SEM2/ (4 - 09 agosto)")</f>
        <v>Semana de entrenamiento (07 - 13) Julio, Comunidad Jóvenes + 18 (14-19) Julio, Semana de niños y niñas (21-25) Julio, Jóvenes de 13 – 17 años / SEM1/ (28 Julio a 02 de agosto), Jóvenes de 13 – 17 años / SEM2/ (4 - 09 agosto)</v>
      </c>
      <c r="J52" s="1" t="str">
        <f ca="1">IFERROR(__xludf.DUMMYFUNCTION("""COMPUTED_VALUE"""),"Mis devocional es leer un capítulo diario de la biblia y hacer mi devocional de ese capítulo")</f>
        <v>Mis devocional es leer un capítulo diario de la biblia y hacer mi devocional de ese capítulo</v>
      </c>
      <c r="K52" s="1" t="str">
        <f ca="1">IFERROR(__xludf.DUMMYFUNCTION("""COMPUTED_VALUE"""),"Iglesia vida")</f>
        <v>Iglesia vida</v>
      </c>
      <c r="L52" s="1" t="str">
        <f ca="1">IFERROR(__xludf.DUMMYFUNCTION("""COMPUTED_VALUE"""),"Neftalí Rubio Bonilla")</f>
        <v>Neftalí Rubio Bonilla</v>
      </c>
      <c r="M52" s="1">
        <f ca="1">IFERROR(__xludf.DUMMYFUNCTION("""COMPUTED_VALUE"""),52524411036024)</f>
        <v>52524411036024</v>
      </c>
      <c r="N52" s="1" t="str">
        <f ca="1">IFERROR(__xludf.DUMMYFUNCTION("""COMPUTED_VALUE"""),"nefaly@gmail.com")</f>
        <v>nefaly@gmail.com</v>
      </c>
      <c r="O52" s="1" t="str">
        <f ca="1">IFERROR(__xludf.DUMMYFUNCTION("""COMPUTED_VALUE"""),"Multimedia en diapositivas, 180 grupo de adolescentes y tren de la salvación ministerio de evangelizar en colonia")</f>
        <v>Multimedia en diapositivas, 180 grupo de adolescentes y tren de la salvación ministerio de evangelizar en colonia</v>
      </c>
      <c r="P52" s="1" t="str">
        <f ca="1">IFERROR(__xludf.DUMMYFUNCTION("""COMPUTED_VALUE"""),"Acepte a Cristo en 2023, crecí en una familia cristiana pero cuando realmente hubo un cambio en mi vida fue en 2023, cuando llegué a iglesia vida y tuve personas que me apoyaron y me guiaron por donde en realidad iba y pude entender el evangelio y pude ex"&amp;"perimentar su amor en mi vida")</f>
        <v>Acepte a Cristo en 2023, crecí en una familia cristiana pero cuando realmente hubo un cambio en mi vida fue en 2023, cuando llegué a iglesia vida y tuve personas que me apoyaron y me guiaron por donde en realidad iba y pude entender el evangelio y pude experimentar su amor en mi vida</v>
      </c>
      <c r="Q52" s="1" t="str">
        <f ca="1">IFERROR(__xludf.DUMMYFUNCTION("""COMPUTED_VALUE"""),"El año pasado tuve la oportunidad de servir y fue de gran bendición para mi vida y fue una experiencia realmente increíble de vivir y es increíble utilizar mi vida para su servicio")</f>
        <v>El año pasado tuve la oportunidad de servir y fue de gran bendición para mi vida y fue una experiencia realmente increíble de vivir y es increíble utilizar mi vida para su servicio</v>
      </c>
      <c r="R52" s="1" t="str">
        <f ca="1">IFERROR(__xludf.DUMMYFUNCTION("""COMPUTED_VALUE"""),"Si")</f>
        <v>Si</v>
      </c>
      <c r="S52" s="1" t="str">
        <f ca="1">IFERROR(__xludf.DUMMYFUNCTION("""COMPUTED_VALUE"""),"Voleibol")</f>
        <v>Voleibol</v>
      </c>
      <c r="T52" s="1" t="str">
        <f ca="1">IFERROR(__xludf.DUMMYFUNCTION("""COMPUTED_VALUE"""),"No")</f>
        <v>No</v>
      </c>
      <c r="U52" s="1"/>
      <c r="V52" s="1" t="str">
        <f ca="1">IFERROR(__xludf.DUMMYFUNCTION("""COMPUTED_VALUE"""),"Cultura física y deporte, todo lo relacionado a los deportes y al ejercicio")</f>
        <v>Cultura física y deporte, todo lo relacionado a los deportes y al ejercicio</v>
      </c>
      <c r="W52" s="1" t="str">
        <f ca="1">IFERROR(__xludf.DUMMYFUNCTION("""COMPUTED_VALUE"""),"Fui entrenadora de voleibol y soy buena para relacionarme con la gente")</f>
        <v>Fui entrenadora de voleibol y soy buena para relacionarme con la gente</v>
      </c>
      <c r="X52" s="1" t="str">
        <f ca="1">IFERROR(__xludf.DUMMYFUNCTION("""COMPUTED_VALUE"""),"A. Soy un discipulador activo, B. Me gusta animar a las personas, C. Suelo buscar que el trabajo se realice en equipo, D. Me gustan los deportes, E. Me gusta el trabajo con niños, J. Me gusta la atención a las personas, O. Puedo enseñar con facilidad")</f>
        <v>A. Soy un discipulador activo, B. Me gusta animar a las personas, C. Suelo buscar que el trabajo se realice en equipo, D. Me gustan los deportes, E. Me gusta el trabajo con niños, J. Me gusta la atención a las personas, O. Puedo enseñar con facilidad</v>
      </c>
      <c r="Y52" s="1">
        <f ca="1">IFERROR(__xludf.DUMMYFUNCTION("""COMPUTED_VALUE"""),2024)</f>
        <v>2024</v>
      </c>
      <c r="Z52" s="1"/>
    </row>
    <row r="53" spans="1:26" x14ac:dyDescent="0.35">
      <c r="A53" s="3">
        <f ca="1">IFERROR(__xludf.DUMMYFUNCTION("""COMPUTED_VALUE"""),45783.0027430555)</f>
        <v>45783.002743055498</v>
      </c>
      <c r="B53" s="1"/>
      <c r="C53" s="1" t="str">
        <f ca="1">IFERROR(__xludf.DUMMYFUNCTION("""COMPUTED_VALUE"""),"Evelyn, Aguilar Barrientos")</f>
        <v>Evelyn, Aguilar Barrientos</v>
      </c>
      <c r="D53" s="1">
        <f ca="1">IFERROR(__xludf.DUMMYFUNCTION("""COMPUTED_VALUE"""),21)</f>
        <v>21</v>
      </c>
      <c r="E53" s="1" t="str">
        <f ca="1">IFERROR(__xludf.DUMMYFUNCTION("""COMPUTED_VALUE"""),"Mujer")</f>
        <v>Mujer</v>
      </c>
      <c r="F53" s="1" t="str">
        <f ca="1">IFERROR(__xludf.DUMMYFUNCTION("""COMPUTED_VALUE"""),"Jalisco, Mexico")</f>
        <v>Jalisco, Mexico</v>
      </c>
      <c r="G53" s="1" t="str">
        <f ca="1">IFERROR(__xludf.DUMMYFUNCTION("""COMPUTED_VALUE"""),"evelynare@icloud.com")</f>
        <v>evelynare@icloud.com</v>
      </c>
      <c r="H53" s="1">
        <f ca="1">IFERROR(__xludf.DUMMYFUNCTION("""COMPUTED_VALUE"""),523323784023)</f>
        <v>523323784023</v>
      </c>
      <c r="I53" s="1" t="str">
        <f ca="1">IFERROR(__xludf.DUMMYFUNCTION("""COMPUTED_VALUE"""),"Toda la temporada (07 de Julio al 16 de agosto)")</f>
        <v>Toda la temporada (07 de Julio al 16 de agosto)</v>
      </c>
      <c r="J53" s="1" t="str">
        <f ca="1">IFERROR(__xludf.DUMMYFUNCTION("""COMPUTED_VALUE"""),"En esto pensad- Edyah barragan")</f>
        <v>En esto pensad- Edyah barragan</v>
      </c>
      <c r="K53" s="1" t="str">
        <f ca="1">IFERROR(__xludf.DUMMYFUNCTION("""COMPUTED_VALUE"""),"Casa de oración México")</f>
        <v>Casa de oración México</v>
      </c>
      <c r="L53" s="1" t="str">
        <f ca="1">IFERROR(__xludf.DUMMYFUNCTION("""COMPUTED_VALUE"""),"Mario Kim")</f>
        <v>Mario Kim</v>
      </c>
      <c r="M53" s="1">
        <f ca="1">IFERROR(__xludf.DUMMYFUNCTION("""COMPUTED_VALUE"""),528115312217)</f>
        <v>528115312217</v>
      </c>
      <c r="N53" s="1" t="str">
        <f ca="1">IFERROR(__xludf.DUMMYFUNCTION("""COMPUTED_VALUE"""),"mariokim75@yahoo.com")</f>
        <v>mariokim75@yahoo.com</v>
      </c>
      <c r="O53" s="1" t="str">
        <f ca="1">IFERROR(__xludf.DUMMYFUNCTION("""COMPUTED_VALUE"""),"Maestra infantil")</f>
        <v>Maestra infantil</v>
      </c>
      <c r="P53" s="1" t="str">
        <f ca="1">IFERROR(__xludf.DUMMYFUNCTION("""COMPUTED_VALUE"""),"Crecí en la iglesia toda mi vida pero solo hasta los 16 años tuve un verdadero encuentro con él y eso fue en un campamento “Bernal” entendí la importancia de una verdadera relación con el señor y una entrega total de mi vida, no solo una parte de ella y e"&amp;"mpecé un caminar real con el señor")</f>
        <v>Crecí en la iglesia toda mi vida pero solo hasta los 16 años tuve un verdadero encuentro con él y eso fue en un campamento “Bernal” entendí la importancia de una verdadera relación con el señor y una entrega total de mi vida, no solo una parte de ella y empecé un caminar real con el señor</v>
      </c>
      <c r="Q53" s="1" t="str">
        <f ca="1">IFERROR(__xludf.DUMMYFUNCTION("""COMPUTED_VALUE"""),"Me gustaría servir en el lugar que para mi vida fue de gran bendición 
Y entregar de tiempo completo mi servicio al señor")</f>
        <v>Me gustaría servir en el lugar que para mi vida fue de gran bendición 
Y entregar de tiempo completo mi servicio al señor</v>
      </c>
      <c r="R53" s="1" t="str">
        <f ca="1">IFERROR(__xludf.DUMMYFUNCTION("""COMPUTED_VALUE"""),"No")</f>
        <v>No</v>
      </c>
      <c r="S53" s="1"/>
      <c r="T53" s="1" t="str">
        <f ca="1">IFERROR(__xludf.DUMMYFUNCTION("""COMPUTED_VALUE"""),"No")</f>
        <v>No</v>
      </c>
      <c r="U53" s="1"/>
      <c r="V53" s="1" t="str">
        <f ca="1">IFERROR(__xludf.DUMMYFUNCTION("""COMPUTED_VALUE"""),"Por el momento no estoy estudiando")</f>
        <v>Por el momento no estoy estudiando</v>
      </c>
      <c r="W53" s="1" t="str">
        <f ca="1">IFERROR(__xludf.DUMMYFUNCTION("""COMPUTED_VALUE"""),"Soy barista de starbucks, tengo un mucha habilidad de liderazgo y trabajo en equipo así como una facilidad de interacción con los niños")</f>
        <v>Soy barista de starbucks, tengo un mucha habilidad de liderazgo y trabajo en equipo así como una facilidad de interacción con los niños</v>
      </c>
      <c r="X53" s="1" t="str">
        <f ca="1">IFERROR(__xludf.DUMMYFUNCTION("""COMPUTED_VALUE"""),"A. Soy un discipulador activo, B. Me gusta animar a las personas, C. Suelo buscar que el trabajo se realice en equipo, D. Me gustan los deportes, E. Me gusta el trabajo con niños, H. Soy organizado (a), I. Se me facilita el trabajo físico, K. Soy creativo"&amp;" (a), N. Suelo llevar el liderazgo en un grupo, O. Puedo enseñar con facilidad")</f>
        <v>A. Soy un discipulador activo, B. Me gusta animar a las personas, C. Suelo buscar que el trabajo se realice en equipo, D. Me gustan los deportes, E. Me gusta el trabajo con niños, H. Soy organizado (a), I. Se me facilita el trabajo físico, K. Soy creativo (a), N. Suelo llevar el liderazgo en un grupo, O. Puedo enseñar con facilidad</v>
      </c>
      <c r="Y53" s="1" t="str">
        <f ca="1">IFERROR(__xludf.DUMMYFUNCTION("""COMPUTED_VALUE"""),"Si, fui campera el la semanas de adolescentes y de +18")</f>
        <v>Si, fui campera el la semanas de adolescentes y de +18</v>
      </c>
      <c r="Z53" s="1"/>
    </row>
    <row r="54" spans="1:26" x14ac:dyDescent="0.35">
      <c r="A54" s="3">
        <f ca="1">IFERROR(__xludf.DUMMYFUNCTION("""COMPUTED_VALUE"""),45783.7084837963)</f>
        <v>45783.708483796298</v>
      </c>
      <c r="B54" s="1"/>
      <c r="C54" s="1" t="str">
        <f ca="1">IFERROR(__xludf.DUMMYFUNCTION("""COMPUTED_VALUE"""),"Elizabeth noemi, Valverde villca")</f>
        <v>Elizabeth noemi, Valverde villca</v>
      </c>
      <c r="D54" s="1">
        <f ca="1">IFERROR(__xludf.DUMMYFUNCTION("""COMPUTED_VALUE"""),26)</f>
        <v>26</v>
      </c>
      <c r="E54" s="1" t="str">
        <f ca="1">IFERROR(__xludf.DUMMYFUNCTION("""COMPUTED_VALUE"""),"Mujer")</f>
        <v>Mujer</v>
      </c>
      <c r="F54" s="1" t="str">
        <f ca="1">IFERROR(__xludf.DUMMYFUNCTION("""COMPUTED_VALUE"""),"Buenos Aires, Argentina")</f>
        <v>Buenos Aires, Argentina</v>
      </c>
      <c r="G54" s="1" t="str">
        <f ca="1">IFERROR(__xludf.DUMMYFUNCTION("""COMPUTED_VALUE"""),"valverdenoe21@gmail.com")</f>
        <v>valverdenoe21@gmail.com</v>
      </c>
      <c r="H54" s="1">
        <f ca="1">IFERROR(__xludf.DUMMYFUNCTION("""COMPUTED_VALUE"""),541153182780)</f>
        <v>541153182780</v>
      </c>
      <c r="I54" s="1" t="str">
        <f ca="1">IFERROR(__xludf.DUMMYFUNCTION("""COMPUTED_VALUE"""),"Toda la temporada (07 de Julio al 16 de agosto)")</f>
        <v>Toda la temporada (07 de Julio al 16 de agosto)</v>
      </c>
      <c r="J54" s="1" t="str">
        <f ca="1">IFERROR(__xludf.DUMMYFUNCTION("""COMPUTED_VALUE"""),"Hora silenciosa pdv")</f>
        <v>Hora silenciosa pdv</v>
      </c>
      <c r="K54" s="1" t="str">
        <f ca="1">IFERROR(__xludf.DUMMYFUNCTION("""COMPUTED_VALUE"""),"Iglesia cristiana evangélica lambertucci")</f>
        <v>Iglesia cristiana evangélica lambertucci</v>
      </c>
      <c r="L54" s="1" t="str">
        <f ca="1">IFERROR(__xludf.DUMMYFUNCTION("""COMPUTED_VALUE"""),"Edwin condo")</f>
        <v>Edwin condo</v>
      </c>
      <c r="M54" s="1">
        <f ca="1">IFERROR(__xludf.DUMMYFUNCTION("""COMPUTED_VALUE"""),541154760710)</f>
        <v>541154760710</v>
      </c>
      <c r="N54" s="1" t="str">
        <f ca="1">IFERROR(__xludf.DUMMYFUNCTION("""COMPUTED_VALUE"""),"edwincondo@gmail.com")</f>
        <v>edwincondo@gmail.com</v>
      </c>
      <c r="O54" s="1" t="str">
        <f ca="1">IFERROR(__xludf.DUMMYFUNCTION("""COMPUTED_VALUE"""),"Maestra de escuelita dominical con preadolescentes")</f>
        <v>Maestra de escuelita dominical con preadolescentes</v>
      </c>
      <c r="P54" s="1" t="str">
        <f ca="1">IFERROR(__xludf.DUMMYFUNCTION("""COMPUTED_VALUE"""),"Hola !! Mi nombre es Noemi , me dicen noe , tengo 26 años de edad . 
Comencé a ir una iglesia local por mi tía la hermana de mi mamá, a la edad de 9 años recibe a Cristo en mi corazón y a la edad de 11 años me bauticé , hasta los 15 años servía y estaba e"&amp;"n ministerios. A la edad de 16 años mi corazón ya estaba lejos del señor y pase por una situación difícil con mi familia y la iglesia . Y en el 2018 una vez terminada la secundaria fui a estudiar la biblia en el instituto palabra de vida argentina, y tuve"&amp;" mi seguridad de salvación ese mismo año . Y por la gracia de Dios sigo activa y en comunión con Dios y mi iglesia .")</f>
        <v>Hola !! Mi nombre es Noemi , me dicen noe , tengo 26 años de edad . 
Comencé a ir una iglesia local por mi tía la hermana de mi mamá, a la edad de 9 años recibe a Cristo en mi corazón y a la edad de 11 años me bauticé , hasta los 15 años servía y estaba en ministerios. A la edad de 16 años mi corazón ya estaba lejos del señor y pase por una situación difícil con mi familia y la iglesia . Y en el 2018 una vez terminada la secundaria fui a estudiar la biblia en el instituto palabra de vida argentina, y tuve mi seguridad de salvación ese mismo año . Y por la gracia de Dios sigo activa y en comunión con Dios y mi iglesia .</v>
      </c>
      <c r="Q54" s="1" t="str">
        <f ca="1">IFERROR(__xludf.DUMMYFUNCTION("""COMPUTED_VALUE"""),"Vengo orando desde el año pasado para poder servir en ese lugar , quiero vivir la experiencia de servir en otro país .")</f>
        <v>Vengo orando desde el año pasado para poder servir en ese lugar , quiero vivir la experiencia de servir en otro país .</v>
      </c>
      <c r="R54" s="1" t="str">
        <f ca="1">IFERROR(__xludf.DUMMYFUNCTION("""COMPUTED_VALUE"""),"Si")</f>
        <v>Si</v>
      </c>
      <c r="S54" s="1" t="str">
        <f ca="1">IFERROR(__xludf.DUMMYFUNCTION("""COMPUTED_VALUE"""),"Voley")</f>
        <v>Voley</v>
      </c>
      <c r="T54" s="1" t="str">
        <f ca="1">IFERROR(__xludf.DUMMYFUNCTION("""COMPUTED_VALUE"""),"No")</f>
        <v>No</v>
      </c>
      <c r="U54" s="1"/>
      <c r="V54" s="1" t="str">
        <f ca="1">IFERROR(__xludf.DUMMYFUNCTION("""COMPUTED_VALUE"""),"Estudio administración de empresas")</f>
        <v>Estudio administración de empresas</v>
      </c>
      <c r="W54" s="1" t="str">
        <f ca="1">IFERROR(__xludf.DUMMYFUNCTION("""COMPUTED_VALUE"""),"Soy locutora .")</f>
        <v>Soy locutora .</v>
      </c>
      <c r="X54" s="1" t="str">
        <f ca="1">IFERROR(__xludf.DUMMYFUNCTION("""COMPUTED_VALUE"""),"E. Me gusta el trabajo con niños, H. Soy organizado (a), M. Soy bueno (a) con los números")</f>
        <v>E. Me gusta el trabajo con niños, H. Soy organizado (a), M. Soy bueno (a) con los números</v>
      </c>
      <c r="Y54" s="1" t="str">
        <f ca="1">IFERROR(__xludf.DUMMYFUNCTION("""COMPUTED_VALUE"""),"No")</f>
        <v>No</v>
      </c>
      <c r="Z54" s="1"/>
    </row>
    <row r="55" spans="1:26" x14ac:dyDescent="0.35">
      <c r="A55" s="3">
        <f ca="1">IFERROR(__xludf.DUMMYFUNCTION("""COMPUTED_VALUE"""),45783.9431944444)</f>
        <v>45783.9431944444</v>
      </c>
      <c r="B55" s="1"/>
      <c r="C55" s="1" t="str">
        <f ca="1">IFERROR(__xludf.DUMMYFUNCTION("""COMPUTED_VALUE"""),"Ángela Sophia, García Mendoza")</f>
        <v>Ángela Sophia, García Mendoza</v>
      </c>
      <c r="D55" s="1">
        <f ca="1">IFERROR(__xludf.DUMMYFUNCTION("""COMPUTED_VALUE"""),23)</f>
        <v>23</v>
      </c>
      <c r="E55" s="1" t="str">
        <f ca="1">IFERROR(__xludf.DUMMYFUNCTION("""COMPUTED_VALUE"""),"Mujer")</f>
        <v>Mujer</v>
      </c>
      <c r="F55" s="1" t="str">
        <f ca="1">IFERROR(__xludf.DUMMYFUNCTION("""COMPUTED_VALUE"""),"Queretaro, Mexico")</f>
        <v>Queretaro, Mexico</v>
      </c>
      <c r="G55" s="1" t="str">
        <f ca="1">IFERROR(__xludf.DUMMYFUNCTION("""COMPUTED_VALUE"""),"Sophia.gm1505@gmail.com")</f>
        <v>Sophia.gm1505@gmail.com</v>
      </c>
      <c r="H55" s="1">
        <f ca="1">IFERROR(__xludf.DUMMYFUNCTION("""COMPUTED_VALUE"""),524423959526)</f>
        <v>524423959526</v>
      </c>
      <c r="I55" s="1" t="str">
        <f ca="1">IFERROR(__xludf.DUMMYFUNCTION("""COMPUTED_VALUE"""),"Toda la temporada (07 de Julio al 16 de agosto)")</f>
        <v>Toda la temporada (07 de Julio al 16 de agosto)</v>
      </c>
      <c r="J55" s="1" t="str">
        <f ca="1">IFERROR(__xludf.DUMMYFUNCTION("""COMPUTED_VALUE"""),"Estudio bíblico individual")</f>
        <v>Estudio bíblico individual</v>
      </c>
      <c r="K55" s="1" t="str">
        <f ca="1">IFERROR(__xludf.DUMMYFUNCTION("""COMPUTED_VALUE"""),"Iglesia Cristiana Vid Central")</f>
        <v>Iglesia Cristiana Vid Central</v>
      </c>
      <c r="L55" s="1" t="str">
        <f ca="1">IFERROR(__xludf.DUMMYFUNCTION("""COMPUTED_VALUE"""),"Nahum Álvarez Reséndiz")</f>
        <v>Nahum Álvarez Reséndiz</v>
      </c>
      <c r="M55" s="1">
        <f ca="1">IFERROR(__xludf.DUMMYFUNCTION("""COMPUTED_VALUE"""),524426198741)</f>
        <v>524426198741</v>
      </c>
      <c r="N55" s="1" t="str">
        <f ca="1">IFERROR(__xludf.DUMMYFUNCTION("""COMPUTED_VALUE"""),"Admonvidcentral10@gmail.com")</f>
        <v>Admonvidcentral10@gmail.com</v>
      </c>
      <c r="O55" s="1" t="str">
        <f ca="1">IFERROR(__xludf.DUMMYFUNCTION("""COMPUTED_VALUE"""),"Fotografía-PRODUCCIÓN, Músico-ALABANZA, Líder de grupo amistad-JÓVENES")</f>
        <v>Fotografía-PRODUCCIÓN, Músico-ALABANZA, Líder de grupo amistad-JÓVENES</v>
      </c>
      <c r="P55" s="1" t="str">
        <f ca="1">IFERROR(__xludf.DUMMYFUNCTION("""COMPUTED_VALUE"""),"Nací en cuna cristiana, pero conocí a Dios realmente cuando tenía 13 años, comprendí que él dio su vida para que yo tuviera salvación y perdón de pecados, a partir de ese quebranto descubrí que tenía identidad en Cristo y que era profúndame amada por Dios"&amp;", a los 17 años decidí bautizarme y desde entonces cada día decido darle mi vida como adoración y ponerle mis talentos a su servicio, el año pasado atravesé por uno de los procesos más fuertes de mi vida y vi como Dios siempre estuvo conmigo, gracias a es"&amp;"a prueba pude conocer de otra manera al Dios en el que creo y agradezco todo el proceso de sanidad por el que me ha llevado estos meses")</f>
        <v>Nací en cuna cristiana, pero conocí a Dios realmente cuando tenía 13 años, comprendí que él dio su vida para que yo tuviera salvación y perdón de pecados, a partir de ese quebranto descubrí que tenía identidad en Cristo y que era profúndame amada por Dios, a los 17 años decidí bautizarme y desde entonces cada día decido darle mi vida como adoración y ponerle mis talentos a su servicio, el año pasado atravesé por uno de los procesos más fuertes de mi vida y vi como Dios siempre estuvo conmigo, gracias a esa prueba pude conocer de otra manera al Dios en el que creo y agradezco todo el proceso de sanidad por el que me ha llevado estos meses</v>
      </c>
      <c r="Q55" s="1" t="str">
        <f ca="1">IFERROR(__xludf.DUMMYFUNCTION("""COMPUTED_VALUE"""),"Lo veo como tierra fértil, siempre me ha gustado darle mi tiempo y mi servicio a Dios, creo que el ministerio que hace palabra de vida con los jóvenes tiene un impacto enorme en la vida de todos ellos, he visto de cerca cómo estos campamento transforman v"&amp;"idas y acercan a más jóvenes a Dios, es un privilegio poder ser parte de esta obra y que Dios me permita estar en este equipo")</f>
        <v>Lo veo como tierra fértil, siempre me ha gustado darle mi tiempo y mi servicio a Dios, creo que el ministerio que hace palabra de vida con los jóvenes tiene un impacto enorme en la vida de todos ellos, he visto de cerca cómo estos campamento transforman vidas y acercan a más jóvenes a Dios, es un privilegio poder ser parte de esta obra y que Dios me permita estar en este equipo</v>
      </c>
      <c r="R55" s="1" t="str">
        <f ca="1">IFERROR(__xludf.DUMMYFUNCTION("""COMPUTED_VALUE"""),"Si")</f>
        <v>Si</v>
      </c>
      <c r="S55" s="1" t="str">
        <f ca="1">IFERROR(__xludf.DUMMYFUNCTION("""COMPUTED_VALUE"""),"Voleibol")</f>
        <v>Voleibol</v>
      </c>
      <c r="T55" s="1" t="str">
        <f ca="1">IFERROR(__xludf.DUMMYFUNCTION("""COMPUTED_VALUE"""),"Si")</f>
        <v>Si</v>
      </c>
      <c r="U55" s="1" t="str">
        <f ca="1">IFERROR(__xludf.DUMMYFUNCTION("""COMPUTED_VALUE"""),"Guitarra acústica")</f>
        <v>Guitarra acústica</v>
      </c>
      <c r="V55" s="1" t="str">
        <f ca="1">IFERROR(__xludf.DUMMYFUNCTION("""COMPUTED_VALUE"""),"Ingeniería Industrial")</f>
        <v>Ingeniería Industrial</v>
      </c>
      <c r="W55" s="1" t="str">
        <f ca="1">IFERROR(__xludf.DUMMYFUNCTION("""COMPUTED_VALUE"""),"Soy analista de riesgos")</f>
        <v>Soy analista de riesgos</v>
      </c>
      <c r="X55" s="1" t="str">
        <f ca="1">IFERROR(__xludf.DUMMYFUNCTION("""COMPUTED_VALUE"""),"B. Me gusta animar a las personas, D. Me gustan los deportes, F. Soy eficiente en el trabajo con herramientas, equipos y maquinarias, J. Me gusta la atención a las personas, K. Soy creativo (a), L. Soy bueno (a) en canto o algún instrumento, M. Soy bueno "&amp;"(a) con los números, N. Suelo llevar el liderazgo en un grupo, O. Puedo enseñar con facilidad")</f>
        <v>B. Me gusta animar a las personas, D. Me gustan los deportes, F. Soy eficiente en el trabajo con herramientas, equipos y maquinarias, J. Me gusta la atención a las personas, K. Soy creativo (a), L. Soy bueno (a) en canto o algún instrumento, M. Soy bueno (a) con los números, N. Suelo llevar el liderazgo en un grupo, O. Puedo enseñar con facilidad</v>
      </c>
      <c r="Y55" s="1" t="str">
        <f ca="1">IFERROR(__xludf.DUMMYFUNCTION("""COMPUTED_VALUE"""),"Si, desde 2015 hasta 2020")</f>
        <v>Si, desde 2015 hasta 2020</v>
      </c>
      <c r="Z55" s="1"/>
    </row>
    <row r="56" spans="1:26" x14ac:dyDescent="0.35">
      <c r="A56" s="3">
        <f ca="1">IFERROR(__xludf.DUMMYFUNCTION("""COMPUTED_VALUE"""),45783.9772569444)</f>
        <v>45783.977256944403</v>
      </c>
      <c r="B56" s="1"/>
      <c r="C56" s="1" t="str">
        <f ca="1">IFERROR(__xludf.DUMMYFUNCTION("""COMPUTED_VALUE"""),"Guillermo, Rivera Leyva")</f>
        <v>Guillermo, Rivera Leyva</v>
      </c>
      <c r="D56" s="1">
        <f ca="1">IFERROR(__xludf.DUMMYFUNCTION("""COMPUTED_VALUE"""),16)</f>
        <v>16</v>
      </c>
      <c r="E56" s="1" t="str">
        <f ca="1">IFERROR(__xludf.DUMMYFUNCTION("""COMPUTED_VALUE"""),"Hombre")</f>
        <v>Hombre</v>
      </c>
      <c r="F56" s="1" t="str">
        <f ca="1">IFERROR(__xludf.DUMMYFUNCTION("""COMPUTED_VALUE"""),"Tamaulipas, Mexico")</f>
        <v>Tamaulipas, Mexico</v>
      </c>
      <c r="G56" s="1" t="str">
        <f ca="1">IFERROR(__xludf.DUMMYFUNCTION("""COMPUTED_VALUE"""),"guillermoleyvarivera@gmail.com")</f>
        <v>guillermoleyvarivera@gmail.com</v>
      </c>
      <c r="H56" s="1">
        <f ca="1">IFERROR(__xludf.DUMMYFUNCTION("""COMPUTED_VALUE"""),528334272218)</f>
        <v>528334272218</v>
      </c>
      <c r="I56" s="1" t="str">
        <f ca="1">IFERROR(__xludf.DUMMYFUNCTION("""COMPUTED_VALUE"""),"Semana de entrenamiento (07 - 13) Julio, Comunidad Jóvenes + 18 (14-19) Julio, Semana de niños y niñas (21-25) Julio, Jóvenes de 13 – 17 años / SEM1/ (28 Julio a 02 de agosto)")</f>
        <v>Semana de entrenamiento (07 - 13) Julio, Comunidad Jóvenes + 18 (14-19) Julio, Semana de niños y niñas (21-25) Julio, Jóvenes de 13 – 17 años / SEM1/ (28 Julio a 02 de agosto)</v>
      </c>
      <c r="J56" s="1" t="str">
        <f ca="1">IFERROR(__xludf.DUMMYFUNCTION("""COMPUTED_VALUE"""),"Hora Silenciosa")</f>
        <v>Hora Silenciosa</v>
      </c>
      <c r="K56" s="1" t="str">
        <f ca="1">IFERROR(__xludf.DUMMYFUNCTION("""COMPUTED_VALUE"""),"Iglesia Bautista El Calvario")</f>
        <v>Iglesia Bautista El Calvario</v>
      </c>
      <c r="L56" s="1" t="str">
        <f ca="1">IFERROR(__xludf.DUMMYFUNCTION("""COMPUTED_VALUE"""),"Marco Antonio García Montoya")</f>
        <v>Marco Antonio García Montoya</v>
      </c>
      <c r="M56" s="1">
        <f ca="1">IFERROR(__xludf.DUMMYFUNCTION("""COMPUTED_VALUE"""),528333504123)</f>
        <v>528333504123</v>
      </c>
      <c r="N56" s="1" t="str">
        <f ca="1">IFERROR(__xludf.DUMMYFUNCTION("""COMPUTED_VALUE"""),"marcoantoniopastor75@gmail.com")</f>
        <v>marcoantoniopastor75@gmail.com</v>
      </c>
      <c r="O56" s="1" t="str">
        <f ca="1">IFERROR(__xludf.DUMMYFUNCTION("""COMPUTED_VALUE"""),"Ninguno de momento")</f>
        <v>Ninguno de momento</v>
      </c>
      <c r="P56" s="1" t="str">
        <f ca="1">IFERROR(__xludf.DUMMYFUNCTION("""COMPUTED_VALUE"""),"Me invitaron a un campamento regional en Tamaulipas y pues como yo naci en lo que le llaman ""cuna cristiana"" pues siempre habia dicho que Jesus era mi salvador, pero no descubri el significado de esa persona hasta que fui a ese campamento y me tope con "&amp;"testimonios de gente que de verdad habia tenido un encuentro con el, y ahi fue cuando supe que no estaba ni cerca de saber lo que en realidad era Jesús, y ese dia decidi empezar mi camino en busca de lo que es Jesús y hasta el momento me ha mostrado grand"&amp;"es milagros y maravillas, coincidencias tan exactas que te hacen darte cuenta que no es suerte ni azar, si no que alguien las hace.")</f>
        <v>Me invitaron a un campamento regional en Tamaulipas y pues como yo naci en lo que le llaman "cuna cristiana" pues siempre habia dicho que Jesus era mi salvador, pero no descubri el significado de esa persona hasta que fui a ese campamento y me tope con testimonios de gente que de verdad habia tenido un encuentro con el, y ahi fue cuando supe que no estaba ni cerca de saber lo que en realidad era Jesús, y ese dia decidi empezar mi camino en busca de lo que es Jesús y hasta el momento me ha mostrado grandes milagros y maravillas, coincidencias tan exactas que te hacen darte cuenta que no es suerte ni azar, si no que alguien las hace.</v>
      </c>
      <c r="Q56" s="1" t="str">
        <f ca="1">IFERROR(__xludf.DUMMYFUNCTION("""COMPUTED_VALUE"""),"Pense en dar el paso hacia una nueva etapa que es no solo ir de campero a Bernal, si no servir en lo que es ese gran proyecto que anima a los jovenes como yo, algo que cada vez necesitamos más y deseo ser parte de ese gran equipo que lo hace realidad")</f>
        <v>Pense en dar el paso hacia una nueva etapa que es no solo ir de campero a Bernal, si no servir en lo que es ese gran proyecto que anima a los jovenes como yo, algo que cada vez necesitamos más y deseo ser parte de ese gran equipo que lo hace realidad</v>
      </c>
      <c r="R56" s="1" t="str">
        <f ca="1">IFERROR(__xludf.DUMMYFUNCTION("""COMPUTED_VALUE"""),"No")</f>
        <v>No</v>
      </c>
      <c r="S56" s="1"/>
      <c r="T56" s="1" t="str">
        <f ca="1">IFERROR(__xludf.DUMMYFUNCTION("""COMPUTED_VALUE"""),"Si")</f>
        <v>Si</v>
      </c>
      <c r="U56" s="1" t="str">
        <f ca="1">IFERROR(__xludf.DUMMYFUNCTION("""COMPUTED_VALUE"""),"Toco el violín y ya llevo como 6 meses practicandolo, pero aun soy principiante")</f>
        <v>Toco el violín y ya llevo como 6 meses practicandolo, pero aun soy principiante</v>
      </c>
      <c r="V56" s="1" t="str">
        <f ca="1">IFERROR(__xludf.DUMMYFUNCTION("""COMPUTED_VALUE"""),"Estudio la preparatoria en la Universidad del Noreste en Tampico y acabo de terminar el ciclo, osease que ya pase a 2 año")</f>
        <v>Estudio la preparatoria en la Universidad del Noreste en Tampico y acabo de terminar el ciclo, osease que ya pase a 2 año</v>
      </c>
      <c r="W56" s="1" t="str">
        <f ca="1">IFERROR(__xludf.DUMMYFUNCTION("""COMPUTED_VALUE"""),"Pues la verdad no sabria decir específicamente que habilidades pero pues, se tocar lo basico de violin, hablo ingles, muy poco frances y pues creo que es todo, no tengo ningun oficio ni profesión aun.")</f>
        <v>Pues la verdad no sabria decir específicamente que habilidades pero pues, se tocar lo basico de violin, hablo ingles, muy poco frances y pues creo que es todo, no tengo ningun oficio ni profesión aun.</v>
      </c>
      <c r="X56" s="1" t="str">
        <f ca="1">IFERROR(__xludf.DUMMYFUNCTION("""COMPUTED_VALUE"""),"B. Me gusta animar a las personas, G. Soy más eficiente en el trabajo individual, H. Soy organizado (a)")</f>
        <v>B. Me gusta animar a las personas, G. Soy más eficiente en el trabajo individual, H. Soy organizado (a)</v>
      </c>
      <c r="Y56" s="1" t="str">
        <f ca="1">IFERROR(__xludf.DUMMYFUNCTION("""COMPUTED_VALUE"""),"Si, en la temprada de Volved y Authentic")</f>
        <v>Si, en la temprada de Volved y Authentic</v>
      </c>
      <c r="Z56" s="1"/>
    </row>
    <row r="57" spans="1:26" x14ac:dyDescent="0.35">
      <c r="A57" s="3">
        <f ca="1">IFERROR(__xludf.DUMMYFUNCTION("""COMPUTED_VALUE"""),45786.8074189814)</f>
        <v>45786.8074189814</v>
      </c>
      <c r="B57" s="1"/>
      <c r="C57" s="1" t="str">
        <f ca="1">IFERROR(__xludf.DUMMYFUNCTION("""COMPUTED_VALUE"""),"Merari Liliana, Garcia Guerrero")</f>
        <v>Merari Liliana, Garcia Guerrero</v>
      </c>
      <c r="D57" s="1">
        <f ca="1">IFERROR(__xludf.DUMMYFUNCTION("""COMPUTED_VALUE"""),15)</f>
        <v>15</v>
      </c>
      <c r="E57" s="1" t="str">
        <f ca="1">IFERROR(__xludf.DUMMYFUNCTION("""COMPUTED_VALUE"""),"Mujer")</f>
        <v>Mujer</v>
      </c>
      <c r="F57" s="1" t="str">
        <f ca="1">IFERROR(__xludf.DUMMYFUNCTION("""COMPUTED_VALUE"""),"Tamaulipas, Mexico")</f>
        <v>Tamaulipas, Mexico</v>
      </c>
      <c r="G57" s="1" t="str">
        <f ca="1">IFERROR(__xludf.DUMMYFUNCTION("""COMPUTED_VALUE"""),"merarililianagarci@gmail.com")</f>
        <v>merarililianagarci@gmail.com</v>
      </c>
      <c r="H57" s="1">
        <f ca="1">IFERROR(__xludf.DUMMYFUNCTION("""COMPUTED_VALUE"""),528334352679)</f>
        <v>528334352679</v>
      </c>
      <c r="I57" s="1" t="str">
        <f ca="1">IFERROR(__xludf.DUMMYFUNCTION("""COMPUTED_VALUE"""),"Semana de entrenamiento (07 - 13) Julio, Comunidad Jóvenes + 18 (14-19) Julio, Semana de niños y niñas (21-25) Julio, Jóvenes de 13 – 17 años / SEM1/ (28 Julio a 02 de agosto)")</f>
        <v>Semana de entrenamiento (07 - 13) Julio, Comunidad Jóvenes + 18 (14-19) Julio, Semana de niños y niñas (21-25) Julio, Jóvenes de 13 – 17 años / SEM1/ (28 Julio a 02 de agosto)</v>
      </c>
      <c r="J57" s="1" t="str">
        <f ca="1">IFERROR(__xludf.DUMMYFUNCTION("""COMPUTED_VALUE"""),"Quiet Time")</f>
        <v>Quiet Time</v>
      </c>
      <c r="K57" s="1" t="str">
        <f ca="1">IFERROR(__xludf.DUMMYFUNCTION("""COMPUTED_VALUE"""),"Iglesia Bautista ""El Calvario""")</f>
        <v>Iglesia Bautista "El Calvario"</v>
      </c>
      <c r="L57" s="1" t="str">
        <f ca="1">IFERROR(__xludf.DUMMYFUNCTION("""COMPUTED_VALUE"""),"Marco A. Garcia")</f>
        <v>Marco A. Garcia</v>
      </c>
      <c r="M57" s="1">
        <f ca="1">IFERROR(__xludf.DUMMYFUNCTION("""COMPUTED_VALUE"""),528333504123)</f>
        <v>528333504123</v>
      </c>
      <c r="N57" s="1" t="str">
        <f ca="1">IFERROR(__xludf.DUMMYFUNCTION("""COMPUTED_VALUE"""),"Monitoreopastoral2022@gmail.com")</f>
        <v>Monitoreopastoral2022@gmail.com</v>
      </c>
      <c r="O57" s="1" t="str">
        <f ca="1">IFERROR(__xludf.DUMMYFUNCTION("""COMPUTED_VALUE"""),"ministerio Infantil")</f>
        <v>ministerio Infantil</v>
      </c>
      <c r="P57" s="1" t="str">
        <f ca="1">IFERROR(__xludf.DUMMYFUNCTION("""COMPUTED_VALUE"""),"Yo acepte a Jesús en mi corazón cuando era niña, lo acepte porque en un devocional venía la invitación, después de que me explicaron lo acepte")</f>
        <v>Yo acepte a Jesús en mi corazón cuando era niña, lo acepte porque en un devocional venía la invitación, después de que me explicaron lo acepte</v>
      </c>
      <c r="Q57" s="1" t="str">
        <f ca="1">IFERROR(__xludf.DUMMYFUNCTION("""COMPUTED_VALUE"""),"Me gustaría ir a servir y adquirir nuevas experiencias")</f>
        <v>Me gustaría ir a servir y adquirir nuevas experiencias</v>
      </c>
      <c r="R57" s="1" t="str">
        <f ca="1">IFERROR(__xludf.DUMMYFUNCTION("""COMPUTED_VALUE"""),"No")</f>
        <v>No</v>
      </c>
      <c r="S57" s="1"/>
      <c r="T57" s="1" t="str">
        <f ca="1">IFERROR(__xludf.DUMMYFUNCTION("""COMPUTED_VALUE"""),"Si")</f>
        <v>Si</v>
      </c>
      <c r="U57" s="1" t="str">
        <f ca="1">IFERROR(__xludf.DUMMYFUNCTION("""COMPUTED_VALUE"""),"Empecé a aprender a tocar viola")</f>
        <v>Empecé a aprender a tocar viola</v>
      </c>
      <c r="V57" s="1" t="str">
        <f ca="1">IFERROR(__xludf.DUMMYFUNCTION("""COMPUTED_VALUE"""),"Estudio el bachillerato con énfasis en música y artes")</f>
        <v>Estudio el bachillerato con énfasis en música y artes</v>
      </c>
      <c r="W57" s="1" t="str">
        <f ca="1">IFERROR(__xludf.DUMMYFUNCTION("""COMPUTED_VALUE"""),"Soy buena con las manualidades, me gusta cocinar,")</f>
        <v>Soy buena con las manualidades, me gusta cocinar,</v>
      </c>
      <c r="X57" s="1" t="str">
        <f ca="1">IFERROR(__xludf.DUMMYFUNCTION("""COMPUTED_VALUE"""),"A. Soy un discipulador activo, B. Me gusta animar a las personas, C. Suelo buscar que el trabajo se realice en equipo, D. Me gustan los deportes, E. Me gusta el trabajo con niños, I. Se me facilita el trabajo físico, K. Soy creativo (a), L. Soy bueno (a) "&amp;"en canto o algún instrumento, M. Soy bueno (a) con los números, N. Suelo llevar el liderazgo en un grupo, O. Puedo enseñar con facilidad")</f>
        <v>A. Soy un discipulador activo, B. Me gusta animar a las personas, C. Suelo buscar que el trabajo se realice en equipo, D. Me gustan los deportes, E. Me gusta el trabajo con niños, I. Se me facilita el trabajo físico, K. Soy creativo (a), L. Soy bueno (a) en canto o algún instrumento, M. Soy bueno (a) con los números, N. Suelo llevar el liderazgo en un grupo, O. Puedo enseñar con facilidad</v>
      </c>
      <c r="Y57" s="1" t="str">
        <f ca="1">IFERROR(__xludf.DUMMYFUNCTION("""COMPUTED_VALUE"""),"Si, en el 2021 y 2022")</f>
        <v>Si, en el 2021 y 2022</v>
      </c>
      <c r="Z57" s="1"/>
    </row>
    <row r="58" spans="1:26" x14ac:dyDescent="0.35">
      <c r="A58" s="2">
        <f ca="1">IFERROR(__xludf.DUMMYFUNCTION("""COMPUTED_VALUE"""),45787.5233912037)</f>
        <v>45787.5233912037</v>
      </c>
      <c r="B58" s="1"/>
      <c r="C58" s="1" t="str">
        <f ca="1">IFERROR(__xludf.DUMMYFUNCTION("""COMPUTED_VALUE"""),"Feve, Hernandez Perez")</f>
        <v>Feve, Hernandez Perez</v>
      </c>
      <c r="D58" s="1">
        <f ca="1">IFERROR(__xludf.DUMMYFUNCTION("""COMPUTED_VALUE"""),50)</f>
        <v>50</v>
      </c>
      <c r="E58" s="1" t="str">
        <f ca="1">IFERROR(__xludf.DUMMYFUNCTION("""COMPUTED_VALUE"""),"Mujer")</f>
        <v>Mujer</v>
      </c>
      <c r="F58" s="1" t="str">
        <f ca="1">IFERROR(__xludf.DUMMYFUNCTION("""COMPUTED_VALUE"""),"Mexico City, Mexico")</f>
        <v>Mexico City, Mexico</v>
      </c>
      <c r="G58" s="1" t="str">
        <f ca="1">IFERROR(__xludf.DUMMYFUNCTION("""COMPUTED_VALUE"""),"novfeve@gmail.com")</f>
        <v>novfeve@gmail.com</v>
      </c>
      <c r="H58" s="1">
        <f ca="1">IFERROR(__xludf.DUMMYFUNCTION("""COMPUTED_VALUE"""),525516256146)</f>
        <v>525516256146</v>
      </c>
      <c r="I58" s="1" t="str">
        <f ca="1">IFERROR(__xludf.DUMMYFUNCTION("""COMPUTED_VALUE"""),"Semana de niños y niñas (21-25) Julio")</f>
        <v>Semana de niños y niñas (21-25) Julio</v>
      </c>
      <c r="J58" s="1" t="str">
        <f ca="1">IFERROR(__xludf.DUMMYFUNCTION("""COMPUTED_VALUE"""),"Pan diario")</f>
        <v>Pan diario</v>
      </c>
      <c r="K58" s="1" t="str">
        <f ca="1">IFERROR(__xludf.DUMMYFUNCTION("""COMPUTED_VALUE"""),"Iglesia Presbiteriana Ammi Shaddai")</f>
        <v>Iglesia Presbiteriana Ammi Shaddai</v>
      </c>
      <c r="L58" s="1" t="str">
        <f ca="1">IFERROR(__xludf.DUMMYFUNCTION("""COMPUTED_VALUE"""),"Hector Mendoza")</f>
        <v>Hector Mendoza</v>
      </c>
      <c r="M58" s="1">
        <f ca="1">IFERROR(__xludf.DUMMYFUNCTION("""COMPUTED_VALUE"""),525564831567)</f>
        <v>525564831567</v>
      </c>
      <c r="N58" s="1" t="str">
        <f ca="1">IFERROR(__xludf.DUMMYFUNCTION("""COMPUTED_VALUE"""),"hmend68@gmail.com")</f>
        <v>hmend68@gmail.com</v>
      </c>
      <c r="O58" s="1" t="str">
        <f ca="1">IFERROR(__xludf.DUMMYFUNCTION("""COMPUTED_VALUE"""),"Maestra de Escuela dominical")</f>
        <v>Maestra de Escuela dominical</v>
      </c>
      <c r="P58" s="1" t="str">
        <f ca="1">IFERROR(__xludf.DUMMYFUNCTION("""COMPUTED_VALUE"""),"A los 12 años recibí a Jesús y como mi salvador y seguridad de salvacion y los 17 años consagre mi vida a Dios y a los 27 años fui a estudiar al Instituto Palabra de Vida por 3 años, y trabaje desde entonces en iglesias , discipulado y entrenando a chicas"&amp;" para ser maestras de escuela dominical")</f>
        <v>A los 12 años recibí a Jesús y como mi salvador y seguridad de salvacion y los 17 años consagre mi vida a Dios y a los 27 años fui a estudiar al Instituto Palabra de Vida por 3 años, y trabaje desde entonces en iglesias , discipulado y entrenando a chicas para ser maestras de escuela dominical</v>
      </c>
      <c r="Q58" s="1" t="str">
        <f ca="1">IFERROR(__xludf.DUMMYFUNCTION("""COMPUTED_VALUE"""),"Por que quiero ser parte de la bendición de la vida de los niños  y como Dios toca sus corazones y servir a Dios que me ayudo y me salvo, ser de ayuda a otros")</f>
        <v>Por que quiero ser parte de la bendición de la vida de los niños  y como Dios toca sus corazones y servir a Dios que me ayudo y me salvo, ser de ayuda a otros</v>
      </c>
      <c r="R58" s="1" t="str">
        <f ca="1">IFERROR(__xludf.DUMMYFUNCTION("""COMPUTED_VALUE"""),"Si")</f>
        <v>Si</v>
      </c>
      <c r="S58" s="1" t="str">
        <f ca="1">IFERROR(__xludf.DUMMYFUNCTION("""COMPUTED_VALUE"""),"volibol, básquet")</f>
        <v>volibol, básquet</v>
      </c>
      <c r="T58" s="1" t="str">
        <f ca="1">IFERROR(__xludf.DUMMYFUNCTION("""COMPUTED_VALUE"""),"No")</f>
        <v>No</v>
      </c>
      <c r="U58" s="1"/>
      <c r="V58" s="1" t="str">
        <f ca="1">IFERROR(__xludf.DUMMYFUNCTION("""COMPUTED_VALUE"""),"Termine Maestra en Educación")</f>
        <v>Termine Maestra en Educación</v>
      </c>
      <c r="W58" s="1" t="str">
        <f ca="1">IFERROR(__xludf.DUMMYFUNCTION("""COMPUTED_VALUE"""),"Lic en Administración de Empresa, trabaje muchos años en un consultorio medico")</f>
        <v>Lic en Administración de Empresa, trabaje muchos años en un consultorio medico</v>
      </c>
      <c r="X58" s="1" t="str">
        <f ca="1">IFERROR(__xludf.DUMMYFUNCTION("""COMPUTED_VALUE"""),"A. Soy un discipulador activo, B. Me gusta animar a las personas, E. Me gusta el trabajo con niños, H. Soy organizado (a), J. Me gusta la atención a las personas, O. Puedo enseñar con facilidad")</f>
        <v>A. Soy un discipulador activo, B. Me gusta animar a las personas, E. Me gusta el trabajo con niños, H. Soy organizado (a), J. Me gusta la atención a las personas, O. Puedo enseñar con facilidad</v>
      </c>
      <c r="Y58" s="1" t="str">
        <f ca="1">IFERROR(__xludf.DUMMYFUNCTION("""COMPUTED_VALUE"""),"SI muchas años")</f>
        <v>SI muchas años</v>
      </c>
      <c r="Z58" s="1"/>
    </row>
    <row r="59" spans="1:26" x14ac:dyDescent="0.35">
      <c r="A59" s="2">
        <f ca="1">IFERROR(__xludf.DUMMYFUNCTION("""COMPUTED_VALUE"""),45788.6586342592)</f>
        <v>45788.658634259198</v>
      </c>
      <c r="B59" s="1"/>
      <c r="C59" s="1" t="str">
        <f ca="1">IFERROR(__xludf.DUMMYFUNCTION("""COMPUTED_VALUE"""),"Bruno, Guerrero Perez")</f>
        <v>Bruno, Guerrero Perez</v>
      </c>
      <c r="D59" s="1">
        <f ca="1">IFERROR(__xludf.DUMMYFUNCTION("""COMPUTED_VALUE"""),18)</f>
        <v>18</v>
      </c>
      <c r="E59" s="1" t="str">
        <f ca="1">IFERROR(__xludf.DUMMYFUNCTION("""COMPUTED_VALUE"""),"Hombre")</f>
        <v>Hombre</v>
      </c>
      <c r="F59" s="1" t="str">
        <f ca="1">IFERROR(__xludf.DUMMYFUNCTION("""COMPUTED_VALUE"""),"Puebla, Mexico")</f>
        <v>Puebla, Mexico</v>
      </c>
      <c r="G59" s="1" t="str">
        <f ca="1">IFERROR(__xludf.DUMMYFUNCTION("""COMPUTED_VALUE"""),"guerrerob06@gmail.com")</f>
        <v>guerrerob06@gmail.com</v>
      </c>
      <c r="H59" s="1">
        <f ca="1">IFERROR(__xludf.DUMMYFUNCTION("""COMPUTED_VALUE"""),522227357401)</f>
        <v>522227357401</v>
      </c>
      <c r="I59" s="1" t="str">
        <f ca="1">IFERROR(__xludf.DUMMYFUNCTION("""COMPUTED_VALUE"""),"Toda la temporada (07 de Julio al 16 de agosto)")</f>
        <v>Toda la temporada (07 de Julio al 16 de agosto)</v>
      </c>
      <c r="J59" s="1" t="str">
        <f ca="1">IFERROR(__xludf.DUMMYFUNCTION("""COMPUTED_VALUE"""),"Una vida con propósito")</f>
        <v>Una vida con propósito</v>
      </c>
      <c r="K59" s="1" t="str">
        <f ca="1">IFERROR(__xludf.DUMMYFUNCTION("""COMPUTED_VALUE"""),"Jesús Salvador del Mundo")</f>
        <v>Jesús Salvador del Mundo</v>
      </c>
      <c r="L59" s="1" t="str">
        <f ca="1">IFERROR(__xludf.DUMMYFUNCTION("""COMPUTED_VALUE"""),"René Herrera Ramiro")</f>
        <v>René Herrera Ramiro</v>
      </c>
      <c r="M59" s="1">
        <f ca="1">IFERROR(__xludf.DUMMYFUNCTION("""COMPUTED_VALUE"""),522223106178)</f>
        <v>522223106178</v>
      </c>
      <c r="N59" s="1" t="str">
        <f ca="1">IFERROR(__xludf.DUMMYFUNCTION("""COMPUTED_VALUE"""),"herreramuebles@gmail.com")</f>
        <v>herreramuebles@gmail.com</v>
      </c>
      <c r="O59" s="1" t="str">
        <f ca="1">IFERROR(__xludf.DUMMYFUNCTION("""COMPUTED_VALUE"""),"Ministerio de Alabanza")</f>
        <v>Ministerio de Alabanza</v>
      </c>
      <c r="P59" s="1" t="str">
        <f ca="1">IFERROR(__xludf.DUMMYFUNCTION("""COMPUTED_VALUE"""),"Como tal voy a la iglesia desde los 3 años 
Pero fue a los 8 que en un día del niño en mi iglesia entendí lo q Jesús hizo por mi y fue cuando lo acepté en mi corazón…")</f>
        <v>Como tal voy a la iglesia desde los 3 años 
Pero fue a los 8 que en un día del niño en mi iglesia entendí lo q Jesús hizo por mi y fue cuando lo acepté en mi corazón…</v>
      </c>
      <c r="Q59" s="1" t="str">
        <f ca="1">IFERROR(__xludf.DUMMYFUNCTION("""COMPUTED_VALUE"""),"Deseo ser parte por q ya he ido como campero pero esta vez me gustaría servir con todos, y aportar lo q pueda a este campamento")</f>
        <v>Deseo ser parte por q ya he ido como campero pero esta vez me gustaría servir con todos, y aportar lo q pueda a este campamento</v>
      </c>
      <c r="R59" s="1" t="str">
        <f ca="1">IFERROR(__xludf.DUMMYFUNCTION("""COMPUTED_VALUE"""),"No")</f>
        <v>No</v>
      </c>
      <c r="S59" s="1"/>
      <c r="T59" s="1" t="str">
        <f ca="1">IFERROR(__xludf.DUMMYFUNCTION("""COMPUTED_VALUE"""),"Si")</f>
        <v>Si</v>
      </c>
      <c r="U59" s="1" t="str">
        <f ca="1">IFERROR(__xludf.DUMMYFUNCTION("""COMPUTED_VALUE"""),"Guitarra acústica, eléctrica y Bajo")</f>
        <v>Guitarra acústica, eléctrica y Bajo</v>
      </c>
      <c r="V59" s="1" t="str">
        <f ca="1">IFERROR(__xludf.DUMMYFUNCTION("""COMPUTED_VALUE"""),"Estudio ingeniería en Audio")</f>
        <v>Estudio ingeniería en Audio</v>
      </c>
      <c r="W59" s="1" t="str">
        <f ca="1">IFERROR(__xludf.DUMMYFUNCTION("""COMPUTED_VALUE"""),"Tocar guitarra")</f>
        <v>Tocar guitarra</v>
      </c>
      <c r="X59" s="1" t="str">
        <f ca="1">IFERROR(__xludf.DUMMYFUNCTION("""COMPUTED_VALUE"""),"B. Me gusta animar a las personas, E. Me gusta el trabajo con niños, J. Me gusta la atención a las personas, L. Soy bueno (a) en canto o algún instrumento, M. Soy bueno (a) con los números, N. Suelo llevar el liderazgo en un grupo")</f>
        <v>B. Me gusta animar a las personas, E. Me gusta el trabajo con niños, J. Me gusta la atención a las personas, L. Soy bueno (a) en canto o algún instrumento, M. Soy bueno (a) con los números, N. Suelo llevar el liderazgo en un grupo</v>
      </c>
      <c r="Y59" s="1">
        <f ca="1">IFERROR(__xludf.DUMMYFUNCTION("""COMPUTED_VALUE"""),2023)</f>
        <v>2023</v>
      </c>
      <c r="Z59" s="1"/>
    </row>
    <row r="60" spans="1:26" x14ac:dyDescent="0.35">
      <c r="A60" s="2">
        <f ca="1">IFERROR(__xludf.DUMMYFUNCTION("""COMPUTED_VALUE"""),45789.800162037)</f>
        <v>45789.800162036998</v>
      </c>
      <c r="B60" s="1"/>
      <c r="C60" s="1" t="str">
        <f ca="1">IFERROR(__xludf.DUMMYFUNCTION("""COMPUTED_VALUE"""),"Alistair, Stufflet")</f>
        <v>Alistair, Stufflet</v>
      </c>
      <c r="D60" s="1">
        <f ca="1">IFERROR(__xludf.DUMMYFUNCTION("""COMPUTED_VALUE"""),18)</f>
        <v>18</v>
      </c>
      <c r="E60" s="1" t="str">
        <f ca="1">IFERROR(__xludf.DUMMYFUNCTION("""COMPUTED_VALUE"""),"Hombre")</f>
        <v>Hombre</v>
      </c>
      <c r="F60" s="1" t="str">
        <f ca="1">IFERROR(__xludf.DUMMYFUNCTION("""COMPUTED_VALUE"""),"North Carolina, United States")</f>
        <v>North Carolina, United States</v>
      </c>
      <c r="G60" s="1" t="str">
        <f ca="1">IFERROR(__xludf.DUMMYFUNCTION("""COMPUTED_VALUE"""),"ajstuffy@gmail.com")</f>
        <v>ajstuffy@gmail.com</v>
      </c>
      <c r="H60" s="1">
        <f ca="1">IFERROR(__xludf.DUMMYFUNCTION("""COMPUTED_VALUE"""),17047964599)</f>
        <v>17047964599</v>
      </c>
      <c r="I60" s="1" t="str">
        <f ca="1">IFERROR(__xludf.DUMMYFUNCTION("""COMPUTED_VALUE"""),"Semana de niños y niñas (21-25) Julio, Jóvenes de 13 – 17 años / SEM1/ (28 Julio a 02 de agosto)")</f>
        <v>Semana de niños y niñas (21-25) Julio, Jóvenes de 13 – 17 años / SEM1/ (28 Julio a 02 de agosto)</v>
      </c>
      <c r="J60" s="1" t="str">
        <f ca="1">IFERROR(__xludf.DUMMYFUNCTION("""COMPUTED_VALUE"""),"Bible in a Year con the bible app")</f>
        <v>Bible in a Year con the bible app</v>
      </c>
      <c r="K60" s="1" t="str">
        <f ca="1">IFERROR(__xludf.DUMMYFUNCTION("""COMPUTED_VALUE"""),"Iglesia Vida")</f>
        <v>Iglesia Vida</v>
      </c>
      <c r="L60" s="1" t="str">
        <f ca="1">IFERROR(__xludf.DUMMYFUNCTION("""COMPUTED_VALUE"""),"Neftalí Rubio")</f>
        <v>Neftalí Rubio</v>
      </c>
      <c r="M60" s="1">
        <f ca="1">IFERROR(__xludf.DUMMYFUNCTION("""COMPUTED_VALUE"""),524411036024)</f>
        <v>524411036024</v>
      </c>
      <c r="N60" s="1" t="str">
        <f ca="1">IFERROR(__xludf.DUMMYFUNCTION("""COMPUTED_VALUE"""),"nefaly@gmail.com")</f>
        <v>nefaly@gmail.com</v>
      </c>
      <c r="O60" s="1" t="str">
        <f ca="1">IFERROR(__xludf.DUMMYFUNCTION("""COMPUTED_VALUE"""),"Ministerio de estudiantes, lider de jovenes")</f>
        <v>Ministerio de estudiantes, lider de jovenes</v>
      </c>
      <c r="P60" s="1" t="str">
        <f ca="1">IFERROR(__xludf.DUMMYFUNCTION("""COMPUTED_VALUE"""),"Antes de conocer a Cristo, estaba tratando de encontrar propósito en muchas partes pero todas se sentían vasias. Pero después conocí una chica que me guío a la iglesia y empecé a considerar seriamente dar mi vida a Cristo. Después de ser aconsejado por un"&amp;" tiempo eventualmente decidí seguir a Cristo. Y ahora mi vida tiene un propósito y Dios me ha dado valor.")</f>
        <v>Antes de conocer a Cristo, estaba tratando de encontrar propósito en muchas partes pero todas se sentían vasias. Pero después conocí una chica que me guío a la iglesia y empecé a considerar seriamente dar mi vida a Cristo. Después de ser aconsejado por un tiempo eventualmente decidí seguir a Cristo. Y ahora mi vida tiene un propósito y Dios me ha dado valor.</v>
      </c>
      <c r="Q60" s="1" t="str">
        <f ca="1">IFERROR(__xludf.DUMMYFUNCTION("""COMPUTED_VALUE"""),"Para poder servir en otro país y crecer en mi relación con Cristo")</f>
        <v>Para poder servir en otro país y crecer en mi relación con Cristo</v>
      </c>
      <c r="R60" s="1" t="str">
        <f ca="1">IFERROR(__xludf.DUMMYFUNCTION("""COMPUTED_VALUE"""),"Si")</f>
        <v>Si</v>
      </c>
      <c r="S60" s="1" t="str">
        <f ca="1">IFERROR(__xludf.DUMMYFUNCTION("""COMPUTED_VALUE"""),"Fútbol, fútbol americano, y otros")</f>
        <v>Fútbol, fútbol americano, y otros</v>
      </c>
      <c r="T60" s="1" t="str">
        <f ca="1">IFERROR(__xludf.DUMMYFUNCTION("""COMPUTED_VALUE"""),"No")</f>
        <v>No</v>
      </c>
      <c r="U60" s="1"/>
      <c r="V60" s="1" t="str">
        <f ca="1">IFERROR(__xludf.DUMMYFUNCTION("""COMPUTED_VALUE"""),"Educación básica superior")</f>
        <v>Educación básica superior</v>
      </c>
      <c r="W60" s="1" t="str">
        <f ca="1">IFERROR(__xludf.DUMMYFUNCTION("""COMPUTED_VALUE"""),"Soy un maquinista, trabajo con machinas y caros")</f>
        <v>Soy un maquinista, trabajo con machinas y caros</v>
      </c>
      <c r="X60" s="1" t="str">
        <f ca="1">IFERROR(__xludf.DUMMYFUNCTION("""COMPUTED_VALUE"""),"A. Soy un discipulador activo, B. Me gusta animar a las personas, C. Suelo buscar que el trabajo se realice en equipo, D. Me gustan los deportes, F. Soy eficiente en el trabajo con herramientas, equipos y maquinarias, J. Me gusta la atención a las persona"&amp;"s, M. Soy bueno (a) con los números")</f>
        <v>A. Soy un discipulador activo, B. Me gusta animar a las personas, C. Suelo buscar que el trabajo se realice en equipo, D. Me gustan los deportes, F. Soy eficiente en el trabajo con herramientas, equipos y maquinarias, J. Me gusta la atención a las personas, M. Soy bueno (a) con los números</v>
      </c>
      <c r="Y60" s="1" t="str">
        <f ca="1">IFERROR(__xludf.DUMMYFUNCTION("""COMPUTED_VALUE"""),"No")</f>
        <v>No</v>
      </c>
      <c r="Z60" s="1"/>
    </row>
    <row r="61" spans="1:26" x14ac:dyDescent="0.35">
      <c r="A61" s="2">
        <f ca="1">IFERROR(__xludf.DUMMYFUNCTION("""COMPUTED_VALUE"""),45790.4993055555)</f>
        <v>45790.499305555502</v>
      </c>
      <c r="B61" s="1"/>
      <c r="C61" s="1" t="str">
        <f ca="1">IFERROR(__xludf.DUMMYFUNCTION("""COMPUTED_VALUE"""),"Jovanna Zoar, Franco Lara")</f>
        <v>Jovanna Zoar, Franco Lara</v>
      </c>
      <c r="D61" s="1">
        <f ca="1">IFERROR(__xludf.DUMMYFUNCTION("""COMPUTED_VALUE"""),14)</f>
        <v>14</v>
      </c>
      <c r="E61" s="1" t="str">
        <f ca="1">IFERROR(__xludf.DUMMYFUNCTION("""COMPUTED_VALUE"""),"Mujer")</f>
        <v>Mujer</v>
      </c>
      <c r="F61" s="1" t="str">
        <f ca="1">IFERROR(__xludf.DUMMYFUNCTION("""COMPUTED_VALUE"""),"Tamaulipas, Mexico")</f>
        <v>Tamaulipas, Mexico</v>
      </c>
      <c r="G61" s="1" t="str">
        <f ca="1">IFERROR(__xludf.DUMMYFUNCTION("""COMPUTED_VALUE"""),"jovannazoar@gmail.com")</f>
        <v>jovannazoar@gmail.com</v>
      </c>
      <c r="H61" s="1">
        <f ca="1">IFERROR(__xludf.DUMMYFUNCTION("""COMPUTED_VALUE"""),47608)</f>
        <v>47608</v>
      </c>
      <c r="I61" s="1" t="str">
        <f ca="1">IFERROR(__xludf.DUMMYFUNCTION("""COMPUTED_VALUE"""),"Semana de entrenamiento (07 - 13) Julio, Comunidad Jóvenes + 18 (14-19) Julio, Semana de niños y niñas (21-25) Julio, Jóvenes de 13 – 17 años / SEM1/ (28 Julio a 02 de agosto), Jóvenes de 13 – 17 años / SEM2/ (4 - 09 agosto)")</f>
        <v>Semana de entrenamiento (07 - 13) Julio, Comunidad Jóvenes + 18 (14-19) Julio, Semana de niños y niñas (21-25) Julio, Jóvenes de 13 – 17 años / SEM1/ (28 Julio a 02 de agosto), Jóvenes de 13 – 17 años / SEM2/ (4 - 09 agosto)</v>
      </c>
      <c r="J61" s="1" t="str">
        <f ca="1">IFERROR(__xludf.DUMMYFUNCTION("""COMPUTED_VALUE"""),"Devocional en linea y leer la biblia en personal")</f>
        <v>Devocional en linea y leer la biblia en personal</v>
      </c>
      <c r="K61" s="1" t="str">
        <f ca="1">IFERROR(__xludf.DUMMYFUNCTION("""COMPUTED_VALUE"""),"Iglesia Biblica Gracia Sobre Gracia")</f>
        <v>Iglesia Biblica Gracia Sobre Gracia</v>
      </c>
      <c r="L61" s="1" t="str">
        <f ca="1">IFERROR(__xludf.DUMMYFUNCTION("""COMPUTED_VALUE"""),"Edgar Franco")</f>
        <v>Edgar Franco</v>
      </c>
      <c r="M61" s="1">
        <f ca="1">IFERROR(__xludf.DUMMYFUNCTION("""COMPUTED_VALUE"""),528331768824)</f>
        <v>528331768824</v>
      </c>
      <c r="N61" s="1" t="str">
        <f ca="1">IFERROR(__xludf.DUMMYFUNCTION("""COMPUTED_VALUE"""),"edgar.franco83@gmail.com")</f>
        <v>edgar.franco83@gmail.com</v>
      </c>
      <c r="O61" s="1" t="str">
        <f ca="1">IFERROR(__xludf.DUMMYFUNCTION("""COMPUTED_VALUE"""),"Maestra de niños, entrenadora de olimpicos, apoyo en el coub biblico, integrante del grupo de alabanza")</f>
        <v>Maestra de niños, entrenadora de olimpicos, apoyo en el coub biblico, integrante del grupo de alabanza</v>
      </c>
      <c r="P61" s="1" t="str">
        <f ca="1">IFERROR(__xludf.DUMMYFUNCTION("""COMPUTED_VALUE"""),"Yo creci en cuna cristiana, y por lo tanto, iba siempre a la iglesia. Pero nunca me senti suficiente, aceptada, y siempre me excluian. Asi que empecé a depender de la aceptacion de la gente para ""sentirme bien"". Viví asi por lo menos 7 años. Hasta que u"&amp;"n dia toda mi ""vida perfecta"" que yo aparentaba se derrumbo. mi mejor amigo de ese tiempo me traiciono y todos mis demas amigos se fueron con el. Perdi la confianza de mis padres y me quede sola, no tenia a nadie. Me sentia muy mal asi que le pedi al Se"&amp;"ñor que me ayudara porque yo no podia sola. El Señor envio a una persona muy especial que me recordo y afirmo el evangelio. Esa noche vine a los pies de Cristo y le solte toda mis cargas a el.")</f>
        <v>Yo creci en cuna cristiana, y por lo tanto, iba siempre a la iglesia. Pero nunca me senti suficiente, aceptada, y siempre me excluian. Asi que empecé a depender de la aceptacion de la gente para "sentirme bien". Viví asi por lo menos 7 años. Hasta que un dia toda mi "vida perfecta" que yo aparentaba se derrumbo. mi mejor amigo de ese tiempo me traiciono y todos mis demas amigos se fueron con el. Perdi la confianza de mis padres y me quede sola, no tenia a nadie. Me sentia muy mal asi que le pedi al Señor que me ayudara porque yo no podia sola. El Señor envio a una persona muy especial que me recordo y afirmo el evangelio. Esa noche vine a los pies de Cristo y le solte toda mis cargas a el.</v>
      </c>
      <c r="Q61" s="1" t="str">
        <f ca="1">IFERROR(__xludf.DUMMYFUNCTION("""COMPUTED_VALUE"""),"Quiero vivir la experiencia de servir al Señor a gente de todas partes de México,  junto con personas igual de apasionadas por Cristo que me impulse y guien a continuar trabajando en la obra de Cristo.")</f>
        <v>Quiero vivir la experiencia de servir al Señor a gente de todas partes de México,  junto con personas igual de apasionadas por Cristo que me impulse y guien a continuar trabajando en la obra de Cristo.</v>
      </c>
      <c r="R61" s="1" t="str">
        <f ca="1">IFERROR(__xludf.DUMMYFUNCTION("""COMPUTED_VALUE"""),"Si")</f>
        <v>Si</v>
      </c>
      <c r="S61" s="1" t="str">
        <f ca="1">IFERROR(__xludf.DUMMYFUNCTION("""COMPUTED_VALUE"""),"Basketball")</f>
        <v>Basketball</v>
      </c>
      <c r="T61" s="1" t="str">
        <f ca="1">IFERROR(__xludf.DUMMYFUNCTION("""COMPUTED_VALUE"""),"Si")</f>
        <v>Si</v>
      </c>
      <c r="U61" s="1" t="str">
        <f ca="1">IFERROR(__xludf.DUMMYFUNCTION("""COMPUTED_VALUE"""),"Piano y bajo")</f>
        <v>Piano y bajo</v>
      </c>
      <c r="V61" s="1" t="str">
        <f ca="1">IFERROR(__xludf.DUMMYFUNCTION("""COMPUTED_VALUE"""),"Estoy por salir de la Secundaria")</f>
        <v>Estoy por salir de la Secundaria</v>
      </c>
      <c r="W61" s="1" t="str">
        <f ca="1">IFERROR(__xludf.DUMMYFUNCTION("""COMPUTED_VALUE"""),"Toco piano")</f>
        <v>Toco piano</v>
      </c>
      <c r="X61" s="1" t="str">
        <f ca="1">IFERROR(__xludf.DUMMYFUNCTION("""COMPUTED_VALUE"""),"D. Me gustan los deportes, E. Me gusta el trabajo con niños, G. Soy más eficiente en el trabajo individual, H. Soy organizado (a), K. Soy creativo (a), L. Soy bueno (a) en canto o algún instrumento")</f>
        <v>D. Me gustan los deportes, E. Me gusta el trabajo con niños, G. Soy más eficiente en el trabajo individual, H. Soy organizado (a), K. Soy creativo (a), L. Soy bueno (a) en canto o algún instrumento</v>
      </c>
      <c r="Y61" s="1" t="str">
        <f ca="1">IFERROR(__xludf.DUMMYFUNCTION("""COMPUTED_VALUE"""),"En los campamentos del 2022, 2023, y 2024")</f>
        <v>En los campamentos del 2022, 2023, y 2024</v>
      </c>
      <c r="Z61" s="1"/>
    </row>
    <row r="62" spans="1:26" x14ac:dyDescent="0.35">
      <c r="A62" s="2">
        <f ca="1">IFERROR(__xludf.DUMMYFUNCTION("""COMPUTED_VALUE"""),45792.8372569444)</f>
        <v>45792.837256944404</v>
      </c>
      <c r="B62" s="1"/>
      <c r="C62" s="1" t="str">
        <f ca="1">IFERROR(__xludf.DUMMYFUNCTION("""COMPUTED_VALUE"""),"Aranzazu, Leonor Flores")</f>
        <v>Aranzazu, Leonor Flores</v>
      </c>
      <c r="D62" s="1">
        <f ca="1">IFERROR(__xludf.DUMMYFUNCTION("""COMPUTED_VALUE"""),17)</f>
        <v>17</v>
      </c>
      <c r="E62" s="1" t="str">
        <f ca="1">IFERROR(__xludf.DUMMYFUNCTION("""COMPUTED_VALUE"""),"Mujer")</f>
        <v>Mujer</v>
      </c>
      <c r="F62" s="1" t="str">
        <f ca="1">IFERROR(__xludf.DUMMYFUNCTION("""COMPUTED_VALUE"""),"Jalisco, Mexico")</f>
        <v>Jalisco, Mexico</v>
      </c>
      <c r="G62" s="1" t="str">
        <f ca="1">IFERROR(__xludf.DUMMYFUNCTION("""COMPUTED_VALUE"""),"aranzalf1102@gmail.com")</f>
        <v>aranzalf1102@gmail.com</v>
      </c>
      <c r="H62" s="1">
        <f ca="1">IFERROR(__xludf.DUMMYFUNCTION("""COMPUTED_VALUE"""),523322214982)</f>
        <v>523322214982</v>
      </c>
      <c r="I62" s="1" t="str">
        <f ca="1">IFERROR(__xludf.DUMMYFUNCTION("""COMPUTED_VALUE"""),"Toda la temporada (07 de Julio al 16 de agosto)")</f>
        <v>Toda la temporada (07 de Julio al 16 de agosto)</v>
      </c>
      <c r="J62" s="1" t="str">
        <f ca="1">IFERROR(__xludf.DUMMYFUNCTION("""COMPUTED_VALUE"""),"Hora silenciosa")</f>
        <v>Hora silenciosa</v>
      </c>
      <c r="K62" s="1" t="str">
        <f ca="1">IFERROR(__xludf.DUMMYFUNCTION("""COMPUTED_VALUE"""),"Iglesia Vida")</f>
        <v>Iglesia Vida</v>
      </c>
      <c r="L62" s="1" t="str">
        <f ca="1">IFERROR(__xludf.DUMMYFUNCTION("""COMPUTED_VALUE"""),"Neftali Rubio Bonilla")</f>
        <v>Neftali Rubio Bonilla</v>
      </c>
      <c r="M62" s="1">
        <f ca="1">IFERROR(__xludf.DUMMYFUNCTION("""COMPUTED_VALUE"""),524411036024)</f>
        <v>524411036024</v>
      </c>
      <c r="N62" s="1" t="str">
        <f ca="1">IFERROR(__xludf.DUMMYFUNCTION("""COMPUTED_VALUE"""),"neftaly@gmail.com")</f>
        <v>neftaly@gmail.com</v>
      </c>
      <c r="O62" s="1" t="str">
        <f ca="1">IFERROR(__xludf.DUMMYFUNCTION("""COMPUTED_VALUE"""),"Maestra en el ministerio de niños")</f>
        <v>Maestra en el ministerio de niños</v>
      </c>
      <c r="P62" s="1" t="str">
        <f ca="1">IFERROR(__xludf.DUMMYFUNCTION("""COMPUTED_VALUE"""),"Llegue a la iglesia por primera vez a los 5 años , mis papás se hicieron creyentes y fui escuchando y comprendiendo el plan de salvación conforme crecia , vi cómo Dios tranformaba la vida de mi familia y comence a servir , a tener esa necesidad de conocer"&amp;"lo más, y tome la decisión por convicción de aceptarlo como mi salvador, hasta el día de hoy Dios sigue trabajando en mi vida.")</f>
        <v>Llegue a la iglesia por primera vez a los 5 años , mis papás se hicieron creyentes y fui escuchando y comprendiendo el plan de salvación conforme crecia , vi cómo Dios tranformaba la vida de mi familia y comence a servir , a tener esa necesidad de conocerlo más, y tome la decisión por convicción de aceptarlo como mi salvador, hasta el día de hoy Dios sigue trabajando en mi vida.</v>
      </c>
      <c r="Q62" s="1" t="str">
        <f ca="1">IFERROR(__xludf.DUMMYFUNCTION("""COMPUTED_VALUE"""),"Porque el año pasado fui por primera vez parte del equipo por toda la temporada y Dios hablo mucho a mi vida y toco temas los cuales me hicieron regresar a mi iglesias con muchos retos de sanar y fortalecer aún más mi fé , además fue una de las experienci"&amp;"as más bonitas , que me permitio conocer amigos de la misma fé y aprender mas cosas sobre Dios y me gustaría volver a ser parte de nuevo está nueva temporada de campamento.")</f>
        <v>Porque el año pasado fui por primera vez parte del equipo por toda la temporada y Dios hablo mucho a mi vida y toco temas los cuales me hicieron regresar a mi iglesias con muchos retos de sanar y fortalecer aún más mi fé , además fue una de las experiencias más bonitas , que me permitio conocer amigos de la misma fé y aprender mas cosas sobre Dios y me gustaría volver a ser parte de nuevo está nueva temporada de campamento.</v>
      </c>
      <c r="R62" s="1" t="str">
        <f ca="1">IFERROR(__xludf.DUMMYFUNCTION("""COMPUTED_VALUE"""),"No")</f>
        <v>No</v>
      </c>
      <c r="S62" s="1"/>
      <c r="T62" s="1" t="str">
        <f ca="1">IFERROR(__xludf.DUMMYFUNCTION("""COMPUTED_VALUE"""),"No")</f>
        <v>No</v>
      </c>
      <c r="U62" s="1"/>
      <c r="V62" s="1" t="str">
        <f ca="1">IFERROR(__xludf.DUMMYFUNCTION("""COMPUTED_VALUE"""),"Estoy en mi último semestre de preparatoria")</f>
        <v>Estoy en mi último semestre de preparatoria</v>
      </c>
      <c r="W62" s="1" t="str">
        <f ca="1">IFERROR(__xludf.DUMMYFUNCTION("""COMPUTED_VALUE"""),"En mi iglesia estuve sirviendo en cafetería y el año pasado fui parte del area de cafetería y considero que tengo habilidad en el tema de cafetería,  ademas es algo que disfruto hacer  y también me encanta trabajar en el area  con niños")</f>
        <v>En mi iglesia estuve sirviendo en cafetería y el año pasado fui parte del area de cafetería y considero que tengo habilidad en el tema de cafetería,  ademas es algo que disfruto hacer  y también me encanta trabajar en el area  con niños</v>
      </c>
      <c r="X62" s="1" t="str">
        <f ca="1">IFERROR(__xludf.DUMMYFUNCTION("""COMPUTED_VALUE"""),"A. Soy un discipulador activo, B. Me gusta animar a las personas, C. Suelo buscar que el trabajo se realice en equipo, E. Me gusta el trabajo con niños, G. Soy más eficiente en el trabajo individual, H. Soy organizado (a), J. Me gusta la atención a las pe"&amp;"rsonas, N. Suelo llevar el liderazgo en un grupo, O. Puedo enseñar con facilidad")</f>
        <v>A. Soy un discipulador activo, B. Me gusta animar a las personas, C. Suelo buscar que el trabajo se realice en equipo, E. Me gusta el trabajo con niños, G. Soy más eficiente en el trabajo individual, H. Soy organizado (a), J. Me gusta la atención a las personas, N. Suelo llevar el liderazgo en un grupo, O. Puedo enseñar con facilidad</v>
      </c>
      <c r="Y62" s="1" t="str">
        <f ca="1">IFERROR(__xludf.DUMMYFUNCTION("""COMPUTED_VALUE"""),"Si , Authentic")</f>
        <v>Si , Authentic</v>
      </c>
      <c r="Z62" s="1"/>
    </row>
    <row r="63" spans="1:26" x14ac:dyDescent="0.35">
      <c r="A63" s="2">
        <f ca="1">IFERROR(__xludf.DUMMYFUNCTION("""COMPUTED_VALUE"""),45795.5217824074)</f>
        <v>45795.521782407399</v>
      </c>
      <c r="B63" s="1"/>
      <c r="C63" s="1" t="str">
        <f ca="1">IFERROR(__xludf.DUMMYFUNCTION("""COMPUTED_VALUE"""),"Luis Fernando, García Mendoza")</f>
        <v>Luis Fernando, García Mendoza</v>
      </c>
      <c r="D63" s="1">
        <f ca="1">IFERROR(__xludf.DUMMYFUNCTION("""COMPUTED_VALUE"""),21)</f>
        <v>21</v>
      </c>
      <c r="E63" s="1" t="str">
        <f ca="1">IFERROR(__xludf.DUMMYFUNCTION("""COMPUTED_VALUE"""),"Hombre")</f>
        <v>Hombre</v>
      </c>
      <c r="F63" s="1" t="str">
        <f ca="1">IFERROR(__xludf.DUMMYFUNCTION("""COMPUTED_VALUE"""),"Queretaro, Mexico")</f>
        <v>Queretaro, Mexico</v>
      </c>
      <c r="G63" s="1" t="str">
        <f ca="1">IFERROR(__xludf.DUMMYFUNCTION("""COMPUTED_VALUE"""),"luisgarciayo.lg@gmail.com")</f>
        <v>luisgarciayo.lg@gmail.com</v>
      </c>
      <c r="H63" s="1">
        <f ca="1">IFERROR(__xludf.DUMMYFUNCTION("""COMPUTED_VALUE"""),524423198762)</f>
        <v>524423198762</v>
      </c>
      <c r="I63" s="1" t="str">
        <f ca="1">IFERROR(__xludf.DUMMYFUNCTION("""COMPUTED_VALUE"""),"Toda la temporada (07 de Julio al 16 de agosto)")</f>
        <v>Toda la temporada (07 de Julio al 16 de agosto)</v>
      </c>
      <c r="J63" s="1" t="str">
        <f ca="1">IFERROR(__xludf.DUMMYFUNCTION("""COMPUTED_VALUE"""),"Por libro de la biblia")</f>
        <v>Por libro de la biblia</v>
      </c>
      <c r="K63" s="1" t="str">
        <f ca="1">IFERROR(__xludf.DUMMYFUNCTION("""COMPUTED_VALUE"""),"Iglesia cristiana Vid Central")</f>
        <v>Iglesia cristiana Vid Central</v>
      </c>
      <c r="L63" s="1" t="str">
        <f ca="1">IFERROR(__xludf.DUMMYFUNCTION("""COMPUTED_VALUE"""),"Nahum Álvarez")</f>
        <v>Nahum Álvarez</v>
      </c>
      <c r="M63" s="1">
        <f ca="1">IFERROR(__xludf.DUMMYFUNCTION("""COMPUTED_VALUE"""),524426198741)</f>
        <v>524426198741</v>
      </c>
      <c r="N63" s="1" t="str">
        <f ca="1">IFERROR(__xludf.DUMMYFUNCTION("""COMPUTED_VALUE"""),"Admonvidcentral10@gmail.com")</f>
        <v>Admonvidcentral10@gmail.com</v>
      </c>
      <c r="O63" s="1" t="str">
        <f ca="1">IFERROR(__xludf.DUMMYFUNCTION("""COMPUTED_VALUE"""),"Multimedia en luces, con jóvenes en un estudio")</f>
        <v>Multimedia en luces, con jóvenes en un estudio</v>
      </c>
      <c r="P63" s="1" t="str">
        <f ca="1">IFERROR(__xludf.DUMMYFUNCTION("""COMPUTED_VALUE"""),"Soy cristiano casi de cuna, mi mamá nos llevó a la iglesia desde mis 4 años y por toda mi niñez crecí dentro del entorno cristiano.
Cuando reconocí a Dios como mi salvador fue a los 11 años cuando yo estudiaba en primaria, en mi salón estaba pasando por m"&amp;"omentos difíciles los cuales les conté a mis padres, fue ahí donde ellos me guiaron en como buscar a cristo y en aceptar que él guía mi camino y me guarda del mal de este mundo.
Entonces pude aceptarlo como mi salvador y señor y vi el cambio en mi vida.
H"&amp;"e tenido recaídas y momentos de debilidad pero junto a Cristo siempre me guía de regreso a su camino y me acompaña en mi diario caminar.")</f>
        <v>Soy cristiano casi de cuna, mi mamá nos llevó a la iglesia desde mis 4 años y por toda mi niñez crecí dentro del entorno cristiano.
Cuando reconocí a Dios como mi salvador fue a los 11 años cuando yo estudiaba en primaria, en mi salón estaba pasando por momentos difíciles los cuales les conté a mis padres, fue ahí donde ellos me guiaron en como buscar a cristo y en aceptar que él guía mi camino y me guarda del mal de este mundo.
Entonces pude aceptarlo como mi salvador y señor y vi el cambio en mi vida.
He tenido recaídas y momentos de debilidad pero junto a Cristo siempre me guía de regreso a su camino y me acompaña en mi diario caminar.</v>
      </c>
      <c r="Q63" s="1" t="str">
        <f ca="1">IFERROR(__xludf.DUMMYFUNCTION("""COMPUTED_VALUE"""),"Tener la oportunidad de brindar mi servicio a Dios durante la temporada de campamento es mi forma de mostrarle mi gratitud por todo lo que él ha hecho por mi, por la salud y buena vida que él me provee")</f>
        <v>Tener la oportunidad de brindar mi servicio a Dios durante la temporada de campamento es mi forma de mostrarle mi gratitud por todo lo que él ha hecho por mi, por la salud y buena vida que él me provee</v>
      </c>
      <c r="R63" s="1" t="str">
        <f ca="1">IFERROR(__xludf.DUMMYFUNCTION("""COMPUTED_VALUE"""),"Si")</f>
        <v>Si</v>
      </c>
      <c r="S63" s="1" t="str">
        <f ca="1">IFERROR(__xludf.DUMMYFUNCTION("""COMPUTED_VALUE"""),"Voleibol")</f>
        <v>Voleibol</v>
      </c>
      <c r="T63" s="1" t="str">
        <f ca="1">IFERROR(__xludf.DUMMYFUNCTION("""COMPUTED_VALUE"""),"No")</f>
        <v>No</v>
      </c>
      <c r="U63" s="1"/>
      <c r="V63" s="1" t="str">
        <f ca="1">IFERROR(__xludf.DUMMYFUNCTION("""COMPUTED_VALUE"""),"Estudié ingeniería Química")</f>
        <v>Estudié ingeniería Química</v>
      </c>
      <c r="W63" s="1" t="str">
        <f ca="1">IFERROR(__xludf.DUMMYFUNCTION("""COMPUTED_VALUE"""),"Sé un poco de electrica, un poco de herramientas manuales, mi trabajo es un trabajo de oficina, entreno voli")</f>
        <v>Sé un poco de electrica, un poco de herramientas manuales, mi trabajo es un trabajo de oficina, entreno voli</v>
      </c>
      <c r="X63" s="1" t="str">
        <f ca="1">IFERROR(__xludf.DUMMYFUNCTION("""COMPUTED_VALUE"""),"C. Suelo buscar que el trabajo se realice en equipo, D. Me gustan los deportes, F. Soy eficiente en el trabajo con herramientas, equipos y maquinarias, I. Se me facilita el trabajo físico, J. Me gusta la atención a las personas, M. Soy bueno (a) con los n"&amp;"úmeros, O. Puedo enseñar con facilidad")</f>
        <v>C. Suelo buscar que el trabajo se realice en equipo, D. Me gustan los deportes, F. Soy eficiente en el trabajo con herramientas, equipos y maquinarias, I. Se me facilita el trabajo físico, J. Me gusta la atención a las personas, M. Soy bueno (a) con los números, O. Puedo enseñar con facilidad</v>
      </c>
      <c r="Y63" s="1" t="str">
        <f ca="1">IFERROR(__xludf.DUMMYFUNCTION("""COMPUTED_VALUE"""),"2022, 2021, y años anteriores")</f>
        <v>2022, 2021, y años anteriores</v>
      </c>
      <c r="Z63" s="1"/>
    </row>
    <row r="64" spans="1:26" x14ac:dyDescent="0.35">
      <c r="A64" s="2">
        <f ca="1">IFERROR(__xludf.DUMMYFUNCTION("""COMPUTED_VALUE"""),45795.5995717592)</f>
        <v>45795.599571759201</v>
      </c>
      <c r="B64" s="1"/>
      <c r="C64" s="1" t="str">
        <f ca="1">IFERROR(__xludf.DUMMYFUNCTION("""COMPUTED_VALUE"""),"Sofía, Aguilar")</f>
        <v>Sofía, Aguilar</v>
      </c>
      <c r="D64" s="1">
        <f ca="1">IFERROR(__xludf.DUMMYFUNCTION("""COMPUTED_VALUE"""),18)</f>
        <v>18</v>
      </c>
      <c r="E64" s="1" t="str">
        <f ca="1">IFERROR(__xludf.DUMMYFUNCTION("""COMPUTED_VALUE"""),"Mujer")</f>
        <v>Mujer</v>
      </c>
      <c r="F64" s="1" t="str">
        <f ca="1">IFERROR(__xludf.DUMMYFUNCTION("""COMPUTED_VALUE"""),"Jalisco, Mexico")</f>
        <v>Jalisco, Mexico</v>
      </c>
      <c r="G64" s="1" t="str">
        <f ca="1">IFERROR(__xludf.DUMMYFUNCTION("""COMPUTED_VALUE"""),"sofiacobos0202@gmail.com")</f>
        <v>sofiacobos0202@gmail.com</v>
      </c>
      <c r="H64" s="1">
        <f ca="1">IFERROR(__xludf.DUMMYFUNCTION("""COMPUTED_VALUE"""),523325434094)</f>
        <v>523325434094</v>
      </c>
      <c r="I64" s="1" t="str">
        <f ca="1">IFERROR(__xludf.DUMMYFUNCTION("""COMPUTED_VALUE"""),"Toda la temporada (07 de Julio al 16 de agosto)")</f>
        <v>Toda la temporada (07 de Julio al 16 de agosto)</v>
      </c>
      <c r="J64" s="1" t="str">
        <f ca="1">IFERROR(__xludf.DUMMYFUNCTION("""COMPUTED_VALUE"""),"Hs pv")</f>
        <v>Hs pv</v>
      </c>
      <c r="K64" s="1" t="str">
        <f ca="1">IFERROR(__xludf.DUMMYFUNCTION("""COMPUTED_VALUE"""),"Vida")</f>
        <v>Vida</v>
      </c>
      <c r="L64" s="1" t="str">
        <f ca="1">IFERROR(__xludf.DUMMYFUNCTION("""COMPUTED_VALUE"""),"Neftalí")</f>
        <v>Neftalí</v>
      </c>
      <c r="M64" s="1">
        <f ca="1">IFERROR(__xludf.DUMMYFUNCTION("""COMPUTED_VALUE"""),524411036024)</f>
        <v>524411036024</v>
      </c>
      <c r="N64" s="1" t="str">
        <f ca="1">IFERROR(__xludf.DUMMYFUNCTION("""COMPUTED_VALUE"""),"nefaly@gmail.com")</f>
        <v>nefaly@gmail.com</v>
      </c>
      <c r="O64" s="1" t="str">
        <f ca="1">IFERROR(__xludf.DUMMYFUNCTION("""COMPUTED_VALUE"""),"Multimedia")</f>
        <v>Multimedia</v>
      </c>
      <c r="P64" s="1" t="str">
        <f ca="1">IFERROR(__xludf.DUMMYFUNCTION("""COMPUTED_VALUE"""),"Acepte al señor en mi corazón a los 4 años y soy de cuna cristiana")</f>
        <v>Acepte al señor en mi corazón a los 4 años y soy de cuna cristiana</v>
      </c>
      <c r="Q64" s="1" t="str">
        <f ca="1">IFERROR(__xludf.DUMMYFUNCTION("""COMPUTED_VALUE"""),"Para ayudar y servir")</f>
        <v>Para ayudar y servir</v>
      </c>
      <c r="R64" s="1" t="str">
        <f ca="1">IFERROR(__xludf.DUMMYFUNCTION("""COMPUTED_VALUE"""),"Si")</f>
        <v>Si</v>
      </c>
      <c r="S64" s="1" t="str">
        <f ca="1">IFERROR(__xludf.DUMMYFUNCTION("""COMPUTED_VALUE"""),"Volleyball")</f>
        <v>Volleyball</v>
      </c>
      <c r="T64" s="1" t="str">
        <f ca="1">IFERROR(__xludf.DUMMYFUNCTION("""COMPUTED_VALUE"""),"No")</f>
        <v>No</v>
      </c>
      <c r="U64" s="1"/>
      <c r="V64" s="1" t="str">
        <f ca="1">IFERROR(__xludf.DUMMYFUNCTION("""COMPUTED_VALUE"""),"Prepa")</f>
        <v>Prepa</v>
      </c>
      <c r="W64" s="1" t="str">
        <f ca="1">IFERROR(__xludf.DUMMYFUNCTION("""COMPUTED_VALUE"""),"Flexible, captación rápida me gusta aprender")</f>
        <v>Flexible, captación rápida me gusta aprender</v>
      </c>
      <c r="X64" s="1" t="str">
        <f ca="1">IFERROR(__xludf.DUMMYFUNCTION("""COMPUTED_VALUE"""),"B. Me gusta animar a las personas, C. Suelo buscar que el trabajo se realice en equipo, D. Me gustan los deportes, E. Me gusta el trabajo con niños, F. Soy eficiente en el trabajo con herramientas, equipos y maquinarias, G. Soy más eficiente en el trabajo"&amp;" individual, H. Soy organizado (a), I. Se me facilita el trabajo físico, J. Me gusta la atención a las personas, K. Soy creativo (a), O. Puedo enseñar con facilidad")</f>
        <v>B. Me gusta animar a las personas, C. Suelo buscar que el trabajo se realice en equipo, D. Me gustan los deportes, E. Me gusta el trabajo con niños, F. Soy eficiente en el trabajo con herramientas, equipos y maquinarias, G. Soy más eficiente en el trabajo individual, H. Soy organizado (a), I. Se me facilita el trabajo físico, J. Me gusta la atención a las personas, K. Soy creativo (a), O. Puedo enseñar con facilidad</v>
      </c>
      <c r="Y64" s="1">
        <f ca="1">IFERROR(__xludf.DUMMYFUNCTION("""COMPUTED_VALUE"""),2023)</f>
        <v>2023</v>
      </c>
      <c r="Z64" s="1"/>
    </row>
    <row r="65" spans="1:26" x14ac:dyDescent="0.35">
      <c r="A65" s="2">
        <f ca="1">IFERROR(__xludf.DUMMYFUNCTION("""COMPUTED_VALUE"""),45796.4328356481)</f>
        <v>45796.432835648098</v>
      </c>
      <c r="B65" s="1"/>
      <c r="C65" s="1" t="str">
        <f ca="1">IFERROR(__xludf.DUMMYFUNCTION("""COMPUTED_VALUE"""),"Alejandro, Nava Montemayor")</f>
        <v>Alejandro, Nava Montemayor</v>
      </c>
      <c r="D65" s="1">
        <f ca="1">IFERROR(__xludf.DUMMYFUNCTION("""COMPUTED_VALUE"""),23)</f>
        <v>23</v>
      </c>
      <c r="E65" s="1" t="str">
        <f ca="1">IFERROR(__xludf.DUMMYFUNCTION("""COMPUTED_VALUE"""),"Hombre")</f>
        <v>Hombre</v>
      </c>
      <c r="F65" s="1" t="str">
        <f ca="1">IFERROR(__xludf.DUMMYFUNCTION("""COMPUTED_VALUE"""),"Queretaro, Mexico")</f>
        <v>Queretaro, Mexico</v>
      </c>
      <c r="G65" s="1" t="str">
        <f ca="1">IFERROR(__xludf.DUMMYFUNCTION("""COMPUTED_VALUE"""),"realejandronava@gmail.com")</f>
        <v>realejandronava@gmail.com</v>
      </c>
      <c r="H65" s="1">
        <f ca="1">IFERROR(__xludf.DUMMYFUNCTION("""COMPUTED_VALUE"""),524427818902)</f>
        <v>524427818902</v>
      </c>
      <c r="I65" s="1" t="str">
        <f ca="1">IFERROR(__xludf.DUMMYFUNCTION("""COMPUTED_VALUE"""),"Semana de entrenamiento (07 - 13) Julio, Comunidad Jóvenes + 18 (14-19) Julio, Semana de niños y niñas (21-25) Julio, Jóvenes de 13 – 17 años / SEM1/ (28 Julio a 02 de agosto), Jóvenes de 13 – 17 años / SEM2/ (4 - 09 agosto), Jóvenes de 13 – 17 años / SEM"&amp;"3/ (11 - 16 agosto), Toda la temporada (07 de Julio al 16 de agosto)")</f>
        <v>Semana de entrenamiento (07 - 13) Julio, Comunidad Jóvenes + 18 (14-19) Julio, Semana de niños y niñas (21-25) Julio, Jóvenes de 13 – 17 años / SEM1/ (28 Julio a 02 de agosto), Jóvenes de 13 – 17 años / SEM2/ (4 - 09 agosto), Jóvenes de 13 – 17 años / SEM3/ (11 - 16 agosto), Toda la temporada (07 de Julio al 16 de agosto)</v>
      </c>
      <c r="J65" s="1" t="str">
        <f ca="1">IFERROR(__xludf.DUMMYFUNCTION("""COMPUTED_VALUE"""),"Hs o devocional personal")</f>
        <v>Hs o devocional personal</v>
      </c>
      <c r="K65" s="1" t="str">
        <f ca="1">IFERROR(__xludf.DUMMYFUNCTION("""COMPUTED_VALUE"""),"Iglesia Bíblica Juriquilla")</f>
        <v>Iglesia Bíblica Juriquilla</v>
      </c>
      <c r="L65" s="1" t="str">
        <f ca="1">IFERROR(__xludf.DUMMYFUNCTION("""COMPUTED_VALUE"""),"Pablo Ferrari")</f>
        <v>Pablo Ferrari</v>
      </c>
      <c r="M65" s="1">
        <f ca="1">IFERROR(__xludf.DUMMYFUNCTION("""COMPUTED_VALUE"""),524423303874)</f>
        <v>524423303874</v>
      </c>
      <c r="N65" s="1" t="str">
        <f ca="1">IFERROR(__xludf.DUMMYFUNCTION("""COMPUTED_VALUE"""),"pabloyfrine@gmail.com")</f>
        <v>pabloyfrine@gmail.com</v>
      </c>
      <c r="O65" s="1" t="str">
        <f ca="1">IFERROR(__xludf.DUMMYFUNCTION("""COMPUTED_VALUE"""),"Ayuda con jóvenes y adolescentes")</f>
        <v>Ayuda con jóvenes y adolescentes</v>
      </c>
      <c r="P65" s="1" t="str">
        <f ca="1">IFERROR(__xludf.DUMMYFUNCTION("""COMPUTED_VALUE"""),"Nací en familia creyente, conocí a Cristo desde pequeño en la iglesia en la que me congregaba en Saltillo Coahuila, a la edad de 10 años nos mudamos de ciudad a Querétaro, donde tambien conocí Palabra de vida por medio del pastor y la relación con el mini"&amp;"sterio, en mi segundo campamento fue que tuve seguridad de salvación, gracias a una charla con mi consejero.")</f>
        <v>Nací en familia creyente, conocí a Cristo desde pequeño en la iglesia en la que me congregaba en Saltillo Coahuila, a la edad de 10 años nos mudamos de ciudad a Querétaro, donde tambien conocí Palabra de vida por medio del pastor y la relación con el ministerio, en mi segundo campamento fue que tuve seguridad de salvación, gracias a una charla con mi consejero.</v>
      </c>
      <c r="Q65" s="1" t="str">
        <f ca="1">IFERROR(__xludf.DUMMYFUNCTION("""COMPUTED_VALUE"""),"Estuve estudiando en Pdv Argentina, serví como consejero los años que estuve allá, el campamento me parece una oportunidad muy grande para poder juntar a muchas personas y poder predicarles el evangelio a través de las charlas y el tiempo personal con cad"&amp;"a uno.")</f>
        <v>Estuve estudiando en Pdv Argentina, serví como consejero los años que estuve allá, el campamento me parece una oportunidad muy grande para poder juntar a muchas personas y poder predicarles el evangelio a través de las charlas y el tiempo personal con cada uno.</v>
      </c>
      <c r="R65" s="1" t="str">
        <f ca="1">IFERROR(__xludf.DUMMYFUNCTION("""COMPUTED_VALUE"""),"Si")</f>
        <v>Si</v>
      </c>
      <c r="S65" s="1" t="str">
        <f ca="1">IFERROR(__xludf.DUMMYFUNCTION("""COMPUTED_VALUE"""),"Volley")</f>
        <v>Volley</v>
      </c>
      <c r="T65" s="1" t="str">
        <f ca="1">IFERROR(__xludf.DUMMYFUNCTION("""COMPUTED_VALUE"""),"No")</f>
        <v>No</v>
      </c>
      <c r="U65" s="1"/>
      <c r="V65" s="1" t="str">
        <f ca="1">IFERROR(__xludf.DUMMYFUNCTION("""COMPUTED_VALUE"""),"Diseño y comunicación gráfica")</f>
        <v>Diseño y comunicación gráfica</v>
      </c>
      <c r="W65" s="1" t="str">
        <f ca="1">IFERROR(__xludf.DUMMYFUNCTION("""COMPUTED_VALUE"""),"Trabajo con generadores eléctricos y aún no termino de estudiar diseño")</f>
        <v>Trabajo con generadores eléctricos y aún no termino de estudiar diseño</v>
      </c>
      <c r="X65" s="1" t="str">
        <f ca="1">IFERROR(__xludf.DUMMYFUNCTION("""COMPUTED_VALUE"""),"B. Me gusta animar a las personas, C. Suelo buscar que el trabajo se realice en equipo, D. Me gustan los deportes, E. Me gusta el trabajo con niños, J. Me gusta la atención a las personas, K. Soy creativo (a), N. Suelo llevar el liderazgo en un grupo")</f>
        <v>B. Me gusta animar a las personas, C. Suelo buscar que el trabajo se realice en equipo, D. Me gustan los deportes, E. Me gusta el trabajo con niños, J. Me gusta la atención a las personas, K. Soy creativo (a), N. Suelo llevar el liderazgo en un grupo</v>
      </c>
      <c r="Y65" s="1" t="str">
        <f ca="1">IFERROR(__xludf.DUMMYFUNCTION("""COMPUTED_VALUE"""),"Sí, entre el 2013-2017")</f>
        <v>Sí, entre el 2013-2017</v>
      </c>
      <c r="Z65" s="1"/>
    </row>
    <row r="66" spans="1:26" x14ac:dyDescent="0.35">
      <c r="A66" s="2">
        <f ca="1">IFERROR(__xludf.DUMMYFUNCTION("""COMPUTED_VALUE"""),45796.4477083333)</f>
        <v>45796.447708333297</v>
      </c>
      <c r="B66" s="1"/>
      <c r="C66" s="1" t="str">
        <f ca="1">IFERROR(__xludf.DUMMYFUNCTION("""COMPUTED_VALUE"""),"Andres, Nava Montemayor")</f>
        <v>Andres, Nava Montemayor</v>
      </c>
      <c r="D66" s="1">
        <f ca="1">IFERROR(__xludf.DUMMYFUNCTION("""COMPUTED_VALUE"""),15)</f>
        <v>15</v>
      </c>
      <c r="E66" s="1" t="str">
        <f ca="1">IFERROR(__xludf.DUMMYFUNCTION("""COMPUTED_VALUE"""),"Hombre")</f>
        <v>Hombre</v>
      </c>
      <c r="F66" s="1" t="str">
        <f ca="1">IFERROR(__xludf.DUMMYFUNCTION("""COMPUTED_VALUE"""),"Queretaro, Mexico")</f>
        <v>Queretaro, Mexico</v>
      </c>
      <c r="G66" s="1" t="str">
        <f ca="1">IFERROR(__xludf.DUMMYFUNCTION("""COMPUTED_VALUE"""),"jezra123na@gmail.com")</f>
        <v>jezra123na@gmail.com</v>
      </c>
      <c r="H66" s="1">
        <f ca="1">IFERROR(__xludf.DUMMYFUNCTION("""COMPUTED_VALUE"""),528441003653)</f>
        <v>528441003653</v>
      </c>
      <c r="I66" s="1" t="str">
        <f ca="1">IFERROR(__xludf.DUMMYFUNCTION("""COMPUTED_VALUE"""),"Semana de entrenamiento (07 - 13) Julio, Comunidad Jóvenes + 18 (14-19) Julio, Semana de niños y niñas (21-25) Julio")</f>
        <v>Semana de entrenamiento (07 - 13) Julio, Comunidad Jóvenes + 18 (14-19) Julio, Semana de niños y niñas (21-25) Julio</v>
      </c>
      <c r="J66" s="1" t="str">
        <f ca="1">IFERROR(__xludf.DUMMYFUNCTION("""COMPUTED_VALUE"""),"No uso")</f>
        <v>No uso</v>
      </c>
      <c r="K66" s="1" t="str">
        <f ca="1">IFERROR(__xludf.DUMMYFUNCTION("""COMPUTED_VALUE"""),"Iglesia biblica juriquilla")</f>
        <v>Iglesia biblica juriquilla</v>
      </c>
      <c r="L66" s="1" t="str">
        <f ca="1">IFERROR(__xludf.DUMMYFUNCTION("""COMPUTED_VALUE"""),"Pablo ferrari")</f>
        <v>Pablo ferrari</v>
      </c>
      <c r="M66" s="1">
        <f ca="1">IFERROR(__xludf.DUMMYFUNCTION("""COMPUTED_VALUE"""),524423303874)</f>
        <v>524423303874</v>
      </c>
      <c r="N66" s="1" t="str">
        <f ca="1">IFERROR(__xludf.DUMMYFUNCTION("""COMPUTED_VALUE"""),"pabloyfrine@gmail.com")</f>
        <v>pabloyfrine@gmail.com</v>
      </c>
      <c r="O66" s="1" t="str">
        <f ca="1">IFERROR(__xludf.DUMMYFUNCTION("""COMPUTED_VALUE"""),"Limpieza")</f>
        <v>Limpieza</v>
      </c>
      <c r="P66" s="1" t="str">
        <f ca="1">IFERROR(__xludf.DUMMYFUNCTION("""COMPUTED_VALUE"""),"Tenia 13 el 19 de febrero Mi hermano me hablo de el y yo lo acepte")</f>
        <v>Tenia 13 el 19 de febrero Mi hermano me hablo de el y yo lo acepte</v>
      </c>
      <c r="Q66" s="1" t="str">
        <f ca="1">IFERROR(__xludf.DUMMYFUNCTION("""COMPUTED_VALUE"""),"Quiero ver el campamento desde otra perspectiva")</f>
        <v>Quiero ver el campamento desde otra perspectiva</v>
      </c>
      <c r="R66" s="1" t="str">
        <f ca="1">IFERROR(__xludf.DUMMYFUNCTION("""COMPUTED_VALUE"""),"No")</f>
        <v>No</v>
      </c>
      <c r="S66" s="1"/>
      <c r="T66" s="1" t="str">
        <f ca="1">IFERROR(__xludf.DUMMYFUNCTION("""COMPUTED_VALUE"""),"No")</f>
        <v>No</v>
      </c>
      <c r="U66" s="1"/>
      <c r="V66" s="1" t="str">
        <f ca="1">IFERROR(__xludf.DUMMYFUNCTION("""COMPUTED_VALUE"""),"Prepa")</f>
        <v>Prepa</v>
      </c>
      <c r="W66" s="1" t="str">
        <f ca="1">IFERROR(__xludf.DUMMYFUNCTION("""COMPUTED_VALUE"""),"Se pavar autos")</f>
        <v>Se pavar autos</v>
      </c>
      <c r="X66" s="1" t="str">
        <f ca="1">IFERROR(__xludf.DUMMYFUNCTION("""COMPUTED_VALUE"""),"B. Me gusta animar a las personas, D. Me gustan los deportes, H. Soy organizado (a), J. Me gusta la atención a las personas, K. Soy creativo (a), O. Puedo enseñar con facilidad")</f>
        <v>B. Me gusta animar a las personas, D. Me gustan los deportes, H. Soy organizado (a), J. Me gusta la atención a las personas, K. Soy creativo (a), O. Puedo enseñar con facilidad</v>
      </c>
      <c r="Y66" s="1" t="str">
        <f ca="1">IFERROR(__xludf.DUMMYFUNCTION("""COMPUTED_VALUE"""),"Si, 2023-2024")</f>
        <v>Si, 2023-2024</v>
      </c>
      <c r="Z66" s="1"/>
    </row>
    <row r="67" spans="1:26" x14ac:dyDescent="0.35">
      <c r="A67" s="2">
        <f ca="1">IFERROR(__xludf.DUMMYFUNCTION("""COMPUTED_VALUE"""),45797.3406597222)</f>
        <v>45797.340659722198</v>
      </c>
      <c r="B67" s="1"/>
      <c r="C67" s="1" t="str">
        <f ca="1">IFERROR(__xludf.DUMMYFUNCTION("""COMPUTED_VALUE"""),"Hugo Lemuel, Sánchez Rubio")</f>
        <v>Hugo Lemuel, Sánchez Rubio</v>
      </c>
      <c r="D67" s="1">
        <f ca="1">IFERROR(__xludf.DUMMYFUNCTION("""COMPUTED_VALUE"""),16)</f>
        <v>16</v>
      </c>
      <c r="E67" s="1" t="str">
        <f ca="1">IFERROR(__xludf.DUMMYFUNCTION("""COMPUTED_VALUE"""),"Hombre")</f>
        <v>Hombre</v>
      </c>
      <c r="F67" s="1" t="str">
        <f ca="1">IFERROR(__xludf.DUMMYFUNCTION("""COMPUTED_VALUE"""),"Jalisco, Mexico")</f>
        <v>Jalisco, Mexico</v>
      </c>
      <c r="G67" s="1" t="str">
        <f ca="1">IFERROR(__xludf.DUMMYFUNCTION("""COMPUTED_VALUE"""),"lemuel.sanchez11@icloud.com")</f>
        <v>lemuel.sanchez11@icloud.com</v>
      </c>
      <c r="H67" s="1">
        <f ca="1">IFERROR(__xludf.DUMMYFUNCTION("""COMPUTED_VALUE"""),523318797065)</f>
        <v>523318797065</v>
      </c>
      <c r="I67" s="1" t="str">
        <f ca="1">IFERROR(__xludf.DUMMYFUNCTION("""COMPUTED_VALUE"""),"Toda la temporada (07 de Julio al 16 de agosto)")</f>
        <v>Toda la temporada (07 de Julio al 16 de agosto)</v>
      </c>
      <c r="J67" s="1" t="str">
        <f ca="1">IFERROR(__xludf.DUMMYFUNCTION("""COMPUTED_VALUE"""),"You Version")</f>
        <v>You Version</v>
      </c>
      <c r="K67" s="1" t="str">
        <f ca="1">IFERROR(__xludf.DUMMYFUNCTION("""COMPUTED_VALUE"""),"Vida")</f>
        <v>Vida</v>
      </c>
      <c r="L67" s="1" t="str">
        <f ca="1">IFERROR(__xludf.DUMMYFUNCTION("""COMPUTED_VALUE"""),"Neftalí")</f>
        <v>Neftalí</v>
      </c>
      <c r="M67" s="1">
        <f ca="1">IFERROR(__xludf.DUMMYFUNCTION("""COMPUTED_VALUE"""),524411036024)</f>
        <v>524411036024</v>
      </c>
      <c r="N67" s="1" t="str">
        <f ca="1">IFERROR(__xludf.DUMMYFUNCTION("""COMPUTED_VALUE"""),"nefaly07@gmail.com")</f>
        <v>nefaly07@gmail.com</v>
      </c>
      <c r="O67" s="1" t="str">
        <f ca="1">IFERROR(__xludf.DUMMYFUNCTION("""COMPUTED_VALUE"""),"Multimedia y cafetería")</f>
        <v>Multimedia y cafetería</v>
      </c>
      <c r="P67" s="1" t="str">
        <f ca="1">IFERROR(__xludf.DUMMYFUNCTION("""COMPUTED_VALUE"""),"Crecí desde pequeño con una idea errónea de lo que era una vida cristiana dependiendo de que las acciones que yo hacía me podría dar la salvación.
Al llegar a iglesia vida pude notar que crecí con una idea errónea pero costándome comprender que era la sal"&amp;"vación hasta el 2022.")</f>
        <v>Crecí desde pequeño con una idea errónea de lo que era una vida cristiana dependiendo de que las acciones que yo hacía me podría dar la salvación.
Al llegar a iglesia vida pude notar que crecí con una idea errónea pero costándome comprender que era la salvación hasta el 2022.</v>
      </c>
      <c r="Q67" s="1" t="str">
        <f ca="1">IFERROR(__xludf.DUMMYFUNCTION("""COMPUTED_VALUE"""),"Me gusta la idea de utilizar la diversión/ actividades físicas para tener oportunidad de marcar la vida de alguien ya que son experiencias únicas que suele ayudar a marcar una diferencia. Un campamento marcó un antes y un después, me gustaría ir a apoyar.")</f>
        <v>Me gusta la idea de utilizar la diversión/ actividades físicas para tener oportunidad de marcar la vida de alguien ya que son experiencias únicas que suele ayudar a marcar una diferencia. Un campamento marcó un antes y un después, me gustaría ir a apoyar.</v>
      </c>
      <c r="R67" s="1" t="str">
        <f ca="1">IFERROR(__xludf.DUMMYFUNCTION("""COMPUTED_VALUE"""),"Si")</f>
        <v>Si</v>
      </c>
      <c r="S67" s="1" t="str">
        <f ca="1">IFERROR(__xludf.DUMMYFUNCTION("""COMPUTED_VALUE"""),"Gimnasio")</f>
        <v>Gimnasio</v>
      </c>
      <c r="T67" s="1" t="str">
        <f ca="1">IFERROR(__xludf.DUMMYFUNCTION("""COMPUTED_VALUE"""),"No")</f>
        <v>No</v>
      </c>
      <c r="U67" s="1"/>
      <c r="V67" s="1" t="str">
        <f ca="1">IFERROR(__xludf.DUMMYFUNCTION("""COMPUTED_VALUE"""),"Preparatoria")</f>
        <v>Preparatoria</v>
      </c>
      <c r="W67" s="1" t="str">
        <f ca="1">IFERROR(__xludf.DUMMYFUNCTION("""COMPUTED_VALUE"""),"Deportes matemáticas")</f>
        <v>Deportes matemáticas</v>
      </c>
      <c r="X67" s="1" t="str">
        <f ca="1">IFERROR(__xludf.DUMMYFUNCTION("""COMPUTED_VALUE"""),"C. Suelo buscar que el trabajo se realice en equipo, D. Me gustan los deportes, I. Se me facilita el trabajo físico, M. Soy bueno (a) con los números")</f>
        <v>C. Suelo buscar que el trabajo se realice en equipo, D. Me gustan los deportes, I. Se me facilita el trabajo físico, M. Soy bueno (a) con los números</v>
      </c>
      <c r="Y67" s="1" t="str">
        <f ca="1">IFERROR(__xludf.DUMMYFUNCTION("""COMPUTED_VALUE"""),"Si, 22,23,24")</f>
        <v>Si, 22,23,24</v>
      </c>
      <c r="Z67" s="1"/>
    </row>
    <row r="68" spans="1:26" x14ac:dyDescent="0.35">
      <c r="A68" s="2">
        <f ca="1">IFERROR(__xludf.DUMMYFUNCTION("""COMPUTED_VALUE"""),45797.5843518518)</f>
        <v>45797.584351851801</v>
      </c>
      <c r="B68" s="1"/>
      <c r="C68" s="1" t="str">
        <f ca="1">IFERROR(__xludf.DUMMYFUNCTION("""COMPUTED_VALUE"""),"Athenas Jocabed, Hernandez Gomez")</f>
        <v>Athenas Jocabed, Hernandez Gomez</v>
      </c>
      <c r="D68" s="1">
        <f ca="1">IFERROR(__xludf.DUMMYFUNCTION("""COMPUTED_VALUE"""),24)</f>
        <v>24</v>
      </c>
      <c r="E68" s="1" t="str">
        <f ca="1">IFERROR(__xludf.DUMMYFUNCTION("""COMPUTED_VALUE"""),"Mujer")</f>
        <v>Mujer</v>
      </c>
      <c r="F68" s="1" t="str">
        <f ca="1">IFERROR(__xludf.DUMMYFUNCTION("""COMPUTED_VALUE"""),"Guanajuato, Mexico")</f>
        <v>Guanajuato, Mexico</v>
      </c>
      <c r="G68" s="1" t="str">
        <f ca="1">IFERROR(__xludf.DUMMYFUNCTION("""COMPUTED_VALUE"""),"athenas.jo01@gmail.com")</f>
        <v>athenas.jo01@gmail.com</v>
      </c>
      <c r="H68" s="1">
        <f ca="1">IFERROR(__xludf.DUMMYFUNCTION("""COMPUTED_VALUE"""),524151511152)</f>
        <v>524151511152</v>
      </c>
      <c r="I68" s="1" t="str">
        <f ca="1">IFERROR(__xludf.DUMMYFUNCTION("""COMPUTED_VALUE"""),"Semana de entrenamiento (07 - 13) Julio, Comunidad Jóvenes + 18 (14-19) Julio, Jóvenes de 13 – 17 años / SEM1/ (28 Julio a 02 de agosto), Jóvenes de 13 – 17 años / SEM2/ (4 - 09 agosto), Jóvenes de 13 – 17 años / SEM3/ (11 - 16 agosto)")</f>
        <v>Semana de entrenamiento (07 - 13) Julio, Comunidad Jóvenes + 18 (14-19) Julio, Jóvenes de 13 – 17 años / SEM1/ (28 Julio a 02 de agosto), Jóvenes de 13 – 17 años / SEM2/ (4 - 09 agosto), Jóvenes de 13 – 17 años / SEM3/ (11 - 16 agosto)</v>
      </c>
      <c r="J68" s="1" t="str">
        <f ca="1">IFERROR(__xludf.DUMMYFUNCTION("""COMPUTED_VALUE"""),"Hora silenciosa")</f>
        <v>Hora silenciosa</v>
      </c>
      <c r="K68" s="1" t="str">
        <f ca="1">IFERROR(__xludf.DUMMYFUNCTION("""COMPUTED_VALUE"""),"Primera Iglesia Bautista de San Miguel de Allende")</f>
        <v>Primera Iglesia Bautista de San Miguel de Allende</v>
      </c>
      <c r="L68" s="1" t="str">
        <f ca="1">IFERROR(__xludf.DUMMYFUNCTION("""COMPUTED_VALUE"""),"Adolfo Salazar Saldaña")</f>
        <v>Adolfo Salazar Saldaña</v>
      </c>
      <c r="M68" s="1">
        <f ca="1">IFERROR(__xludf.DUMMYFUNCTION("""COMPUTED_VALUE"""),524151140056)</f>
        <v>524151140056</v>
      </c>
      <c r="N68" s="1" t="str">
        <f ca="1">IFERROR(__xludf.DUMMYFUNCTION("""COMPUTED_VALUE"""),"salcerd1@hotmail.com")</f>
        <v>salcerd1@hotmail.com</v>
      </c>
      <c r="O68" s="1" t="str">
        <f ca="1">IFERROR(__xludf.DUMMYFUNCTION("""COMPUTED_VALUE"""),"Jóvenes/adolescentes/alabanza")</f>
        <v>Jóvenes/adolescentes/alabanza</v>
      </c>
      <c r="P68" s="1" t="str">
        <f ca="1">IFERROR(__xludf.DUMMYFUNCTION("""COMPUTED_VALUE"""),"Desde pequeña mi familia asistía a una iglesia cristiana, y yo “practicaba” el cristianismo de una manera religiosa. El Señor permitió que en el 2021 entrara a Instituto Bíblico y fue ahí que a través de las primeras clases pude entender el evangelio, mi "&amp;"condición de pecadora y mi necesidad de un salvador.")</f>
        <v>Desde pequeña mi familia asistía a una iglesia cristiana, y yo “practicaba” el cristianismo de una manera religiosa. El Señor permitió que en el 2021 entrara a Instituto Bíblico y fue ahí que a través de las primeras clases pude entender el evangelio, mi condición de pecadora y mi necesidad de un salvador.</v>
      </c>
      <c r="Q68" s="1" t="str">
        <f ca="1">IFERROR(__xludf.DUMMYFUNCTION("""COMPUTED_VALUE"""),"Primeramente para tener la oportunidad de servir en donde se que muchos son alcanzados por el evangelio y también por invitación de Kevin Dávila a participar en la alabanza de esta temporada.")</f>
        <v>Primeramente para tener la oportunidad de servir en donde se que muchos son alcanzados por el evangelio y también por invitación de Kevin Dávila a participar en la alabanza de esta temporada.</v>
      </c>
      <c r="R68" s="1" t="str">
        <f ca="1">IFERROR(__xludf.DUMMYFUNCTION("""COMPUTED_VALUE"""),"No")</f>
        <v>No</v>
      </c>
      <c r="S68" s="1"/>
      <c r="T68" s="1" t="str">
        <f ca="1">IFERROR(__xludf.DUMMYFUNCTION("""COMPUTED_VALUE"""),"Si")</f>
        <v>Si</v>
      </c>
      <c r="U68" s="1" t="str">
        <f ca="1">IFERROR(__xludf.DUMMYFUNCTION("""COMPUTED_VALUE"""),"Violoncello")</f>
        <v>Violoncello</v>
      </c>
      <c r="V68" s="1" t="str">
        <f ca="1">IFERROR(__xludf.DUMMYFUNCTION("""COMPUTED_VALUE"""),"No estudio.")</f>
        <v>No estudio.</v>
      </c>
      <c r="W68" s="1" t="str">
        <f ca="1">IFERROR(__xludf.DUMMYFUNCTION("""COMPUTED_VALUE"""),"Canto, creatividad.")</f>
        <v>Canto, creatividad.</v>
      </c>
      <c r="X68" s="1" t="str">
        <f ca="1">IFERROR(__xludf.DUMMYFUNCTION("""COMPUTED_VALUE"""),"H. Soy organizado (a), K. Soy creativo (a), L. Soy bueno (a) en canto o algún instrumento, O. Puedo enseñar con facilidad")</f>
        <v>H. Soy organizado (a), K. Soy creativo (a), L. Soy bueno (a) en canto o algún instrumento, O. Puedo enseñar con facilidad</v>
      </c>
      <c r="Y68" s="1" t="str">
        <f ca="1">IFERROR(__xludf.DUMMYFUNCTION("""COMPUTED_VALUE"""),"Si, 2017 y otros años que no recuerdo bien.")</f>
        <v>Si, 2017 y otros años que no recuerdo bien.</v>
      </c>
      <c r="Z68" s="1"/>
    </row>
    <row r="69" spans="1:26" x14ac:dyDescent="0.35">
      <c r="A69" s="2">
        <f ca="1">IFERROR(__xludf.DUMMYFUNCTION("""COMPUTED_VALUE"""),45798.5813773148)</f>
        <v>45798.581377314797</v>
      </c>
      <c r="B69" s="1"/>
      <c r="C69" s="1" t="str">
        <f ca="1">IFERROR(__xludf.DUMMYFUNCTION("""COMPUTED_VALUE"""),"Alejandro, Amador García")</f>
        <v>Alejandro, Amador García</v>
      </c>
      <c r="D69" s="1">
        <f ca="1">IFERROR(__xludf.DUMMYFUNCTION("""COMPUTED_VALUE"""),25)</f>
        <v>25</v>
      </c>
      <c r="E69" s="1" t="str">
        <f ca="1">IFERROR(__xludf.DUMMYFUNCTION("""COMPUTED_VALUE"""),"Hombre")</f>
        <v>Hombre</v>
      </c>
      <c r="F69" s="1" t="str">
        <f ca="1">IFERROR(__xludf.DUMMYFUNCTION("""COMPUTED_VALUE"""),"Puebla, Mexico")</f>
        <v>Puebla, Mexico</v>
      </c>
      <c r="G69" s="1" t="str">
        <f ca="1">IFERROR(__xludf.DUMMYFUNCTION("""COMPUTED_VALUE"""),"aleamagar2000@gmail.com")</f>
        <v>aleamagar2000@gmail.com</v>
      </c>
      <c r="H69" s="1">
        <f ca="1">IFERROR(__xludf.DUMMYFUNCTION("""COMPUTED_VALUE"""),522451039018)</f>
        <v>522451039018</v>
      </c>
      <c r="I69" s="1" t="str">
        <f ca="1">IFERROR(__xludf.DUMMYFUNCTION("""COMPUTED_VALUE"""),"Comunidad Jóvenes + 18 (14-19) Julio, Semana de niños y niñas (21-25) Julio")</f>
        <v>Comunidad Jóvenes + 18 (14-19) Julio, Semana de niños y niñas (21-25) Julio</v>
      </c>
      <c r="J69" s="1" t="str">
        <f ca="1">IFERROR(__xludf.DUMMYFUNCTION("""COMPUTED_VALUE"""),"Glorify")</f>
        <v>Glorify</v>
      </c>
      <c r="K69" s="1" t="str">
        <f ca="1">IFERROR(__xludf.DUMMYFUNCTION("""COMPUTED_VALUE"""),"Iglesia Bíblica Roca Fuerte")</f>
        <v>Iglesia Bíblica Roca Fuerte</v>
      </c>
      <c r="L69" s="1" t="str">
        <f ca="1">IFERROR(__xludf.DUMMYFUNCTION("""COMPUTED_VALUE"""),"Alejandro Amador González")</f>
        <v>Alejandro Amador González</v>
      </c>
      <c r="M69" s="1">
        <f ca="1">IFERROR(__xludf.DUMMYFUNCTION("""COMPUTED_VALUE"""),522454509929)</f>
        <v>522454509929</v>
      </c>
      <c r="N69" s="1" t="str">
        <f ca="1">IFERROR(__xludf.DUMMYFUNCTION("""COMPUTED_VALUE"""),"amadorgon@gmail.com")</f>
        <v>amadorgon@gmail.com</v>
      </c>
      <c r="O69" s="1" t="str">
        <f ca="1">IFERROR(__xludf.DUMMYFUNCTION("""COMPUTED_VALUE"""),"Estoy en el ministerio de club biblico, alabanza y doy lecciones")</f>
        <v>Estoy en el ministerio de club biblico, alabanza y doy lecciones</v>
      </c>
      <c r="P69" s="1" t="str">
        <f ca="1">IFERROR(__xludf.DUMMYFUNCTION("""COMPUTED_VALUE"""),"Fue a los 7 años, gracias a Dios crecí en una iglesia, pero fue hasta ese entonces que entendí el evangelio y lo que Jesús había hecho por mi.")</f>
        <v>Fue a los 7 años, gracias a Dios crecí en una iglesia, pero fue hasta ese entonces que entendí el evangelio y lo que Jesús había hecho por mi.</v>
      </c>
      <c r="Q69" s="1" t="str">
        <f ca="1">IFERROR(__xludf.DUMMYFUNCTION("""COMPUTED_VALUE"""),"Por amor primero a Dios y que mejor que aprovechar mi tiempo y fuerzas en servir")</f>
        <v>Por amor primero a Dios y que mejor que aprovechar mi tiempo y fuerzas en servir</v>
      </c>
      <c r="R69" s="1" t="str">
        <f ca="1">IFERROR(__xludf.DUMMYFUNCTION("""COMPUTED_VALUE"""),"Si")</f>
        <v>Si</v>
      </c>
      <c r="S69" s="1" t="str">
        <f ca="1">IFERROR(__xludf.DUMMYFUNCTION("""COMPUTED_VALUE"""),"volly basket etc")</f>
        <v>volly basket etc</v>
      </c>
      <c r="T69" s="1" t="str">
        <f ca="1">IFERROR(__xludf.DUMMYFUNCTION("""COMPUTED_VALUE"""),"Si")</f>
        <v>Si</v>
      </c>
      <c r="U69" s="1" t="str">
        <f ca="1">IFERROR(__xludf.DUMMYFUNCTION("""COMPUTED_VALUE"""),"guitarra, bajo")</f>
        <v>guitarra, bajo</v>
      </c>
      <c r="V69" s="1" t="str">
        <f ca="1">IFERROR(__xludf.DUMMYFUNCTION("""COMPUTED_VALUE"""),"termine la licenciatura de arquitectura")</f>
        <v>termine la licenciatura de arquitectura</v>
      </c>
      <c r="W69" s="1" t="str">
        <f ca="1">IFERROR(__xludf.DUMMYFUNCTION("""COMPUTED_VALUE"""),"soy barista y arquitecto")</f>
        <v>soy barista y arquitecto</v>
      </c>
      <c r="X69" s="1" t="str">
        <f ca="1">IFERROR(__xludf.DUMMYFUNCTION("""COMPUTED_VALUE"""),"A. Soy un discipulador activo, B. Me gusta animar a las personas, C. Suelo buscar que el trabajo se realice en equipo, D. Me gustan los deportes, E. Me gusta el trabajo con niños, F. Soy eficiente en el trabajo con herramientas, equipos y maquinarias, H. "&amp;"Soy organizado (a), J. Me gusta la atención a las personas, K. Soy creativo (a), L. Soy bueno (a) en canto o algún instrumento, N. Suelo llevar el liderazgo en un grupo, O. Puedo enseñar con facilidad")</f>
        <v>A. Soy un discipulador activo, B. Me gusta animar a las personas, C. Suelo buscar que el trabajo se realice en equipo, D. Me gustan los deportes, E. Me gusta el trabajo con niños, F. Soy eficiente en el trabajo con herramientas, equipos y maquinarias, H. Soy organizado (a), J. Me gusta la atención a las personas, K. Soy creativo (a), L. Soy bueno (a) en canto o algún instrumento, N. Suelo llevar el liderazgo en un grupo, O. Puedo enseñar con facilidad</v>
      </c>
      <c r="Y69" s="1" t="str">
        <f ca="1">IFERROR(__xludf.DUMMYFUNCTION("""COMPUTED_VALUE"""),"si, desde el 2012, y e asistido a 2 campamentos +18")</f>
        <v>si, desde el 2012, y e asistido a 2 campamentos +18</v>
      </c>
      <c r="Z69" s="1"/>
    </row>
    <row r="70" spans="1:26" x14ac:dyDescent="0.35">
      <c r="A70" s="2">
        <f ca="1">IFERROR(__xludf.DUMMYFUNCTION("""COMPUTED_VALUE"""),45798.6221064814)</f>
        <v>45798.622106481402</v>
      </c>
      <c r="B70" s="1"/>
      <c r="C70" s="1" t="str">
        <f ca="1">IFERROR(__xludf.DUMMYFUNCTION("""COMPUTED_VALUE"""),"Brisa, Velazquez Medina")</f>
        <v>Brisa, Velazquez Medina</v>
      </c>
      <c r="D70" s="1">
        <f ca="1">IFERROR(__xludf.DUMMYFUNCTION("""COMPUTED_VALUE"""),24)</f>
        <v>24</v>
      </c>
      <c r="E70" s="1" t="str">
        <f ca="1">IFERROR(__xludf.DUMMYFUNCTION("""COMPUTED_VALUE"""),"Mujer")</f>
        <v>Mujer</v>
      </c>
      <c r="F70" s="1" t="str">
        <f ca="1">IFERROR(__xludf.DUMMYFUNCTION("""COMPUTED_VALUE"""),"Puebla, Mexico")</f>
        <v>Puebla, Mexico</v>
      </c>
      <c r="G70" s="1" t="str">
        <f ca="1">IFERROR(__xludf.DUMMYFUNCTION("""COMPUTED_VALUE"""),"brisamedina0708@gmail.com")</f>
        <v>brisamedina0708@gmail.com</v>
      </c>
      <c r="H70" s="1">
        <f ca="1">IFERROR(__xludf.DUMMYFUNCTION("""COMPUTED_VALUE"""),522451037785)</f>
        <v>522451037785</v>
      </c>
      <c r="I70" s="1" t="str">
        <f ca="1">IFERROR(__xludf.DUMMYFUNCTION("""COMPUTED_VALUE"""),"Comunidad Jóvenes + 18 (14-19) Julio, Semana de niños y niñas (21-25) Julio")</f>
        <v>Comunidad Jóvenes + 18 (14-19) Julio, Semana de niños y niñas (21-25) Julio</v>
      </c>
      <c r="J70" s="1" t="str">
        <f ca="1">IFERROR(__xludf.DUMMYFUNCTION("""COMPUTED_VALUE"""),"Glorify")</f>
        <v>Glorify</v>
      </c>
      <c r="K70" s="1" t="str">
        <f ca="1">IFERROR(__xludf.DUMMYFUNCTION("""COMPUTED_VALUE"""),"Iglesia Bíblica Roca Fuerte")</f>
        <v>Iglesia Bíblica Roca Fuerte</v>
      </c>
      <c r="L70" s="1" t="str">
        <f ca="1">IFERROR(__xludf.DUMMYFUNCTION("""COMPUTED_VALUE"""),"Alejandro Amador González")</f>
        <v>Alejandro Amador González</v>
      </c>
      <c r="M70" s="1">
        <f ca="1">IFERROR(__xludf.DUMMYFUNCTION("""COMPUTED_VALUE"""),522454509929)</f>
        <v>522454509929</v>
      </c>
      <c r="N70" s="1" t="str">
        <f ca="1">IFERROR(__xludf.DUMMYFUNCTION("""COMPUTED_VALUE"""),"amadorgon@gmail.com")</f>
        <v>amadorgon@gmail.com</v>
      </c>
      <c r="O70" s="1" t="str">
        <f ca="1">IFERROR(__xludf.DUMMYFUNCTION("""COMPUTED_VALUE"""),"Alabanza, enseñanza")</f>
        <v>Alabanza, enseñanza</v>
      </c>
      <c r="P70" s="1" t="str">
        <f ca="1">IFERROR(__xludf.DUMMYFUNCTION("""COMPUTED_VALUE"""),"Chica de 13 años que se aferró a Dios en una familia no creyente, a la actualidad somos una familia cristiana")</f>
        <v>Chica de 13 años que se aferró a Dios en una familia no creyente, a la actualidad somos una familia cristiana</v>
      </c>
      <c r="Q70" s="1" t="str">
        <f ca="1">IFERROR(__xludf.DUMMYFUNCTION("""COMPUTED_VALUE"""),"Por querer aprender, poder compartir y en algún caso enseñar también")</f>
        <v>Por querer aprender, poder compartir y en algún caso enseñar también</v>
      </c>
      <c r="R70" s="1" t="str">
        <f ca="1">IFERROR(__xludf.DUMMYFUNCTION("""COMPUTED_VALUE"""),"Si")</f>
        <v>Si</v>
      </c>
      <c r="S70" s="1" t="str">
        <f ca="1">IFERROR(__xludf.DUMMYFUNCTION("""COMPUTED_VALUE"""),"Vóleibol, basquetbol")</f>
        <v>Vóleibol, basquetbol</v>
      </c>
      <c r="T70" s="1" t="str">
        <f ca="1">IFERROR(__xludf.DUMMYFUNCTION("""COMPUTED_VALUE"""),"No")</f>
        <v>No</v>
      </c>
      <c r="U70" s="1"/>
      <c r="V70" s="1" t="str">
        <f ca="1">IFERROR(__xludf.DUMMYFUNCTION("""COMPUTED_VALUE"""),"Administración de empresas")</f>
        <v>Administración de empresas</v>
      </c>
      <c r="W70" s="1" t="str">
        <f ca="1">IFERROR(__xludf.DUMMYFUNCTION("""COMPUTED_VALUE"""),"Sé administrar, dirigir, organizar, animar")</f>
        <v>Sé administrar, dirigir, organizar, animar</v>
      </c>
      <c r="X70" s="1" t="str">
        <f ca="1">IFERROR(__xludf.DUMMYFUNCTION("""COMPUTED_VALUE"""),"B. Me gusta animar a las personas, C. Suelo buscar que el trabajo se realice en equipo, D. Me gustan los deportes, E. Me gusta el trabajo con niños, G. Soy más eficiente en el trabajo individual, H. Soy organizado (a), J. Me gusta la atención a las person"&amp;"as, L. Soy bueno (a) en canto o algún instrumento, M. Soy bueno (a) con los números")</f>
        <v>B. Me gusta animar a las personas, C. Suelo buscar que el trabajo se realice en equipo, D. Me gustan los deportes, E. Me gusta el trabajo con niños, G. Soy más eficiente en el trabajo individual, H. Soy organizado (a), J. Me gusta la atención a las personas, L. Soy bueno (a) en canto o algún instrumento, M. Soy bueno (a) con los números</v>
      </c>
      <c r="Y70" s="1" t="str">
        <f ca="1">IFERROR(__xludf.DUMMYFUNCTION("""COMPUTED_VALUE"""),"Si una vez en 2023")</f>
        <v>Si una vez en 2023</v>
      </c>
      <c r="Z70" s="1"/>
    </row>
    <row r="71" spans="1:26" x14ac:dyDescent="0.35">
      <c r="A71" s="2">
        <f ca="1">IFERROR(__xludf.DUMMYFUNCTION("""COMPUTED_VALUE"""),45798.952511574)</f>
        <v>45798.952511574003</v>
      </c>
      <c r="B71" s="1"/>
      <c r="C71" s="1" t="str">
        <f ca="1">IFERROR(__xludf.DUMMYFUNCTION("""COMPUTED_VALUE"""),"Abdiel, Guzmán Miròn")</f>
        <v>Abdiel, Guzmán Miròn</v>
      </c>
      <c r="D71" s="1">
        <f ca="1">IFERROR(__xludf.DUMMYFUNCTION("""COMPUTED_VALUE"""),19)</f>
        <v>19</v>
      </c>
      <c r="E71" s="1" t="str">
        <f ca="1">IFERROR(__xludf.DUMMYFUNCTION("""COMPUTED_VALUE"""),"Hombre")</f>
        <v>Hombre</v>
      </c>
      <c r="F71" s="1" t="str">
        <f ca="1">IFERROR(__xludf.DUMMYFUNCTION("""COMPUTED_VALUE"""),"Puebla, Mexico")</f>
        <v>Puebla, Mexico</v>
      </c>
      <c r="G71" s="1" t="str">
        <f ca="1">IFERROR(__xludf.DUMMYFUNCTION("""COMPUTED_VALUE"""),"Abdiel45guzman@gmail.com")</f>
        <v>Abdiel45guzman@gmail.com</v>
      </c>
      <c r="H71" s="1">
        <f ca="1">IFERROR(__xludf.DUMMYFUNCTION("""COMPUTED_VALUE"""),522451127765)</f>
        <v>522451127765</v>
      </c>
      <c r="I71" s="1" t="str">
        <f ca="1">IFERROR(__xludf.DUMMYFUNCTION("""COMPUTED_VALUE"""),"Comunidad Jóvenes + 18 (14-19) Julio, Semana de niños y niñas (21-25) Julio")</f>
        <v>Comunidad Jóvenes + 18 (14-19) Julio, Semana de niños y niñas (21-25) Julio</v>
      </c>
      <c r="J71" s="1" t="str">
        <f ca="1">IFERROR(__xludf.DUMMYFUNCTION("""COMPUTED_VALUE"""),"Hora silenciosa o Glorify")</f>
        <v>Hora silenciosa o Glorify</v>
      </c>
      <c r="K71" s="1" t="str">
        <f ca="1">IFERROR(__xludf.DUMMYFUNCTION("""COMPUTED_VALUE"""),"Roca fuerte")</f>
        <v>Roca fuerte</v>
      </c>
      <c r="L71" s="1" t="str">
        <f ca="1">IFERROR(__xludf.DUMMYFUNCTION("""COMPUTED_VALUE"""),"Alejandro Amador")</f>
        <v>Alejandro Amador</v>
      </c>
      <c r="M71" s="1">
        <f ca="1">IFERROR(__xludf.DUMMYFUNCTION("""COMPUTED_VALUE"""),522454509929)</f>
        <v>522454509929</v>
      </c>
      <c r="N71" s="1" t="str">
        <f ca="1">IFERROR(__xludf.DUMMYFUNCTION("""COMPUTED_VALUE"""),"amadorgon@gmail.com")</f>
        <v>amadorgon@gmail.com</v>
      </c>
      <c r="O71" s="1" t="str">
        <f ca="1">IFERROR(__xludf.DUMMYFUNCTION("""COMPUTED_VALUE"""),"Jóvenes de club bíblico")</f>
        <v>Jóvenes de club bíblico</v>
      </c>
      <c r="P71" s="1" t="str">
        <f ca="1">IFERROR(__xludf.DUMMYFUNCTION("""COMPUTED_VALUE"""),"Acepte a Cristo en mi corazón desde los 13 años pero conozco de él desde pequeño")</f>
        <v>Acepte a Cristo en mi corazón desde los 13 años pero conozco de él desde pequeño</v>
      </c>
      <c r="Q71" s="1" t="str">
        <f ca="1">IFERROR(__xludf.DUMMYFUNCTION("""COMPUTED_VALUE"""),"Me gustaría ir a servir, a escuchar la palabra de Dios y conocer experiencias")</f>
        <v>Me gustaría ir a servir, a escuchar la palabra de Dios y conocer experiencias</v>
      </c>
      <c r="R71" s="1" t="str">
        <f ca="1">IFERROR(__xludf.DUMMYFUNCTION("""COMPUTED_VALUE"""),"Si")</f>
        <v>Si</v>
      </c>
      <c r="S71" s="1" t="str">
        <f ca="1">IFERROR(__xludf.DUMMYFUNCTION("""COMPUTED_VALUE"""),"Fuerza")</f>
        <v>Fuerza</v>
      </c>
      <c r="T71" s="1" t="str">
        <f ca="1">IFERROR(__xludf.DUMMYFUNCTION("""COMPUTED_VALUE"""),"No")</f>
        <v>No</v>
      </c>
      <c r="U71" s="1"/>
      <c r="V71" s="1" t="str">
        <f ca="1">IFERROR(__xludf.DUMMYFUNCTION("""COMPUTED_VALUE"""),"Ya no estudio")</f>
        <v>Ya no estudio</v>
      </c>
      <c r="W71" s="1" t="str">
        <f ca="1">IFERROR(__xludf.DUMMYFUNCTION("""COMPUTED_VALUE"""),"Por el momento oficios y profesión no tengo")</f>
        <v>Por el momento oficios y profesión no tengo</v>
      </c>
      <c r="X71" s="1" t="str">
        <f ca="1">IFERROR(__xludf.DUMMYFUNCTION("""COMPUTED_VALUE"""),"E. Me gusta el trabajo con niños, H. Soy organizado (a), O. Puedo enseñar con facilidad")</f>
        <v>E. Me gusta el trabajo con niños, H. Soy organizado (a), O. Puedo enseñar con facilidad</v>
      </c>
      <c r="Y71" s="1" t="str">
        <f ca="1">IFERROR(__xludf.DUMMYFUNCTION("""COMPUTED_VALUE"""),"La última vez que visité PV fue hace dos años")</f>
        <v>La última vez que visité PV fue hace dos años</v>
      </c>
      <c r="Z71" s="1"/>
    </row>
    <row r="72" spans="1:26" x14ac:dyDescent="0.35">
      <c r="A72" s="2">
        <f ca="1">IFERROR(__xludf.DUMMYFUNCTION("""COMPUTED_VALUE"""),45799.4107638888)</f>
        <v>45799.410763888802</v>
      </c>
      <c r="B72" s="1"/>
      <c r="C72" s="1" t="str">
        <f ca="1">IFERROR(__xludf.DUMMYFUNCTION("""COMPUTED_VALUE"""),"Alonso Dan, Saucedo Vázquez")</f>
        <v>Alonso Dan, Saucedo Vázquez</v>
      </c>
      <c r="D72" s="1">
        <f ca="1">IFERROR(__xludf.DUMMYFUNCTION("""COMPUTED_VALUE"""),19)</f>
        <v>19</v>
      </c>
      <c r="E72" s="1" t="str">
        <f ca="1">IFERROR(__xludf.DUMMYFUNCTION("""COMPUTED_VALUE"""),"Hombre")</f>
        <v>Hombre</v>
      </c>
      <c r="F72" s="1" t="str">
        <f ca="1">IFERROR(__xludf.DUMMYFUNCTION("""COMPUTED_VALUE"""),"Queretaro, Mexico")</f>
        <v>Queretaro, Mexico</v>
      </c>
      <c r="G72" s="1" t="str">
        <f ca="1">IFERROR(__xludf.DUMMYFUNCTION("""COMPUTED_VALUE"""),"saucedodan44@gmail.com")</f>
        <v>saucedodan44@gmail.com</v>
      </c>
      <c r="H72" s="1">
        <f ca="1">IFERROR(__xludf.DUMMYFUNCTION("""COMPUTED_VALUE"""),524423670699)</f>
        <v>524423670699</v>
      </c>
      <c r="I72" s="1" t="str">
        <f ca="1">IFERROR(__xludf.DUMMYFUNCTION("""COMPUTED_VALUE"""),"Semana de entrenamiento (07 - 13) Julio, Comunidad Jóvenes + 18 (14-19) Julio, Semana de niños y niñas (21-25) Julio, Jóvenes de 13 – 17 años / SEM1/ (28 Julio a 02 de agosto), Jóvenes de 13 – 17 años / SEM2/ (4 - 09 agosto), Jóvenes de 13 – 17 años / SEM"&amp;"3/ (11 - 16 agosto), Toda la temporada (07 de Julio al 16 de agosto)")</f>
        <v>Semana de entrenamiento (07 - 13) Julio, Comunidad Jóvenes + 18 (14-19) Julio, Semana de niños y niñas (21-25) Julio, Jóvenes de 13 – 17 años / SEM1/ (28 Julio a 02 de agosto), Jóvenes de 13 – 17 años / SEM2/ (4 - 09 agosto), Jóvenes de 13 – 17 años / SEM3/ (11 - 16 agosto), Toda la temporada (07 de Julio al 16 de agosto)</v>
      </c>
      <c r="J72" s="1" t="str">
        <f ca="1">IFERROR(__xludf.DUMMYFUNCTION("""COMPUTED_VALUE"""),"La Biblia y HS (Hora Silenciosa)")</f>
        <v>La Biblia y HS (Hora Silenciosa)</v>
      </c>
      <c r="K72" s="1" t="str">
        <f ca="1">IFERROR(__xludf.DUMMYFUNCTION("""COMPUTED_VALUE"""),"UNIFAM Querétaro (United Families In Christ)")</f>
        <v>UNIFAM Querétaro (United Families In Christ)</v>
      </c>
      <c r="L72" s="1" t="str">
        <f ca="1">IFERROR(__xludf.DUMMYFUNCTION("""COMPUTED_VALUE"""),"Porfirio Alexis Saucedo Durán")</f>
        <v>Porfirio Alexis Saucedo Durán</v>
      </c>
      <c r="M72" s="1">
        <f ca="1">IFERROR(__xludf.DUMMYFUNCTION("""COMPUTED_VALUE"""),525510455718)</f>
        <v>525510455718</v>
      </c>
      <c r="N72" s="1" t="str">
        <f ca="1">IFERROR(__xludf.DUMMYFUNCTION("""COMPUTED_VALUE"""),"alexissaucedoduran@gmail.com")</f>
        <v>alexissaucedoduran@gmail.com</v>
      </c>
      <c r="O72" s="1" t="str">
        <f ca="1">IFERROR(__xludf.DUMMYFUNCTION("""COMPUTED_VALUE"""),"Líder de adoloscentes en Club Bíblico (13-17 años)")</f>
        <v>Líder de adoloscentes en Club Bíblico (13-17 años)</v>
      </c>
      <c r="P72" s="1" t="str">
        <f ca="1">IFERROR(__xludf.DUMMYFUNCTION("""COMPUTED_VALUE"""),"Nací en cuna cristiana, así que desde que tengo uso de razón voy a la iglesia cristiana, conociendo de Dios, valores cristianos, historias bíblicas y la salvación que hay en Jesús porque somos pecadores. 
La verdad, después de estar toda mi niñez en la ig"&amp;"lesia, en mi adolescencia se me hizo algo simplemente como de costumbre y cotidiano en mi vida. Gracias a eso me enfríe espiritualmente sin tener una buena identidad en Dios como su hijo. 
Fue a mi edad de 15 años que pude entender realmente el evangelio "&amp;"y aceptar a Cristo en mi corazón como mi Señor y Salvador. A partir de ahí pude empezar a tener una relación personal con Dios y a la edad de 16 años me bauticé. 
Claro después de eso también vinieron pruebas en mi fe, con altos y bajos, pero Dios es grad"&amp;"e y amoroso, y siempre me haces recordar que Él es lo mejor que tengo en mi vida.")</f>
        <v>Nací en cuna cristiana, así que desde que tengo uso de razón voy a la iglesia cristiana, conociendo de Dios, valores cristianos, historias bíblicas y la salvación que hay en Jesús porque somos pecadores. 
La verdad, después de estar toda mi niñez en la iglesia, en mi adolescencia se me hizo algo simplemente como de costumbre y cotidiano en mi vida. Gracias a eso me enfríe espiritualmente sin tener una buena identidad en Dios como su hijo. 
Fue a mi edad de 15 años que pude entender realmente el evangelio y aceptar a Cristo en mi corazón como mi Señor y Salvador. A partir de ahí pude empezar a tener una relación personal con Dios y a la edad de 16 años me bauticé. 
Claro después de eso también vinieron pruebas en mi fe, con altos y bajos, pero Dios es grade y amoroso, y siempre me haces recordar que Él es lo mejor que tengo en mi vida.</v>
      </c>
      <c r="Q72" s="1" t="str">
        <f ca="1">IFERROR(__xludf.DUMMYFUNCTION("""COMPUTED_VALUE"""),"No hay mejor trabajo que invertir en el reino y servir al Señor. Siempre es un gusto y un privilegio poder servir a Dios junto con todo el equipo de PV y los Estudiantes del Instituto. La verdad esta temporada no iba a poder ir por temas académicos y pers"&amp;"onales, pero estuve orando y sabía que si era voluntad de Dios todo se iba a acomodar, y literalmente en estos días todo se ha acomodado para poder ir a servir un año más por su gracia. 
Y ya más personalmente, también quiero servir esta temporada porque "&amp;"va a ser la primera vez  donde voy a poder servir junto con mi hermano mayor (que estudia allá) y mi hermana  que también se va toda la temporada (si la aceptan, claro JAJAJA).")</f>
        <v>No hay mejor trabajo que invertir en el reino y servir al Señor. Siempre es un gusto y un privilegio poder servir a Dios junto con todo el equipo de PV y los Estudiantes del Instituto. La verdad esta temporada no iba a poder ir por temas académicos y personales, pero estuve orando y sabía que si era voluntad de Dios todo se iba a acomodar, y literalmente en estos días todo se ha acomodado para poder ir a servir un año más por su gracia. 
Y ya más personalmente, también quiero servir esta temporada porque va a ser la primera vez  donde voy a poder servir junto con mi hermano mayor (que estudia allá) y mi hermana  que también se va toda la temporada (si la aceptan, claro JAJAJA).</v>
      </c>
      <c r="R72" s="1" t="str">
        <f ca="1">IFERROR(__xludf.DUMMYFUNCTION("""COMPUTED_VALUE"""),"Si")</f>
        <v>Si</v>
      </c>
      <c r="S72" s="1" t="str">
        <f ca="1">IFERROR(__xludf.DUMMYFUNCTION("""COMPUTED_VALUE"""),"Natación, básquetbol y GYM")</f>
        <v>Natación, básquetbol y GYM</v>
      </c>
      <c r="T72" s="1" t="str">
        <f ca="1">IFERROR(__xludf.DUMMYFUNCTION("""COMPUTED_VALUE"""),"Si")</f>
        <v>Si</v>
      </c>
      <c r="U72" s="1" t="str">
        <f ca="1">IFERROR(__xludf.DUMMYFUNCTION("""COMPUTED_VALUE"""),"Guitarra, ukelele, flauta dulce, cajón y muuuy poco de piano")</f>
        <v>Guitarra, ukelele, flauta dulce, cajón y muuuy poco de piano</v>
      </c>
      <c r="V72" s="1" t="str">
        <f ca="1">IFERROR(__xludf.DUMMYFUNCTION("""COMPUTED_VALUE"""),"Psicología, Cadeta de Paramédicos (me graduaría primero Dios el 5 de julio) y Curso de Consejería Bíblica")</f>
        <v>Psicología, Cadeta de Paramédicos (me graduaría primero Dios el 5 de julio) y Curso de Consejería Bíblica</v>
      </c>
      <c r="W72" s="1" t="str">
        <f ca="1">IFERROR(__xludf.DUMMYFUNCTION("""COMPUTED_VALUE"""),"Futuramente (Dios Plan) TEM/TAMP.  Pensamiento analítico y crítico, liderazgo, solución de conflictos, escucha activa, colaboración, comunicación asertiva, empatía y memoria retentiva.")</f>
        <v>Futuramente (Dios Plan) TEM/TAMP.  Pensamiento analítico y crítico, liderazgo, solución de conflictos, escucha activa, colaboración, comunicación asertiva, empatía y memoria retentiva.</v>
      </c>
      <c r="X72" s="1" t="str">
        <f ca="1">IFERROR(__xludf.DUMMYFUNCTION("""COMPUTED_VALUE"""),"A. Soy un discipulador activo, B. Me gusta animar a las personas, C. Suelo buscar que el trabajo se realice en equipo, D. Me gustan los deportes, E. Me gusta el trabajo con niños, H. Soy organizado (a), I. Se me facilita el trabajo físico, J. Me gusta la "&amp;"atención a las personas, K. Soy creativo (a), L. Soy bueno (a) en canto o algún instrumento, N. Suelo llevar el liderazgo en un grupo, O. Puedo enseñar con facilidad")</f>
        <v>A. Soy un discipulador activo, B. Me gusta animar a las personas, C. Suelo buscar que el trabajo se realice en equipo, D. Me gustan los deportes, E. Me gusta el trabajo con niños, H. Soy organizado (a), I. Se me facilita el trabajo físico, J. Me gusta la atención a las personas, K. Soy creativo (a), L. Soy bueno (a) en canto o algún instrumento, N. Suelo llevar el liderazgo en un grupo, O. Puedo enseñar con facilidad</v>
      </c>
      <c r="Y72" s="1" t="str">
        <f ca="1">IFERROR(__xludf.DUMMYFUNCTION("""COMPUTED_VALUE"""),"Sí, en temporada Vuelve 2022")</f>
        <v>Sí, en temporada Vuelve 2022</v>
      </c>
      <c r="Z72" s="1"/>
    </row>
    <row r="73" spans="1:26" x14ac:dyDescent="0.35">
      <c r="A73" s="2">
        <f ca="1">IFERROR(__xludf.DUMMYFUNCTION("""COMPUTED_VALUE"""),45799.4632523148)</f>
        <v>45799.463252314803</v>
      </c>
      <c r="B73" s="1"/>
      <c r="C73" s="1" t="str">
        <f ca="1">IFERROR(__xludf.DUMMYFUNCTION("""COMPUTED_VALUE"""),"Sharon Daniela, Velazquez Sánchez")</f>
        <v>Sharon Daniela, Velazquez Sánchez</v>
      </c>
      <c r="D73" s="1">
        <f ca="1">IFERROR(__xludf.DUMMYFUNCTION("""COMPUTED_VALUE"""),19)</f>
        <v>19</v>
      </c>
      <c r="E73" s="1" t="str">
        <f ca="1">IFERROR(__xludf.DUMMYFUNCTION("""COMPUTED_VALUE"""),"Mujer")</f>
        <v>Mujer</v>
      </c>
      <c r="F73" s="1" t="str">
        <f ca="1">IFERROR(__xludf.DUMMYFUNCTION("""COMPUTED_VALUE"""),"Queretaro, Mexico")</f>
        <v>Queretaro, Mexico</v>
      </c>
      <c r="G73" s="1" t="str">
        <f ca="1">IFERROR(__xludf.DUMMYFUNCTION("""COMPUTED_VALUE"""),"sharondaniela.velazquez@gmail.com")</f>
        <v>sharondaniela.velazquez@gmail.com</v>
      </c>
      <c r="H73" s="1">
        <f ca="1">IFERROR(__xludf.DUMMYFUNCTION("""COMPUTED_VALUE"""),525520165962)</f>
        <v>525520165962</v>
      </c>
      <c r="I73" s="1" t="str">
        <f ca="1">IFERROR(__xludf.DUMMYFUNCTION("""COMPUTED_VALUE"""),"Toda la temporada (07 de Julio al 16 de agosto)")</f>
        <v>Toda la temporada (07 de Julio al 16 de agosto)</v>
      </c>
      <c r="J73" s="1" t="str">
        <f ca="1">IFERROR(__xludf.DUMMYFUNCTION("""COMPUTED_VALUE"""),"Tribu Jóvenes")</f>
        <v>Tribu Jóvenes</v>
      </c>
      <c r="K73" s="1" t="str">
        <f ca="1">IFERROR(__xludf.DUMMYFUNCTION("""COMPUTED_VALUE"""),"Vida Nueva para el Mundo")</f>
        <v>Vida Nueva para el Mundo</v>
      </c>
      <c r="L73" s="1" t="str">
        <f ca="1">IFERROR(__xludf.DUMMYFUNCTION("""COMPUTED_VALUE"""),"David Alducin")</f>
        <v>David Alducin</v>
      </c>
      <c r="M73" s="1">
        <f ca="1">IFERROR(__xludf.DUMMYFUNCTION("""COMPUTED_VALUE"""),527229808024)</f>
        <v>527229808024</v>
      </c>
      <c r="N73" s="1" t="str">
        <f ca="1">IFERROR(__xludf.DUMMYFUNCTION("""COMPUTED_VALUE"""),"iti_@live.com.mx")</f>
        <v>iti_@live.com.mx</v>
      </c>
      <c r="O73" s="1" t="str">
        <f ca="1">IFERROR(__xludf.DUMMYFUNCTION("""COMPUTED_VALUE"""),"Adolescentes y Jovenes")</f>
        <v>Adolescentes y Jovenes</v>
      </c>
      <c r="P73" s="1" t="str">
        <f ca="1">IFERROR(__xludf.DUMMYFUNCTION("""COMPUTED_VALUE"""),"Recibí a Cristo cuando cumplí 14 años 
Nací en una familia cristiana pero no comprendí el evangelio hasta esa edad")</f>
        <v>Recibí a Cristo cuando cumplí 14 años 
Nací en una familia cristiana pero no comprendí el evangelio hasta esa edad</v>
      </c>
      <c r="Q73" s="1" t="str">
        <f ca="1">IFERROR(__xludf.DUMMYFUNCTION("""COMPUTED_VALUE"""),"Quiero servir y también alimentarme del evangelio estas semanas")</f>
        <v>Quiero servir y también alimentarme del evangelio estas semanas</v>
      </c>
      <c r="R73" s="1" t="str">
        <f ca="1">IFERROR(__xludf.DUMMYFUNCTION("""COMPUTED_VALUE"""),"Si")</f>
        <v>Si</v>
      </c>
      <c r="S73" s="1" t="str">
        <f ca="1">IFERROR(__xludf.DUMMYFUNCTION("""COMPUTED_VALUE"""),"Natación")</f>
        <v>Natación</v>
      </c>
      <c r="T73" s="1" t="str">
        <f ca="1">IFERROR(__xludf.DUMMYFUNCTION("""COMPUTED_VALUE"""),"No")</f>
        <v>No</v>
      </c>
      <c r="U73" s="1"/>
      <c r="V73" s="1" t="str">
        <f ca="1">IFERROR(__xludf.DUMMYFUNCTION("""COMPUTED_VALUE"""),"Ingeniería Industrial")</f>
        <v>Ingeniería Industrial</v>
      </c>
      <c r="W73" s="1" t="str">
        <f ca="1">IFERROR(__xludf.DUMMYFUNCTION("""COMPUTED_VALUE"""),"N/A")</f>
        <v>N/A</v>
      </c>
      <c r="X73" s="1" t="str">
        <f ca="1">IFERROR(__xludf.DUMMYFUNCTION("""COMPUTED_VALUE"""),"B. Me gusta animar a las personas, C. Suelo buscar que el trabajo se realice en equipo, D. Me gustan los deportes, E. Me gusta el trabajo con niños, K. Soy creativo (a), M. Soy bueno (a) con los números, N. Suelo llevar el liderazgo en un grupo, O. Puedo "&amp;"enseñar con facilidad")</f>
        <v>B. Me gusta animar a las personas, C. Suelo buscar que el trabajo se realice en equipo, D. Me gustan los deportes, E. Me gusta el trabajo con niños, K. Soy creativo (a), M. Soy bueno (a) con los números, N. Suelo llevar el liderazgo en un grupo, O. Puedo enseñar con facilidad</v>
      </c>
      <c r="Y73" s="1" t="str">
        <f ca="1">IFERROR(__xludf.DUMMYFUNCTION("""COMPUTED_VALUE"""),"Si, en el 2024")</f>
        <v>Si, en el 2024</v>
      </c>
      <c r="Z73" s="1"/>
    </row>
    <row r="74" spans="1:26" x14ac:dyDescent="0.35">
      <c r="A74" s="2">
        <f ca="1">IFERROR(__xludf.DUMMYFUNCTION("""COMPUTED_VALUE"""),45799.6124421296)</f>
        <v>45799.612442129597</v>
      </c>
      <c r="B74" s="1"/>
      <c r="C74" s="1" t="str">
        <f ca="1">IFERROR(__xludf.DUMMYFUNCTION("""COMPUTED_VALUE"""),"Adrian Antonio, Salazar Sanchez")</f>
        <v>Adrian Antonio, Salazar Sanchez</v>
      </c>
      <c r="D74" s="1">
        <f ca="1">IFERROR(__xludf.DUMMYFUNCTION("""COMPUTED_VALUE"""),22)</f>
        <v>22</v>
      </c>
      <c r="E74" s="1" t="str">
        <f ca="1">IFERROR(__xludf.DUMMYFUNCTION("""COMPUTED_VALUE"""),"Hombre")</f>
        <v>Hombre</v>
      </c>
      <c r="F74" s="1" t="str">
        <f ca="1">IFERROR(__xludf.DUMMYFUNCTION("""COMPUTED_VALUE"""),"Mexico, Mexico")</f>
        <v>Mexico, Mexico</v>
      </c>
      <c r="G74" s="1" t="str">
        <f ca="1">IFERROR(__xludf.DUMMYFUNCTION("""COMPUTED_VALUE"""),"salazar.adrian.1gmatutino@gmail.com")</f>
        <v>salazar.adrian.1gmatutino@gmail.com</v>
      </c>
      <c r="H74" s="1">
        <f ca="1">IFERROR(__xludf.DUMMYFUNCTION("""COMPUTED_VALUE"""),525583728009)</f>
        <v>525583728009</v>
      </c>
      <c r="I74" s="1" t="str">
        <f ca="1">IFERROR(__xludf.DUMMYFUNCTION("""COMPUTED_VALUE"""),"Semana de entrenamiento (07 - 13) Julio, Comunidad Jóvenes + 18 (14-19) Julio, Semana de niños y niñas (21-25) Julio")</f>
        <v>Semana de entrenamiento (07 - 13) Julio, Comunidad Jóvenes + 18 (14-19) Julio, Semana de niños y niñas (21-25) Julio</v>
      </c>
      <c r="J74" s="1" t="str">
        <f ca="1">IFERROR(__xludf.DUMMYFUNCTION("""COMPUTED_VALUE"""),"El de mi iglesia/Sin nombre")</f>
        <v>El de mi iglesia/Sin nombre</v>
      </c>
      <c r="K74" s="1" t="str">
        <f ca="1">IFERROR(__xludf.DUMMYFUNCTION("""COMPUTED_VALUE"""),"Comunidad Cristiana Vida Abundante")</f>
        <v>Comunidad Cristiana Vida Abundante</v>
      </c>
      <c r="L74" s="1" t="str">
        <f ca="1">IFERROR(__xludf.DUMMYFUNCTION("""COMPUTED_VALUE"""),"Benjamín Avilés Chaparro")</f>
        <v>Benjamín Avilés Chaparro</v>
      </c>
      <c r="M74" s="1">
        <f ca="1">IFERROR(__xludf.DUMMYFUNCTION("""COMPUTED_VALUE"""),525535889519)</f>
        <v>525535889519</v>
      </c>
      <c r="N74" s="1" t="str">
        <f ca="1">IFERROR(__xludf.DUMMYFUNCTION("""COMPUTED_VALUE"""),"wwjdben@hotmail.com")</f>
        <v>wwjdben@hotmail.com</v>
      </c>
      <c r="O74" s="1" t="str">
        <f ca="1">IFERROR(__xludf.DUMMYFUNCTION("""COMPUTED_VALUE"""),"Ministerio de Alabanza")</f>
        <v>Ministerio de Alabanza</v>
      </c>
      <c r="P74" s="1" t="str">
        <f ca="1">IFERROR(__xludf.DUMMYFUNCTION("""COMPUTED_VALUE"""),"Mi vida fue apartada para el servicio de Dios desde antes que yo naciese y aún sin saberlo siempre cuidó de mi, me protegió y me preparó para afrontar una de las noticias más fuertes a los 12 años. Jesús me sacó de la depresión, no solo dió sanidad a mi c"&amp;"uerpo sino también a mi espíritu además que me dió un motivo para vivir.")</f>
        <v>Mi vida fue apartada para el servicio de Dios desde antes que yo naciese y aún sin saberlo siempre cuidó de mi, me protegió y me preparó para afrontar una de las noticias más fuertes a los 12 años. Jesús me sacó de la depresión, no solo dió sanidad a mi cuerpo sino también a mi espíritu además que me dió un motivo para vivir.</v>
      </c>
      <c r="Q74" s="1" t="str">
        <f ca="1">IFERROR(__xludf.DUMMYFUNCTION("""COMPUTED_VALUE"""),"Es mi deseo prepararme en el camino del Señor, ser imitador de Cristo y se bien que no lo haré únicamente asistiendo al campamento pero si es parte de mi crecimiento el servir tal y como Jesús lo hizo, sirviendo a su iglesia, aprendiendo y compartiendo a "&amp;"su vez todo lo que pueda.")</f>
        <v>Es mi deseo prepararme en el camino del Señor, ser imitador de Cristo y se bien que no lo haré únicamente asistiendo al campamento pero si es parte de mi crecimiento el servir tal y como Jesús lo hizo, sirviendo a su iglesia, aprendiendo y compartiendo a su vez todo lo que pueda.</v>
      </c>
      <c r="R74" s="1" t="str">
        <f ca="1">IFERROR(__xludf.DUMMYFUNCTION("""COMPUTED_VALUE"""),"Si")</f>
        <v>Si</v>
      </c>
      <c r="S74" s="1" t="str">
        <f ca="1">IFERROR(__xludf.DUMMYFUNCTION("""COMPUTED_VALUE"""),"Fútbol y Boxeo")</f>
        <v>Fútbol y Boxeo</v>
      </c>
      <c r="T74" s="1" t="str">
        <f ca="1">IFERROR(__xludf.DUMMYFUNCTION("""COMPUTED_VALUE"""),"Si")</f>
        <v>Si</v>
      </c>
      <c r="U74" s="1" t="str">
        <f ca="1">IFERROR(__xludf.DUMMYFUNCTION("""COMPUTED_VALUE"""),"Guitarra Acústica")</f>
        <v>Guitarra Acústica</v>
      </c>
      <c r="V74" s="1" t="str">
        <f ca="1">IFERROR(__xludf.DUMMYFUNCTION("""COMPUTED_VALUE"""),"Ingeniería en Sistemas y Comunicaciones")</f>
        <v>Ingeniería en Sistemas y Comunicaciones</v>
      </c>
      <c r="W74" s="1" t="str">
        <f ca="1">IFERROR(__xludf.DUMMYFUNCTION("""COMPUTED_VALUE"""),"Habilidades musicales")</f>
        <v>Habilidades musicales</v>
      </c>
      <c r="X74" s="1" t="str">
        <f ca="1">IFERROR(__xludf.DUMMYFUNCTION("""COMPUTED_VALUE"""),"C. Suelo buscar que el trabajo se realice en equipo, D. Me gustan los deportes, H. Soy organizado (a), I. Se me facilita el trabajo físico, K. Soy creativo (a), L. Soy bueno (a) en canto o algún instrumento, N. Suelo llevar el liderazgo en un grupo")</f>
        <v>C. Suelo buscar que el trabajo se realice en equipo, D. Me gustan los deportes, H. Soy organizado (a), I. Se me facilita el trabajo físico, K. Soy creativo (a), L. Soy bueno (a) en canto o algún instrumento, N. Suelo llevar el liderazgo en un grupo</v>
      </c>
      <c r="Y74" s="1" t="str">
        <f ca="1">IFERROR(__xludf.DUMMYFUNCTION("""COMPUTED_VALUE"""),"Campero hace 3 años en el campamento “Vuelve 2022”")</f>
        <v>Campero hace 3 años en el campamento “Vuelve 2022”</v>
      </c>
      <c r="Z74" s="1"/>
    </row>
    <row r="75" spans="1:26" x14ac:dyDescent="0.35">
      <c r="A75" s="2">
        <f ca="1">IFERROR(__xludf.DUMMYFUNCTION("""COMPUTED_VALUE"""),45801.3718634259)</f>
        <v>45801.371863425898</v>
      </c>
      <c r="B75" s="1"/>
      <c r="C75" s="1" t="str">
        <f ca="1">IFERROR(__xludf.DUMMYFUNCTION("""COMPUTED_VALUE"""),"Yamile Berenice, Carbajal Miranda")</f>
        <v>Yamile Berenice, Carbajal Miranda</v>
      </c>
      <c r="D75" s="1">
        <f ca="1">IFERROR(__xludf.DUMMYFUNCTION("""COMPUTED_VALUE"""),20)</f>
        <v>20</v>
      </c>
      <c r="E75" s="1" t="str">
        <f ca="1">IFERROR(__xludf.DUMMYFUNCTION("""COMPUTED_VALUE"""),"Mujer")</f>
        <v>Mujer</v>
      </c>
      <c r="F75" s="1" t="str">
        <f ca="1">IFERROR(__xludf.DUMMYFUNCTION("""COMPUTED_VALUE"""),"Jalisco, Mexico")</f>
        <v>Jalisco, Mexico</v>
      </c>
      <c r="G75" s="1" t="str">
        <f ca="1">IFERROR(__xludf.DUMMYFUNCTION("""COMPUTED_VALUE"""),"yamilemen1@gmail.com")</f>
        <v>yamilemen1@gmail.com</v>
      </c>
      <c r="H75" s="1">
        <f ca="1">IFERROR(__xludf.DUMMYFUNCTION("""COMPUTED_VALUE"""),523327186652)</f>
        <v>523327186652</v>
      </c>
      <c r="I75" s="1" t="str">
        <f ca="1">IFERROR(__xludf.DUMMYFUNCTION("""COMPUTED_VALUE"""),"Semana de niños y niñas (21-25) Julio, Jóvenes de 13 – 17 años / SEM1/ (28 Julio a 02 de agosto), Jóvenes de 13 – 17 años / SEM2/ (4 - 09 agosto), Jóvenes de 13 – 17 años / SEM3/ (11 - 16 agosto)")</f>
        <v>Semana de niños y niñas (21-25) Julio, Jóvenes de 13 – 17 años / SEM1/ (28 Julio a 02 de agosto), Jóvenes de 13 – 17 años / SEM2/ (4 - 09 agosto), Jóvenes de 13 – 17 años / SEM3/ (11 - 16 agosto)</v>
      </c>
      <c r="J75" s="1" t="str">
        <f ca="1">IFERROR(__xludf.DUMMYFUNCTION("""COMPUTED_VALUE"""),"Biblia y hora silenciosa")</f>
        <v>Biblia y hora silenciosa</v>
      </c>
      <c r="K75" s="1" t="str">
        <f ca="1">IFERROR(__xludf.DUMMYFUNCTION("""COMPUTED_VALUE"""),"Iglesia Vida")</f>
        <v>Iglesia Vida</v>
      </c>
      <c r="L75" s="1" t="str">
        <f ca="1">IFERROR(__xludf.DUMMYFUNCTION("""COMPUTED_VALUE"""),"Neftalí Rubio Bonilla")</f>
        <v>Neftalí Rubio Bonilla</v>
      </c>
      <c r="M75" s="1">
        <f ca="1">IFERROR(__xludf.DUMMYFUNCTION("""COMPUTED_VALUE"""),524411036024)</f>
        <v>524411036024</v>
      </c>
      <c r="N75" s="1" t="str">
        <f ca="1">IFERROR(__xludf.DUMMYFUNCTION("""COMPUTED_VALUE"""),"Nefaly@gmail.con")</f>
        <v>Nefaly@gmail.con</v>
      </c>
      <c r="O75" s="1" t="str">
        <f ca="1">IFERROR(__xludf.DUMMYFUNCTION("""COMPUTED_VALUE"""),"Adolescentes")</f>
        <v>Adolescentes</v>
      </c>
      <c r="P75" s="1" t="str">
        <f ca="1">IFERROR(__xludf.DUMMYFUNCTION("""COMPUTED_VALUE"""),"Desde niña mi familia me ha inculcado la fe pero a los 8 años decidí aceptar a Cristo en mi corazón y bautizarme pero llegando a la adolescencia fue un momento complicado ya que mi papá murió a mis 9 y mi madre trabajaba todo el día para mantenernos a mi "&amp;"y a mi familia. Me sentía en una soledad tremenda donde no encontraba salida, hasta que Dios obró en mi vida y me llevó a debilitarme tanto que lo busque. Ahora soy una mujer limpia y Dios me rescato de una vida de perdición")</f>
        <v>Desde niña mi familia me ha inculcado la fe pero a los 8 años decidí aceptar a Cristo en mi corazón y bautizarme pero llegando a la adolescencia fue un momento complicado ya que mi papá murió a mis 9 y mi madre trabajaba todo el día para mantenernos a mi y a mi familia. Me sentía en una soledad tremenda donde no encontraba salida, hasta que Dios obró en mi vida y me llevó a debilitarme tanto que lo busque. Ahora soy una mujer limpia y Dios me rescato de una vida de perdición</v>
      </c>
      <c r="Q75" s="1" t="str">
        <f ca="1">IFERROR(__xludf.DUMMYFUNCTION("""COMPUTED_VALUE"""),"El año pasado fui por primera vez a ser equipante en campamento como consejera y fue una experiencia maravillosa, donde Dios me hablo a través de las amistades que me dio y de las niñas que llegaban cada semana con experiencia dolorosas pero siempre confi"&amp;"ando en Dios.")</f>
        <v>El año pasado fui por primera vez a ser equipante en campamento como consejera y fue una experiencia maravillosa, donde Dios me hablo a través de las amistades que me dio y de las niñas que llegaban cada semana con experiencia dolorosas pero siempre confiando en Dios.</v>
      </c>
      <c r="R75" s="1" t="str">
        <f ca="1">IFERROR(__xludf.DUMMYFUNCTION("""COMPUTED_VALUE"""),"No")</f>
        <v>No</v>
      </c>
      <c r="S75" s="1"/>
      <c r="T75" s="1" t="str">
        <f ca="1">IFERROR(__xludf.DUMMYFUNCTION("""COMPUTED_VALUE"""),"No")</f>
        <v>No</v>
      </c>
      <c r="U75" s="1"/>
      <c r="V75" s="1" t="str">
        <f ca="1">IFERROR(__xludf.DUMMYFUNCTION("""COMPUTED_VALUE"""),"Estudio teología en Cristo Para las Naciones")</f>
        <v>Estudio teología en Cristo Para las Naciones</v>
      </c>
      <c r="W75" s="1" t="str">
        <f ca="1">IFERROR(__xludf.DUMMYFUNCTION("""COMPUTED_VALUE"""),"Soy buena aconsejando y me encanta tener una relación con las personas")</f>
        <v>Soy buena aconsejando y me encanta tener una relación con las personas</v>
      </c>
      <c r="X75" s="1" t="str">
        <f ca="1">IFERROR(__xludf.DUMMYFUNCTION("""COMPUTED_VALUE"""),"A. Soy un discipulador activo, B. Me gusta animar a las personas, H. Soy organizado (a), J. Me gusta la atención a las personas, O. Puedo enseñar con facilidad")</f>
        <v>A. Soy un discipulador activo, B. Me gusta animar a las personas, H. Soy organizado (a), J. Me gusta la atención a las personas, O. Puedo enseñar con facilidad</v>
      </c>
      <c r="Y75" s="1" t="str">
        <f ca="1">IFERROR(__xludf.DUMMYFUNCTION("""COMPUTED_VALUE"""),"Si. Desde el 2019")</f>
        <v>Si. Desde el 2019</v>
      </c>
      <c r="Z75" s="1"/>
    </row>
    <row r="76" spans="1:26" x14ac:dyDescent="0.35">
      <c r="A76" s="2">
        <f ca="1">IFERROR(__xludf.DUMMYFUNCTION("""COMPUTED_VALUE"""),45802.6998958333)</f>
        <v>45802.699895833299</v>
      </c>
      <c r="B76" s="1"/>
      <c r="C76" s="1" t="str">
        <f ca="1">IFERROR(__xludf.DUMMYFUNCTION("""COMPUTED_VALUE"""),"Britney, Mares Gonzalez")</f>
        <v>Britney, Mares Gonzalez</v>
      </c>
      <c r="D76" s="1">
        <f ca="1">IFERROR(__xludf.DUMMYFUNCTION("""COMPUTED_VALUE"""),18)</f>
        <v>18</v>
      </c>
      <c r="E76" s="1" t="str">
        <f ca="1">IFERROR(__xludf.DUMMYFUNCTION("""COMPUTED_VALUE"""),"Mujer")</f>
        <v>Mujer</v>
      </c>
      <c r="F76" s="1" t="str">
        <f ca="1">IFERROR(__xludf.DUMMYFUNCTION("""COMPUTED_VALUE"""),"Queretaro, Mexico")</f>
        <v>Queretaro, Mexico</v>
      </c>
      <c r="G76" s="1" t="str">
        <f ca="1">IFERROR(__xludf.DUMMYFUNCTION("""COMPUTED_VALUE"""),"britneymares11@gmail.com")</f>
        <v>britneymares11@gmail.com</v>
      </c>
      <c r="H76" s="1">
        <f ca="1">IFERROR(__xludf.DUMMYFUNCTION("""COMPUTED_VALUE"""),526771038847)</f>
        <v>526771038847</v>
      </c>
      <c r="I76" s="1" t="str">
        <f ca="1">IFERROR(__xludf.DUMMYFUNCTION("""COMPUTED_VALUE"""),"Semana de entrenamiento (07 - 13) Julio, Comunidad Jóvenes + 18 (14-19) Julio, Semana de niños y niñas (21-25) Julio, Jóvenes de 13 – 17 años / SEM1/ (28 Julio a 02 de agosto)")</f>
        <v>Semana de entrenamiento (07 - 13) Julio, Comunidad Jóvenes + 18 (14-19) Julio, Semana de niños y niñas (21-25) Julio, Jóvenes de 13 – 17 años / SEM1/ (28 Julio a 02 de agosto)</v>
      </c>
      <c r="J76" s="1" t="str">
        <f ca="1">IFERROR(__xludf.DUMMYFUNCTION("""COMPUTED_VALUE"""),"Faith that works")</f>
        <v>Faith that works</v>
      </c>
      <c r="K76" s="1" t="str">
        <f ca="1">IFERROR(__xludf.DUMMYFUNCTION("""COMPUTED_VALUE"""),"Iglesia conexión vertical")</f>
        <v>Iglesia conexión vertical</v>
      </c>
      <c r="L76" s="1" t="str">
        <f ca="1">IFERROR(__xludf.DUMMYFUNCTION("""COMPUTED_VALUE"""),"Marcelo Jorquera")</f>
        <v>Marcelo Jorquera</v>
      </c>
      <c r="M76" s="1">
        <f ca="1">IFERROR(__xludf.DUMMYFUNCTION("""COMPUTED_VALUE"""),524411000876)</f>
        <v>524411000876</v>
      </c>
      <c r="N76" s="1" t="str">
        <f ca="1">IFERROR(__xludf.DUMMYFUNCTION("""COMPUTED_VALUE"""),"mdjorquerap@gmail.com")</f>
        <v>mdjorquerap@gmail.com</v>
      </c>
      <c r="O76" s="1" t="str">
        <f ca="1">IFERROR(__xludf.DUMMYFUNCTION("""COMPUTED_VALUE"""),"Por el momento ninguno")</f>
        <v>Por el momento ninguno</v>
      </c>
      <c r="P76" s="1" t="str">
        <f ca="1">IFERROR(__xludf.DUMMYFUNCTION("""COMPUTED_VALUE"""),"Mi mamá fue quien me presentó el evangelio y de niña acepté a Cristo en mi corazón. Fui creciendo y aprendiendo más sobre la palabra de Dios y hasta el dia de hoy sigo buscando aprender y acercarme más y más a Dios!")</f>
        <v>Mi mamá fue quien me presentó el evangelio y de niña acepté a Cristo en mi corazón. Fui creciendo y aprendiendo más sobre la palabra de Dios y hasta el dia de hoy sigo buscando aprender y acercarme más y más a Dios!</v>
      </c>
      <c r="Q76" s="1" t="str">
        <f ca="1">IFERROR(__xludf.DUMMYFUNCTION("""COMPUTED_VALUE"""),"Ya he ido a servir al campamento y cada vez ha sido una experiencia maravillosa servirle a Dios en éste campamento! Éste año Dios ha puesto en mi corazón nuevamente el deseo de asistir como equipante")</f>
        <v>Ya he ido a servir al campamento y cada vez ha sido una experiencia maravillosa servirle a Dios en éste campamento! Éste año Dios ha puesto en mi corazón nuevamente el deseo de asistir como equipante</v>
      </c>
      <c r="R76" s="1" t="str">
        <f ca="1">IFERROR(__xludf.DUMMYFUNCTION("""COMPUTED_VALUE"""),"No")</f>
        <v>No</v>
      </c>
      <c r="S76" s="1"/>
      <c r="T76" s="1" t="str">
        <f ca="1">IFERROR(__xludf.DUMMYFUNCTION("""COMPUTED_VALUE"""),"No")</f>
        <v>No</v>
      </c>
      <c r="U76" s="1"/>
      <c r="V76" s="1" t="str">
        <f ca="1">IFERROR(__xludf.DUMMYFUNCTION("""COMPUTED_VALUE"""),"Sobrecargo")</f>
        <v>Sobrecargo</v>
      </c>
      <c r="W76" s="1" t="str">
        <f ca="1">IFERROR(__xludf.DUMMYFUNCTION("""COMPUTED_VALUE"""),"Se tocar el piano")</f>
        <v>Se tocar el piano</v>
      </c>
      <c r="X76" s="1" t="str">
        <f ca="1">IFERROR(__xludf.DUMMYFUNCTION("""COMPUTED_VALUE"""),"B. Me gusta animar a las personas, C. Suelo buscar que el trabajo se realice en equipo, D. Me gustan los deportes, H. Soy organizado (a), I. Se me facilita el trabajo físico")</f>
        <v>B. Me gusta animar a las personas, C. Suelo buscar que el trabajo se realice en equipo, D. Me gustan los deportes, H. Soy organizado (a), I. Se me facilita el trabajo físico</v>
      </c>
      <c r="Y76" s="1" t="str">
        <f ca="1">IFERROR(__xludf.DUMMYFUNCTION("""COMPUTED_VALUE"""),"Si, adolescentes")</f>
        <v>Si, adolescentes</v>
      </c>
      <c r="Z76" s="1"/>
    </row>
    <row r="77" spans="1:26" x14ac:dyDescent="0.35">
      <c r="A77" s="2">
        <f ca="1">IFERROR(__xludf.DUMMYFUNCTION("""COMPUTED_VALUE"""),45803.4056944444)</f>
        <v>45803.405694444402</v>
      </c>
      <c r="B77" s="1"/>
      <c r="C77" s="1" t="str">
        <f ca="1">IFERROR(__xludf.DUMMYFUNCTION("""COMPUTED_VALUE"""),"Sharon, Nava montemayor")</f>
        <v>Sharon, Nava montemayor</v>
      </c>
      <c r="D77" s="1">
        <f ca="1">IFERROR(__xludf.DUMMYFUNCTION("""COMPUTED_VALUE"""),21)</f>
        <v>21</v>
      </c>
      <c r="E77" s="1" t="str">
        <f ca="1">IFERROR(__xludf.DUMMYFUNCTION("""COMPUTED_VALUE"""),"Mujer")</f>
        <v>Mujer</v>
      </c>
      <c r="F77" s="1" t="str">
        <f ca="1">IFERROR(__xludf.DUMMYFUNCTION("""COMPUTED_VALUE"""),"Queretaro, Mexico")</f>
        <v>Queretaro, Mexico</v>
      </c>
      <c r="G77" s="1" t="str">
        <f ca="1">IFERROR(__xludf.DUMMYFUNCTION("""COMPUTED_VALUE"""),"snava8942@gmail.com")</f>
        <v>snava8942@gmail.com</v>
      </c>
      <c r="H77" s="1">
        <f ca="1">IFERROR(__xludf.DUMMYFUNCTION("""COMPUTED_VALUE"""),524461442044)</f>
        <v>524461442044</v>
      </c>
      <c r="I77" s="1" t="str">
        <f ca="1">IFERROR(__xludf.DUMMYFUNCTION("""COMPUTED_VALUE"""),"Semana de entrenamiento (07 - 13) Julio, Comunidad Jóvenes + 18 (14-19) Julio, Semana de niños y niñas (21-25) Julio, Jóvenes de 13 – 17 años / SEM1/ (28 Julio a 02 de agosto), Jóvenes de 13 – 17 años / SEM2/ (4 - 09 agosto)")</f>
        <v>Semana de entrenamiento (07 - 13) Julio, Comunidad Jóvenes + 18 (14-19) Julio, Semana de niños y niñas (21-25) Julio, Jóvenes de 13 – 17 años / SEM1/ (28 Julio a 02 de agosto), Jóvenes de 13 – 17 años / SEM2/ (4 - 09 agosto)</v>
      </c>
      <c r="J77" s="1" t="str">
        <f ca="1">IFERROR(__xludf.DUMMYFUNCTION("""COMPUTED_VALUE"""),"Estudio hechos y salmos por ahora")</f>
        <v>Estudio hechos y salmos por ahora</v>
      </c>
      <c r="K77" s="1" t="str">
        <f ca="1">IFERROR(__xludf.DUMMYFUNCTION("""COMPUTED_VALUE"""),"Iglesia biblica juriquilla")</f>
        <v>Iglesia biblica juriquilla</v>
      </c>
      <c r="L77" s="1" t="str">
        <f ca="1">IFERROR(__xludf.DUMMYFUNCTION("""COMPUTED_VALUE"""),"Pablo Ferrari")</f>
        <v>Pablo Ferrari</v>
      </c>
      <c r="M77" s="1">
        <f ca="1">IFERROR(__xludf.DUMMYFUNCTION("""COMPUTED_VALUE"""),52524423303874)</f>
        <v>52524423303874</v>
      </c>
      <c r="N77" s="1" t="str">
        <f ca="1">IFERROR(__xludf.DUMMYFUNCTION("""COMPUTED_VALUE"""),"pabloyfine@gmail.com")</f>
        <v>pabloyfine@gmail.com</v>
      </c>
      <c r="O77" s="1" t="str">
        <f ca="1">IFERROR(__xludf.DUMMYFUNCTION("""COMPUTED_VALUE"""),"Limpieza, cafetería bienvenida")</f>
        <v>Limpieza, cafetería bienvenida</v>
      </c>
      <c r="P77" s="1" t="str">
        <f ca="1">IFERROR(__xludf.DUMMYFUNCTION("""COMPUTED_VALUE"""),"Nací en Saltillo, por problemas de amenazas y seguridad,nos mudamos a quéretaro aquí conocí a mi abuela que fue un gran testimonio en mi vida ella era una hija de Dios tan servicial y activa , cuando llegué aquí me metí a nado sincronizado y mis amigas er"&amp;"an loquillas, del mundo y me vi en ese contraste, donde quería estar, mi iglesia (que iba porque me obligaban) jaja yo la veía y me encantaba eran tan lindos cantaban servían etc y me vi y dije quiero conocer a Dios entonces decidí ir a una escuela a estu"&amp;"diar teológia y ahí fue donde realmente conocí a Dios un Dios amoroso perdonador, creador de todo, conocí a mi Dios")</f>
        <v>Nací en Saltillo, por problemas de amenazas y seguridad,nos mudamos a quéretaro aquí conocí a mi abuela que fue un gran testimonio en mi vida ella era una hija de Dios tan servicial y activa , cuando llegué aquí me metí a nado sincronizado y mis amigas eran loquillas, del mundo y me vi en ese contraste, donde quería estar, mi iglesia (que iba porque me obligaban) jaja yo la veía y me encantaba eran tan lindos cantaban servían etc y me vi y dije quiero conocer a Dios entonces decidí ir a una escuela a estudiar teológia y ahí fue donde realmente conocí a Dios un Dios amoroso perdonador, creador de todo, conocí a mi Dios</v>
      </c>
      <c r="Q77" s="1" t="str">
        <f ca="1">IFERROR(__xludf.DUMMYFUNCTION("""COMPUTED_VALUE"""),"Ya estaba en mi corazón servir en un campamento donde puedan conocer gente de Dios, el año pasado fui y me encantó quisiera ir de nuevo")</f>
        <v>Ya estaba en mi corazón servir en un campamento donde puedan conocer gente de Dios, el año pasado fui y me encantó quisiera ir de nuevo</v>
      </c>
      <c r="R77" s="1" t="str">
        <f ca="1">IFERROR(__xludf.DUMMYFUNCTION("""COMPUTED_VALUE"""),"No")</f>
        <v>No</v>
      </c>
      <c r="S77" s="1"/>
      <c r="T77" s="1" t="str">
        <f ca="1">IFERROR(__xludf.DUMMYFUNCTION("""COMPUTED_VALUE"""),"No")</f>
        <v>No</v>
      </c>
      <c r="U77" s="1"/>
      <c r="V77" s="1" t="str">
        <f ca="1">IFERROR(__xludf.DUMMYFUNCTION("""COMPUTED_VALUE"""),"Estoy trabajando")</f>
        <v>Estoy trabajando</v>
      </c>
      <c r="W77" s="1" t="str">
        <f ca="1">IFERROR(__xludf.DUMMYFUNCTION("""COMPUTED_VALUE"""),"Soy buena en las actividades deportivas, responsable, creativa,")</f>
        <v>Soy buena en las actividades deportivas, responsable, creativa,</v>
      </c>
      <c r="X77" s="1" t="str">
        <f ca="1">IFERROR(__xludf.DUMMYFUNCTION("""COMPUTED_VALUE"""),"B. Me gusta animar a las personas, C. Suelo buscar que el trabajo se realice en equipo, D. Me gustan los deportes, E. Me gusta el trabajo con niños, H. Soy organizado (a), I. Se me facilita el trabajo físico, J. Me gusta la atención a las personas, K. Soy"&amp;" creativo (a), M. Soy bueno (a) con los números")</f>
        <v>B. Me gusta animar a las personas, C. Suelo buscar que el trabajo se realice en equipo, D. Me gustan los deportes, E. Me gusta el trabajo con niños, H. Soy organizado (a), I. Se me facilita el trabajo físico, J. Me gusta la atención a las personas, K. Soy creativo (a), M. Soy bueno (a) con los números</v>
      </c>
      <c r="Y77" s="1" t="str">
        <f ca="1">IFERROR(__xludf.DUMMYFUNCTION("""COMPUTED_VALUE"""),"Si el año pasado")</f>
        <v>Si el año pasado</v>
      </c>
      <c r="Z77" s="1"/>
    </row>
    <row r="78" spans="1:26" x14ac:dyDescent="0.35">
      <c r="A78" s="2">
        <f ca="1">IFERROR(__xludf.DUMMYFUNCTION("""COMPUTED_VALUE"""),45803.4270833333)</f>
        <v>45803.427083333299</v>
      </c>
      <c r="B78" s="1"/>
      <c r="C78" s="1" t="str">
        <f ca="1">IFERROR(__xludf.DUMMYFUNCTION("""COMPUTED_VALUE"""),"Nubia dalila, Franco González")</f>
        <v>Nubia dalila, Franco González</v>
      </c>
      <c r="D78" s="1">
        <f ca="1">IFERROR(__xludf.DUMMYFUNCTION("""COMPUTED_VALUE"""),36)</f>
        <v>36</v>
      </c>
      <c r="E78" s="1" t="str">
        <f ca="1">IFERROR(__xludf.DUMMYFUNCTION("""COMPUTED_VALUE"""),"Mujer")</f>
        <v>Mujer</v>
      </c>
      <c r="F78" s="1" t="str">
        <f ca="1">IFERROR(__xludf.DUMMYFUNCTION("""COMPUTED_VALUE"""),"Hidalgo, Mexico")</f>
        <v>Hidalgo, Mexico</v>
      </c>
      <c r="G78" s="1" t="str">
        <f ca="1">IFERROR(__xludf.DUMMYFUNCTION("""COMPUTED_VALUE"""),"liv4j@hotmail.com")</f>
        <v>liv4j@hotmail.com</v>
      </c>
      <c r="H78" s="1">
        <f ca="1">IFERROR(__xludf.DUMMYFUNCTION("""COMPUTED_VALUE"""),527713232425)</f>
        <v>527713232425</v>
      </c>
      <c r="I78" s="1" t="str">
        <f ca="1">IFERROR(__xludf.DUMMYFUNCTION("""COMPUTED_VALUE"""),"Comunidad Jóvenes + 18 (14-19) Julio")</f>
        <v>Comunidad Jóvenes + 18 (14-19) Julio</v>
      </c>
      <c r="J78" s="1" t="str">
        <f ca="1">IFERROR(__xludf.DUMMYFUNCTION("""COMPUTED_VALUE"""),"Verso a verso")</f>
        <v>Verso a verso</v>
      </c>
      <c r="K78" s="1" t="str">
        <f ca="1">IFERROR(__xludf.DUMMYFUNCTION("""COMPUTED_VALUE"""),"Semilla de Mostaza")</f>
        <v>Semilla de Mostaza</v>
      </c>
      <c r="L78" s="1" t="str">
        <f ca="1">IFERROR(__xludf.DUMMYFUNCTION("""COMPUTED_VALUE"""),"Eduardo Varela")</f>
        <v>Eduardo Varela</v>
      </c>
      <c r="M78" s="1">
        <f ca="1">IFERROR(__xludf.DUMMYFUNCTION("""COMPUTED_VALUE"""),527712020549)</f>
        <v>527712020549</v>
      </c>
      <c r="N78" s="1" t="str">
        <f ca="1">IFERROR(__xludf.DUMMYFUNCTION("""COMPUTED_VALUE"""),"varelaeduardo75@gmail.com")</f>
        <v>varelaeduardo75@gmail.com</v>
      </c>
      <c r="O78" s="1" t="str">
        <f ca="1">IFERROR(__xludf.DUMMYFUNCTION("""COMPUTED_VALUE"""),"Sirvo en clases a niños y apoyo en ministerio de jóvenes")</f>
        <v>Sirvo en clases a niños y apoyo en ministerio de jóvenes</v>
      </c>
      <c r="P78" s="1" t="str">
        <f ca="1">IFERROR(__xludf.DUMMYFUNCTION("""COMPUTED_VALUE"""),"Desde pequeña fui a la.iglesia, reconocí a mi Jesús como mi Señor y Salvador a los diez años en una clase de escuela dominical,")</f>
        <v>Desde pequeña fui a la.iglesia, reconocí a mi Jesús como mi Señor y Salvador a los diez años en una clase de escuela dominical,</v>
      </c>
      <c r="Q78" s="1" t="str">
        <f ca="1">IFERROR(__xludf.DUMMYFUNCTION("""COMPUTED_VALUE"""),"El año pasado fui a apoyar en el área de cocina, me gusta servir, y si pudiera hacerlo este verano me encantaría poder ayudar")</f>
        <v>El año pasado fui a apoyar en el área de cocina, me gusta servir, y si pudiera hacerlo este verano me encantaría poder ayudar</v>
      </c>
      <c r="R78" s="1" t="str">
        <f ca="1">IFERROR(__xludf.DUMMYFUNCTION("""COMPUTED_VALUE"""),"No")</f>
        <v>No</v>
      </c>
      <c r="S78" s="1"/>
      <c r="T78" s="1" t="str">
        <f ca="1">IFERROR(__xludf.DUMMYFUNCTION("""COMPUTED_VALUE"""),"No")</f>
        <v>No</v>
      </c>
      <c r="U78" s="1"/>
      <c r="V78" s="1" t="str">
        <f ca="1">IFERROR(__xludf.DUMMYFUNCTION("""COMPUTED_VALUE"""),"Maestra")</f>
        <v>Maestra</v>
      </c>
      <c r="W78" s="1" t="str">
        <f ca="1">IFERROR(__xludf.DUMMYFUNCTION("""COMPUTED_VALUE"""),"Lic. En educación")</f>
        <v>Lic. En educación</v>
      </c>
      <c r="X78" s="1" t="str">
        <f ca="1">IFERROR(__xludf.DUMMYFUNCTION("""COMPUTED_VALUE"""),"E. Me gusta el trabajo con niños, H. Soy organizado (a), J. Me gusta la atención a las personas")</f>
        <v>E. Me gusta el trabajo con niños, H. Soy organizado (a), J. Me gusta la atención a las personas</v>
      </c>
      <c r="Y78" s="1" t="str">
        <f ca="1">IFERROR(__xludf.DUMMYFUNCTION("""COMPUTED_VALUE"""),"No")</f>
        <v>No</v>
      </c>
      <c r="Z78" s="1"/>
    </row>
    <row r="79" spans="1:26" x14ac:dyDescent="0.35">
      <c r="A79" s="2">
        <f ca="1">IFERROR(__xludf.DUMMYFUNCTION("""COMPUTED_VALUE"""),45803.7995254629)</f>
        <v>45803.799525462899</v>
      </c>
      <c r="B79" s="1"/>
      <c r="C79" s="1" t="str">
        <f ca="1">IFERROR(__xludf.DUMMYFUNCTION("""COMPUTED_VALUE"""),"Cecilia, Trujillo Vasquez")</f>
        <v>Cecilia, Trujillo Vasquez</v>
      </c>
      <c r="D79" s="1">
        <f ca="1">IFERROR(__xludf.DUMMYFUNCTION("""COMPUTED_VALUE"""),21)</f>
        <v>21</v>
      </c>
      <c r="E79" s="1" t="str">
        <f ca="1">IFERROR(__xludf.DUMMYFUNCTION("""COMPUTED_VALUE"""),"Mujer")</f>
        <v>Mujer</v>
      </c>
      <c r="F79" s="1" t="str">
        <f ca="1">IFERROR(__xludf.DUMMYFUNCTION("""COMPUTED_VALUE"""),"Veracruz, Mexico")</f>
        <v>Veracruz, Mexico</v>
      </c>
      <c r="G79" s="1" t="str">
        <f ca="1">IFERROR(__xludf.DUMMYFUNCTION("""COMPUTED_VALUE"""),"ceciliatv576@gmail.com")</f>
        <v>ceciliatv576@gmail.com</v>
      </c>
      <c r="H79" s="1">
        <f ca="1">IFERROR(__xludf.DUMMYFUNCTION("""COMPUTED_VALUE"""),522721837809)</f>
        <v>522721837809</v>
      </c>
      <c r="I79" s="1" t="str">
        <f ca="1">IFERROR(__xludf.DUMMYFUNCTION("""COMPUTED_VALUE"""),"Semana de entrenamiento (07 - 13) Julio, Comunidad Jóvenes + 18 (14-19) Julio, Semana de niños y niñas (21-25) Julio, Jóvenes de 13 – 17 años / SEM1/ (28 Julio a 02 de agosto)")</f>
        <v>Semana de entrenamiento (07 - 13) Julio, Comunidad Jóvenes + 18 (14-19) Julio, Semana de niños y niñas (21-25) Julio, Jóvenes de 13 – 17 años / SEM1/ (28 Julio a 02 de agosto)</v>
      </c>
      <c r="J79" s="1" t="str">
        <f ca="1">IFERROR(__xludf.DUMMYFUNCTION("""COMPUTED_VALUE"""),"Hora silenciosa")</f>
        <v>Hora silenciosa</v>
      </c>
      <c r="K79" s="1" t="str">
        <f ca="1">IFERROR(__xludf.DUMMYFUNCTION("""COMPUTED_VALUE"""),"CEOP (Centro Evangélico Orizaba Poniente)")</f>
        <v>CEOP (Centro Evangélico Orizaba Poniente)</v>
      </c>
      <c r="L79" s="1" t="str">
        <f ca="1">IFERROR(__xludf.DUMMYFUNCTION("""COMPUTED_VALUE"""),"David Alvarez Reyna")</f>
        <v>David Alvarez Reyna</v>
      </c>
      <c r="M79" s="1">
        <f ca="1">IFERROR(__xludf.DUMMYFUNCTION("""COMPUTED_VALUE"""),522721389477)</f>
        <v>522721389477</v>
      </c>
      <c r="N79" s="1" t="str">
        <f ca="1">IFERROR(__xludf.DUMMYFUNCTION("""COMPUTED_VALUE"""),"davealrey@hotmail.com")</f>
        <v>davealrey@hotmail.com</v>
      </c>
      <c r="O79" s="1" t="str">
        <f ca="1">IFERROR(__xludf.DUMMYFUNCTION("""COMPUTED_VALUE"""),"Jovenes y escuela Dominical (niños)")</f>
        <v>Jovenes y escuela Dominical (niños)</v>
      </c>
      <c r="P79" s="1" t="str">
        <f ca="1">IFERROR(__xludf.DUMMYFUNCTION("""COMPUTED_VALUE"""),"Acepto a Jesús en mi vida cuando tenia 15 años, un amigo me invito a su iglesia y al ver como las vidas de la personas eran diferentes a las demás me llamo la atención ver el por que y al ir conociendo de la palabra comprendí que Jesús me ama y que murió "&amp;"por mi en la cruz, y que gracias a su sangre mis pecados fueron limpiados y que mi vida tuvo cambios para bien al aceptarlo")</f>
        <v>Acepto a Jesús en mi vida cuando tenia 15 años, un amigo me invito a su iglesia y al ver como las vidas de la personas eran diferentes a las demás me llamo la atención ver el por que y al ir conociendo de la palabra comprendí que Jesús me ama y que murió por mi en la cruz, y que gracias a su sangre mis pecados fueron limpiados y que mi vida tuvo cambios para bien al aceptarlo</v>
      </c>
      <c r="Q79" s="1" t="str">
        <f ca="1">IFERROR(__xludf.DUMMYFUNCTION("""COMPUTED_VALUE"""),"porque quiero poder servir al Señor y ser de bendición para las personas, que pueda ayudar a que las personas conozcan mas de Cristo")</f>
        <v>porque quiero poder servir al Señor y ser de bendición para las personas, que pueda ayudar a que las personas conozcan mas de Cristo</v>
      </c>
      <c r="R79" s="1" t="str">
        <f ca="1">IFERROR(__xludf.DUMMYFUNCTION("""COMPUTED_VALUE"""),"Si")</f>
        <v>Si</v>
      </c>
      <c r="S79" s="1" t="str">
        <f ca="1">IFERROR(__xludf.DUMMYFUNCTION("""COMPUTED_VALUE"""),"Voleibol, Correr y Basquetbol")</f>
        <v>Voleibol, Correr y Basquetbol</v>
      </c>
      <c r="T79" s="1" t="str">
        <f ca="1">IFERROR(__xludf.DUMMYFUNCTION("""COMPUTED_VALUE"""),"No")</f>
        <v>No</v>
      </c>
      <c r="U79" s="1"/>
      <c r="V79" s="1" t="str">
        <f ca="1">IFERROR(__xludf.DUMMYFUNCTION("""COMPUTED_VALUE"""),"Ingeniería Ambiental, a grandes rasgos habla de como mitigar los daños ocasionados al ambiente por contaminantes")</f>
        <v>Ingeniería Ambiental, a grandes rasgos habla de como mitigar los daños ocasionados al ambiente por contaminantes</v>
      </c>
      <c r="W79" s="1" t="str">
        <f ca="1">IFERROR(__xludf.DUMMYFUNCTION("""COMPUTED_VALUE"""),"se trabajar en equipo, tengo creatividad, se adaptarme al entorno en donde este, soy organizada, se comunicarme, tengo buen trato con las personas y soy sociable")</f>
        <v>se trabajar en equipo, tengo creatividad, se adaptarme al entorno en donde este, soy organizada, se comunicarme, tengo buen trato con las personas y soy sociable</v>
      </c>
      <c r="X79" s="1" t="str">
        <f ca="1">IFERROR(__xludf.DUMMYFUNCTION("""COMPUTED_VALUE"""),"B. Me gusta animar a las personas, C. Suelo buscar que el trabajo se realice en equipo, D. Me gustan los deportes, E. Me gusta el trabajo con niños, H. Soy organizado (a), K. Soy creativo (a), O. Puedo enseñar con facilidad")</f>
        <v>B. Me gusta animar a las personas, C. Suelo buscar que el trabajo se realice en equipo, D. Me gustan los deportes, E. Me gusta el trabajo con niños, H. Soy organizado (a), K. Soy creativo (a), O. Puedo enseñar con facilidad</v>
      </c>
      <c r="Y79" s="1" t="str">
        <f ca="1">IFERROR(__xludf.DUMMYFUNCTION("""COMPUTED_VALUE"""),"Sí, en la temporada 2024")</f>
        <v>Sí, en la temporada 2024</v>
      </c>
      <c r="Z79" s="1"/>
    </row>
    <row r="80" spans="1:26" x14ac:dyDescent="0.35">
      <c r="A80" s="2">
        <f ca="1">IFERROR(__xludf.DUMMYFUNCTION("""COMPUTED_VALUE"""),45804.8778819444)</f>
        <v>45804.877881944398</v>
      </c>
      <c r="B80" s="1"/>
      <c r="C80" s="1" t="str">
        <f ca="1">IFERROR(__xludf.DUMMYFUNCTION("""COMPUTED_VALUE"""),"Abi Elisabet, Dominguez castro")</f>
        <v>Abi Elisabet, Dominguez castro</v>
      </c>
      <c r="D80" s="1">
        <f ca="1">IFERROR(__xludf.DUMMYFUNCTION("""COMPUTED_VALUE"""),25)</f>
        <v>25</v>
      </c>
      <c r="E80" s="1" t="str">
        <f ca="1">IFERROR(__xludf.DUMMYFUNCTION("""COMPUTED_VALUE"""),"Mujer")</f>
        <v>Mujer</v>
      </c>
      <c r="F80" s="1" t="str">
        <f ca="1">IFERROR(__xludf.DUMMYFUNCTION("""COMPUTED_VALUE"""),"Durango, Mexico")</f>
        <v>Durango, Mexico</v>
      </c>
      <c r="G80" s="1" t="str">
        <f ca="1">IFERROR(__xludf.DUMMYFUNCTION("""COMPUTED_VALUE"""),"abielisabetdominguezcastro@gmail.com")</f>
        <v>abielisabetdominguezcastro@gmail.com</v>
      </c>
      <c r="H80" s="1">
        <f ca="1">IFERROR(__xludf.DUMMYFUNCTION("""COMPUTED_VALUE"""),528714537720)</f>
        <v>528714537720</v>
      </c>
      <c r="I80" s="1" t="str">
        <f ca="1">IFERROR(__xludf.DUMMYFUNCTION("""COMPUTED_VALUE"""),"Semana de entrenamiento (07 - 13) Julio, Semana de niños y niñas (21-25) Julio")</f>
        <v>Semana de entrenamiento (07 - 13) Julio, Semana de niños y niñas (21-25) Julio</v>
      </c>
      <c r="J80" s="1" t="str">
        <f ca="1">IFERROR(__xludf.DUMMYFUNCTION("""COMPUTED_VALUE"""),"Pan diario")</f>
        <v>Pan diario</v>
      </c>
      <c r="K80" s="1" t="str">
        <f ca="1">IFERROR(__xludf.DUMMYFUNCTION("""COMPUTED_VALUE"""),"Gomez norteee")</f>
        <v>Gomez norteee</v>
      </c>
      <c r="L80" s="1" t="str">
        <f ca="1">IFERROR(__xludf.DUMMYFUNCTION("""COMPUTED_VALUE"""),"Raúl Saenz")</f>
        <v>Raúl Saenz</v>
      </c>
      <c r="M80" s="1">
        <f ca="1">IFERROR(__xludf.DUMMYFUNCTION("""COMPUTED_VALUE"""),52526251304896)</f>
        <v>52526251304896</v>
      </c>
      <c r="N80" s="1" t="str">
        <f ca="1">IFERROR(__xludf.DUMMYFUNCTION("""COMPUTED_VALUE"""),"isacraul_48@hotmail.com")</f>
        <v>isacraul_48@hotmail.com</v>
      </c>
      <c r="O80" s="1" t="str">
        <f ca="1">IFERROR(__xludf.DUMMYFUNCTION("""COMPUTED_VALUE"""),"Con los jóvenes")</f>
        <v>Con los jóvenes</v>
      </c>
      <c r="P80" s="1" t="str">
        <f ca="1">IFERROR(__xludf.DUMMYFUNCTION("""COMPUTED_VALUE"""),"Dios me dio la bendición de haber nacido en  una familia cristiana y tener el privilegio que muchos no tienen, no fue hasta los 13 años que Dios toco mi corazón en un campamento y me di cuenta de lo que era realmente Dios y la gran necesidad que tenía de "&amp;"él y de la salvación que nos dio")</f>
        <v>Dios me dio la bendición de haber nacido en  una familia cristiana y tener el privilegio que muchos no tienen, no fue hasta los 13 años que Dios toco mi corazón en un campamento y me di cuenta de lo que era realmente Dios y la gran necesidad que tenía de él y de la salvación que nos dio</v>
      </c>
      <c r="Q80" s="1" t="str">
        <f ca="1">IFERROR(__xludf.DUMMYFUNCTION("""COMPUTED_VALUE"""),"Después de haber experimentado la experiencia de estar de campero y la gran bendición que fue para mi ver Las personas que fueron parte de todo el trabajo me gustaría ser de bendición como otras personas fueron para mi, y servir al señor y conocer amistad"&amp;"es que puedan ser ánimo para mí y yo para ellos")</f>
        <v>Después de haber experimentado la experiencia de estar de campero y la gran bendición que fue para mi ver Las personas que fueron parte de todo el trabajo me gustaría ser de bendición como otras personas fueron para mi, y servir al señor y conocer amistades que puedan ser ánimo para mí y yo para ellos</v>
      </c>
      <c r="R80" s="1" t="str">
        <f ca="1">IFERROR(__xludf.DUMMYFUNCTION("""COMPUTED_VALUE"""),"Si")</f>
        <v>Si</v>
      </c>
      <c r="S80" s="1" t="str">
        <f ca="1">IFERROR(__xludf.DUMMYFUNCTION("""COMPUTED_VALUE"""),"Atletismo")</f>
        <v>Atletismo</v>
      </c>
      <c r="T80" s="1" t="str">
        <f ca="1">IFERROR(__xludf.DUMMYFUNCTION("""COMPUTED_VALUE"""),"No")</f>
        <v>No</v>
      </c>
      <c r="U80" s="1"/>
      <c r="V80" s="1" t="str">
        <f ca="1">IFERROR(__xludf.DUMMYFUNCTION("""COMPUTED_VALUE"""),"Este año entre a fisioterapia")</f>
        <v>Este año entre a fisioterapia</v>
      </c>
      <c r="W80" s="1" t="str">
        <f ca="1">IFERROR(__xludf.DUMMYFUNCTION("""COMPUTED_VALUE"""),"Soy maestra de inglés en un kinder")</f>
        <v>Soy maestra de inglés en un kinder</v>
      </c>
      <c r="X80" s="1" t="str">
        <f ca="1">IFERROR(__xludf.DUMMYFUNCTION("""COMPUTED_VALUE"""),"A. Soy un discipulador activo, B. Me gusta animar a las personas, D. Me gustan los deportes, E. Me gusta el trabajo con niños, G. Soy más eficiente en el trabajo individual, H. Soy organizado (a), I. Se me facilita el trabajo físico, K. Soy creativo (a), "&amp;"M. Soy bueno (a) con los números, O. Puedo enseñar con facilidad")</f>
        <v>A. Soy un discipulador activo, B. Me gusta animar a las personas, D. Me gustan los deportes, E. Me gusta el trabajo con niños, G. Soy más eficiente en el trabajo individual, H. Soy organizado (a), I. Se me facilita el trabajo físico, K. Soy creativo (a), M. Soy bueno (a) con los números, O. Puedo enseñar con facilidad</v>
      </c>
      <c r="Y80" s="1" t="str">
        <f ca="1">IFERROR(__xludf.DUMMYFUNCTION("""COMPUTED_VALUE"""),"Sii, en 18+")</f>
        <v>Sii, en 18+</v>
      </c>
      <c r="Z80" s="1"/>
    </row>
    <row r="81" spans="1:26" x14ac:dyDescent="0.35">
      <c r="A81" s="2">
        <f ca="1">IFERROR(__xludf.DUMMYFUNCTION("""COMPUTED_VALUE"""),45804.8794444444)</f>
        <v>45804.879444444399</v>
      </c>
      <c r="B81" s="1"/>
      <c r="C81" s="1" t="str">
        <f ca="1">IFERROR(__xludf.DUMMYFUNCTION("""COMPUTED_VALUE"""),"Gabriel, Hernández López")</f>
        <v>Gabriel, Hernández López</v>
      </c>
      <c r="D81" s="1">
        <f ca="1">IFERROR(__xludf.DUMMYFUNCTION("""COMPUTED_VALUE"""),18)</f>
        <v>18</v>
      </c>
      <c r="E81" s="1" t="str">
        <f ca="1">IFERROR(__xludf.DUMMYFUNCTION("""COMPUTED_VALUE"""),"Hombre")</f>
        <v>Hombre</v>
      </c>
      <c r="F81" s="1" t="str">
        <f ca="1">IFERROR(__xludf.DUMMYFUNCTION("""COMPUTED_VALUE"""),"Tamaulipas, Mexico")</f>
        <v>Tamaulipas, Mexico</v>
      </c>
      <c r="G81" s="1" t="str">
        <f ca="1">IFERROR(__xludf.DUMMYFUNCTION("""COMPUTED_VALUE"""),"gabriel.helo.26@gmail.com")</f>
        <v>gabriel.helo.26@gmail.com</v>
      </c>
      <c r="H81" s="1">
        <f ca="1">IFERROR(__xludf.DUMMYFUNCTION("""COMPUTED_VALUE"""),528331052818)</f>
        <v>528331052818</v>
      </c>
      <c r="I81" s="1" t="str">
        <f ca="1">IFERROR(__xludf.DUMMYFUNCTION("""COMPUTED_VALUE"""),"Jóvenes de 13 – 17 años / SEM1/ (28 Julio a 02 de agosto)")</f>
        <v>Jóvenes de 13 – 17 años / SEM1/ (28 Julio a 02 de agosto)</v>
      </c>
      <c r="J81" s="1" t="str">
        <f ca="1">IFERROR(__xludf.DUMMYFUNCTION("""COMPUTED_VALUE"""),"Hora silenciosa")</f>
        <v>Hora silenciosa</v>
      </c>
      <c r="K81" s="1" t="str">
        <f ca="1">IFERROR(__xludf.DUMMYFUNCTION("""COMPUTED_VALUE"""),"Iglesia Bautista Calvario")</f>
        <v>Iglesia Bautista Calvario</v>
      </c>
      <c r="L81" s="1" t="str">
        <f ca="1">IFERROR(__xludf.DUMMYFUNCTION("""COMPUTED_VALUE"""),"Marco Antonio García Montoya")</f>
        <v>Marco Antonio García Montoya</v>
      </c>
      <c r="M81" s="1">
        <f ca="1">IFERROR(__xludf.DUMMYFUNCTION("""COMPUTED_VALUE"""),528333504123)</f>
        <v>528333504123</v>
      </c>
      <c r="N81" s="1" t="str">
        <f ca="1">IFERROR(__xludf.DUMMYFUNCTION("""COMPUTED_VALUE"""),"marcoantoniopastor75@gmail.com")</f>
        <v>marcoantoniopastor75@gmail.com</v>
      </c>
      <c r="O81" s="1" t="str">
        <f ca="1">IFERROR(__xludf.DUMMYFUNCTION("""COMPUTED_VALUE"""),"Multimedia")</f>
        <v>Multimedia</v>
      </c>
      <c r="P81" s="1" t="str">
        <f ca="1">IFERROR(__xludf.DUMMYFUNCTION("""COMPUTED_VALUE"""),"Hace tres años, mi vida estaba marcada por muchas malas decisiones. Me dejé llevar por lo que sentía en el momento, sin pensar en las consecuencias. Había cosas en mí que sabía que estaban mal, pero aun así las hacía. Estaba atrapado en el pecado, en cosa"&amp;"s que poco a poco me alejaban más de Dios, y aunque por fuera sonreía, por dentro me sentía vacío, sucio y perdido. En ese tiempo, todo parecía ir en bajada. Me sentía confundido, con dolor en el corazón, con miedo de no ser suficiente para nadie… ni siqu"&amp;"iera para mí mismo. Pero fue justo ahí, en medio del desastre, que Jesús me encontró. No me juzgó, no me rechazó, no me condenó. Al contrario, me mostró su amor, su perdón, y su deseo de levantarme. Ese día entendí lo que es la verdadera salvación. No se "&amp;"trata de ser perfecto, sino de reconocer que necesito a Jesús. Le pedí perdón por todo, y decidí dejar atrás mi viejo yo. Él limpió mi corazón, sanó mis heridas y me dio una nueva identidad. Desde ese momento, mi vida cambió. Aún caigo, sí, pero ahora ten"&amp;"go a alguien que me levanta. Jesús me dio propósito, esperanza y paz. Hoy sé que no importa cuán oscuro haya sido mi pasado, porque su luz siempre es más fuerte.
Hace tres años, mi vida estaba marcada por muchas malas decisiones. Me dejé llevar por lo que"&amp;" sentía en el momento, sin pensar en las consecuencias. Había cosas en mí que sabía que estaban mal, pero aun así las hacía. Estaba atrapado en el pecado, en cosas que poco a poco me alejaban más de Dios, y aunque por fuera sonreía, por dentro me sentía v"&amp;"acío, sucio y perdido. En ese tiempo, todo parecía ir en bajada. Me sentía confundido, con dolor en el corazón, con miedo de no ser suficiente para nadie… ni siquiera para mí mismo. Pero fue justo ahí, en medio del desastre, que Jesús me encontró. No me j"&amp;"uzgó, no me rechazó, no me condenó. Al contrario, me mostró su amor, su perdón, y su deseo de levantarme. Ese día entendí lo que es la verdadera salvación. No se trata de ser perfecto, sino de reconocer que necesito a Jesús. Le pedí perdón por todo, y dec"&amp;"idí dejar atrás mi viejo yo. Él limpió mi corazón, sanó mis heridas y me dio una nueva identidad. Desde ese momento, mi vida cambió. Aún caigo, sí, pero ahora tengo a alguien que me levanta. Jesús me dio propósito, esperanza y paz. Hoy sé que no importa c"&amp;"uán oscuro haya sido mi pasado, porque su luz siempre es más fuerte.")</f>
        <v>Hace tres años, mi vida estaba marcada por muchas malas decisiones. Me dejé llevar por lo que sentía en el momento, sin pensar en las consecuencias. Había cosas en mí que sabía que estaban mal, pero aun así las hacía. Estaba atrapado en el pecado, en cosas que poco a poco me alejaban más de Dios, y aunque por fuera sonreía, por dentro me sentía vacío, sucio y perdido. En ese tiempo, todo parecía ir en bajada. Me sentía confundido, con dolor en el corazón, con miedo de no ser suficiente para nadie… ni siquiera para mí mismo. Pero fue justo ahí, en medio del desastre, que Jesús me encontró. No me juzgó, no me rechazó, no me condenó. Al contrario, me mostró su amor, su perdón, y su deseo de levantarme. Ese día entendí lo que es la verdadera salvación. No se trata de ser perfecto, sino de reconocer que necesito a Jesús. Le pedí perdón por todo, y decidí dejar atrás mi viejo yo. Él limpió mi corazón, sanó mis heridas y me dio una nueva identidad. Desde ese momento, mi vida cambió. Aún caigo, sí, pero ahora tengo a alguien que me levanta. Jesús me dio propósito, esperanza y paz. Hoy sé que no importa cuán oscuro haya sido mi pasado, porque su luz siempre es más fuerte.
Hace tres años, mi vida estaba marcada por muchas malas decisiones. Me dejé llevar por lo que sentía en el momento, sin pensar en las consecuencias. Había cosas en mí que sabía que estaban mal, pero aun así las hacía. Estaba atrapado en el pecado, en cosas que poco a poco me alejaban más de Dios, y aunque por fuera sonreía, por dentro me sentía vacío, sucio y perdido. En ese tiempo, todo parecía ir en bajada. Me sentía confundido, con dolor en el corazón, con miedo de no ser suficiente para nadie… ni siquiera para mí mismo. Pero fue justo ahí, en medio del desastre, que Jesús me encontró. No me juzgó, no me rechazó, no me condenó. Al contrario, me mostró su amor, su perdón, y su deseo de levantarme. Ese día entendí lo que es la verdadera salvación. No se trata de ser perfecto, sino de reconocer que necesito a Jesús. Le pedí perdón por todo, y decidí dejar atrás mi viejo yo. Él limpió mi corazón, sanó mis heridas y me dio una nueva identidad. Desde ese momento, mi vida cambió. Aún caigo, sí, pero ahora tengo a alguien que me levanta. Jesús me dio propósito, esperanza y paz. Hoy sé que no importa cuán oscuro haya sido mi pasado, porque su luz siempre es más fuerte.</v>
      </c>
      <c r="Q81" s="1" t="str">
        <f ca="1">IFERROR(__xludf.DUMMYFUNCTION("""COMPUTED_VALUE"""),"Quiero ser parte del equipo de verano porque me gustaría adquirir nuevas experiencias, aprender trabajando en equipo y desarrollar habilidades que me ayuden en mi crecimiento personal y aprender mas de la palabra de DIOS")</f>
        <v>Quiero ser parte del equipo de verano porque me gustaría adquirir nuevas experiencias, aprender trabajando en equipo y desarrollar habilidades que me ayuden en mi crecimiento personal y aprender mas de la palabra de DIOS</v>
      </c>
      <c r="R81" s="1" t="str">
        <f ca="1">IFERROR(__xludf.DUMMYFUNCTION("""COMPUTED_VALUE"""),"Si")</f>
        <v>Si</v>
      </c>
      <c r="S81" s="1" t="str">
        <f ca="1">IFERROR(__xludf.DUMMYFUNCTION("""COMPUTED_VALUE"""),"Vóleibol")</f>
        <v>Vóleibol</v>
      </c>
      <c r="T81" s="1" t="str">
        <f ca="1">IFERROR(__xludf.DUMMYFUNCTION("""COMPUTED_VALUE"""),"Si")</f>
        <v>Si</v>
      </c>
      <c r="U81" s="1" t="str">
        <f ca="1">IFERROR(__xludf.DUMMYFUNCTION("""COMPUTED_VALUE"""),"Guitarra acústica")</f>
        <v>Guitarra acústica</v>
      </c>
      <c r="V81" s="1" t="str">
        <f ca="1">IFERROR(__xludf.DUMMYFUNCTION("""COMPUTED_VALUE"""),"Universidad")</f>
        <v>Universidad</v>
      </c>
      <c r="W81" s="1" t="str">
        <f ca="1">IFERROR(__xludf.DUMMYFUNCTION("""COMPUTED_VALUE"""),"fotografía")</f>
        <v>fotografía</v>
      </c>
      <c r="X81" s="1" t="str">
        <f ca="1">IFERROR(__xludf.DUMMYFUNCTION("""COMPUTED_VALUE"""),"B. Me gusta animar a las personas, D. Me gustan los deportes, K. Soy creativo (a), L. Soy bueno (a) en canto o algún instrumento")</f>
        <v>B. Me gusta animar a las personas, D. Me gustan los deportes, K. Soy creativo (a), L. Soy bueno (a) en canto o algún instrumento</v>
      </c>
      <c r="Y81" s="1" t="str">
        <f ca="1">IFERROR(__xludf.DUMMYFUNCTION("""COMPUTED_VALUE"""),"Si, 2018-2024")</f>
        <v>Si, 2018-2024</v>
      </c>
      <c r="Z81" s="1"/>
    </row>
    <row r="82" spans="1:26" x14ac:dyDescent="0.35">
      <c r="A82" s="2">
        <f ca="1">IFERROR(__xludf.DUMMYFUNCTION("""COMPUTED_VALUE"""),45805.9549305555)</f>
        <v>45805.954930555497</v>
      </c>
      <c r="B82" s="1"/>
      <c r="C82" s="1" t="str">
        <f ca="1">IFERROR(__xludf.DUMMYFUNCTION("""COMPUTED_VALUE"""),"Azeneth, Reyes Moncayo")</f>
        <v>Azeneth, Reyes Moncayo</v>
      </c>
      <c r="D82" s="1">
        <f ca="1">IFERROR(__xludf.DUMMYFUNCTION("""COMPUTED_VALUE"""),22)</f>
        <v>22</v>
      </c>
      <c r="E82" s="1" t="str">
        <f ca="1">IFERROR(__xludf.DUMMYFUNCTION("""COMPUTED_VALUE"""),"Mujer")</f>
        <v>Mujer</v>
      </c>
      <c r="F82" s="1" t="str">
        <f ca="1">IFERROR(__xludf.DUMMYFUNCTION("""COMPUTED_VALUE"""),"Mexico, Mexico")</f>
        <v>Mexico, Mexico</v>
      </c>
      <c r="G82" s="1" t="str">
        <f ca="1">IFERROR(__xludf.DUMMYFUNCTION("""COMPUTED_VALUE"""),"azereyesmon@gmail.com")</f>
        <v>azereyesmon@gmail.com</v>
      </c>
      <c r="H82" s="1">
        <f ca="1">IFERROR(__xludf.DUMMYFUNCTION("""COMPUTED_VALUE"""),525539294913)</f>
        <v>525539294913</v>
      </c>
      <c r="I82" s="1" t="str">
        <f ca="1">IFERROR(__xludf.DUMMYFUNCTION("""COMPUTED_VALUE"""),"Toda la temporada (07 de Julio al 16 de agosto)")</f>
        <v>Toda la temporada (07 de Julio al 16 de agosto)</v>
      </c>
      <c r="J82" s="1" t="str">
        <f ca="1">IFERROR(__xludf.DUMMYFUNCTION("""COMPUTED_VALUE"""),"Nuevas misericordias cada mañana")</f>
        <v>Nuevas misericordias cada mañana</v>
      </c>
      <c r="K82" s="1" t="str">
        <f ca="1">IFERROR(__xludf.DUMMYFUNCTION("""COMPUTED_VALUE"""),"Iglesia bíblica Dios es mi esperanza")</f>
        <v>Iglesia bíblica Dios es mi esperanza</v>
      </c>
      <c r="L82" s="1" t="str">
        <f ca="1">IFERROR(__xludf.DUMMYFUNCTION("""COMPUTED_VALUE"""),"Joel Rodriguez Solis")</f>
        <v>Joel Rodriguez Solis</v>
      </c>
      <c r="M82" s="1">
        <f ca="1">IFERROR(__xludf.DUMMYFUNCTION("""COMPUTED_VALUE"""),527774896552)</f>
        <v>527774896552</v>
      </c>
      <c r="N82" s="1" t="str">
        <f ca="1">IFERROR(__xludf.DUMMYFUNCTION("""COMPUTED_VALUE"""),"JOE.1368@outlook.com")</f>
        <v>JOE.1368@outlook.com</v>
      </c>
      <c r="O82" s="1" t="str">
        <f ca="1">IFERROR(__xludf.DUMMYFUNCTION("""COMPUTED_VALUE"""),"Ninguno")</f>
        <v>Ninguno</v>
      </c>
      <c r="P82" s="1" t="str">
        <f ca="1">IFERROR(__xludf.DUMMYFUNCTION("""COMPUTED_VALUE"""),"Yo vivi en la iglesia desde pequeña y a los 12 años acepte a Cristo en mi corazón, sin embargo por mucho tiempo me alejé de Dios y probé de muchas cosas y al estar alejada de Dios siempre estaba buscando con que llenar el vacío espiritual que tenía, hasta"&amp;" que un día Dios me dijo que volviera y escuche y fui necia por un tiempo hasta que Dios probó conmigo con mi familia y regresé a Cristo, y amo servirle con todo mi corazón")</f>
        <v>Yo vivi en la iglesia desde pequeña y a los 12 años acepte a Cristo en mi corazón, sin embargo por mucho tiempo me alejé de Dios y probé de muchas cosas y al estar alejada de Dios siempre estaba buscando con que llenar el vacío espiritual que tenía, hasta que un día Dios me dijo que volviera y escuche y fui necia por un tiempo hasta que Dios probó conmigo con mi familia y regresé a Cristo, y amo servirle con todo mi corazón</v>
      </c>
      <c r="Q82" s="1" t="str">
        <f ca="1">IFERROR(__xludf.DUMMYFUNCTION("""COMPUTED_VALUE"""),"Por qué creo fielmente que Dios nos usa para su obra, y que cada pequeño granito de arena que podamos ser y apoyar para que tan solo uno escuche del evangelio basta en mi corazón, el saber que puedo dar de mi tiempo para servirle e a mi Dios")</f>
        <v>Por qué creo fielmente que Dios nos usa para su obra, y que cada pequeño granito de arena que podamos ser y apoyar para que tan solo uno escuche del evangelio basta en mi corazón, el saber que puedo dar de mi tiempo para servirle e a mi Dios</v>
      </c>
      <c r="R82" s="1" t="str">
        <f ca="1">IFERROR(__xludf.DUMMYFUNCTION("""COMPUTED_VALUE"""),"Si")</f>
        <v>Si</v>
      </c>
      <c r="S82" s="1" t="str">
        <f ca="1">IFERROR(__xludf.DUMMYFUNCTION("""COMPUTED_VALUE"""),"Sóftbol y correr")</f>
        <v>Sóftbol y correr</v>
      </c>
      <c r="T82" s="1" t="str">
        <f ca="1">IFERROR(__xludf.DUMMYFUNCTION("""COMPUTED_VALUE"""),"No")</f>
        <v>No</v>
      </c>
      <c r="U82" s="1"/>
      <c r="V82" s="1" t="str">
        <f ca="1">IFERROR(__xludf.DUMMYFUNCTION("""COMPUTED_VALUE"""),"Medicina")</f>
        <v>Medicina</v>
      </c>
      <c r="W82" s="1" t="str">
        <f ca="1">IFERROR(__xludf.DUMMYFUNCTION("""COMPUTED_VALUE"""),"Soy paciente con los niños, trabajé en un mercado, soy ordenada")</f>
        <v>Soy paciente con los niños, trabajé en un mercado, soy ordenada</v>
      </c>
      <c r="X82" s="1" t="str">
        <f ca="1">IFERROR(__xludf.DUMMYFUNCTION("""COMPUTED_VALUE"""),"B. Me gusta animar a las personas, D. Me gustan los deportes, E. Me gusta el trabajo con niños, I. Se me facilita el trabajo físico, K. Soy creativo (a), N. Suelo llevar el liderazgo en un grupo, O. Puedo enseñar con facilidad")</f>
        <v>B. Me gusta animar a las personas, D. Me gustan los deportes, E. Me gusta el trabajo con niños, I. Se me facilita el trabajo físico, K. Soy creativo (a), N. Suelo llevar el liderazgo en un grupo, O. Puedo enseñar con facilidad</v>
      </c>
      <c r="Y82" s="1" t="str">
        <f ca="1">IFERROR(__xludf.DUMMYFUNCTION("""COMPUTED_VALUE"""),"Si, desde 2017 hasta 2023")</f>
        <v>Si, desde 2017 hasta 2023</v>
      </c>
      <c r="Z82" s="1"/>
    </row>
    <row r="83" spans="1:26" x14ac:dyDescent="0.35">
      <c r="A83" s="2">
        <f ca="1">IFERROR(__xludf.DUMMYFUNCTION("""COMPUTED_VALUE"""),45806.4420254629)</f>
        <v>45806.4420254629</v>
      </c>
      <c r="B83" s="1"/>
      <c r="C83" s="1" t="str">
        <f ca="1">IFERROR(__xludf.DUMMYFUNCTION("""COMPUTED_VALUE"""),"Sara, Barbaro")</f>
        <v>Sara, Barbaro</v>
      </c>
      <c r="D83" s="1">
        <f ca="1">IFERROR(__xludf.DUMMYFUNCTION("""COMPUTED_VALUE"""),18)</f>
        <v>18</v>
      </c>
      <c r="E83" s="1" t="str">
        <f ca="1">IFERROR(__xludf.DUMMYFUNCTION("""COMPUTED_VALUE"""),"Mujer")</f>
        <v>Mujer</v>
      </c>
      <c r="F83" s="1" t="str">
        <f ca="1">IFERROR(__xludf.DUMMYFUNCTION("""COMPUTED_VALUE"""),"Wisconsin, United States")</f>
        <v>Wisconsin, United States</v>
      </c>
      <c r="G83" s="1" t="str">
        <f ca="1">IFERROR(__xludf.DUMMYFUNCTION("""COMPUTED_VALUE"""),"sarabarbaro26@gmail.com")</f>
        <v>sarabarbaro26@gmail.com</v>
      </c>
      <c r="H83" s="1">
        <f ca="1">IFERROR(__xludf.DUMMYFUNCTION("""COMPUTED_VALUE"""),12627718396)</f>
        <v>12627718396</v>
      </c>
      <c r="I83" s="1" t="str">
        <f ca="1">IFERROR(__xludf.DUMMYFUNCTION("""COMPUTED_VALUE"""),"Semana de niños y niñas (21-25) Julio, Jóvenes de 13 – 17 años / SEM1/ (28 Julio a 02 de agosto)")</f>
        <v>Semana de niños y niñas (21-25) Julio, Jóvenes de 13 – 17 años / SEM1/ (28 Julio a 02 de agosto)</v>
      </c>
      <c r="J83" s="1" t="str">
        <f ca="1">IFERROR(__xludf.DUMMYFUNCTION("""COMPUTED_VALUE"""),"N/A")</f>
        <v>N/A</v>
      </c>
      <c r="K83" s="1" t="str">
        <f ca="1">IFERROR(__xludf.DUMMYFUNCTION("""COMPUTED_VALUE"""),"Journey Church")</f>
        <v>Journey Church</v>
      </c>
      <c r="L83" s="1" t="str">
        <f ca="1">IFERROR(__xludf.DUMMYFUNCTION("""COMPUTED_VALUE"""),"Alyssa &amp; Nef Rubio")</f>
        <v>Alyssa &amp; Nef Rubio</v>
      </c>
      <c r="M83" s="1">
        <f ca="1">IFERROR(__xludf.DUMMYFUNCTION("""COMPUTED_VALUE"""),524411155539)</f>
        <v>524411155539</v>
      </c>
      <c r="N83" s="1" t="str">
        <f ca="1">IFERROR(__xludf.DUMMYFUNCTION("""COMPUTED_VALUE"""),"Nefaly@gmail.com")</f>
        <v>Nefaly@gmail.com</v>
      </c>
      <c r="O83" s="1" t="str">
        <f ca="1">IFERROR(__xludf.DUMMYFUNCTION("""COMPUTED_VALUE"""),"Kids &amp; Tech")</f>
        <v>Kids &amp; Tech</v>
      </c>
      <c r="P83" s="1" t="str">
        <f ca="1">IFERROR(__xludf.DUMMYFUNCTION("""COMPUTED_VALUE"""),"I've always grown up in a Christian home and hadn't really been in an environment where something really tested my faith up until November of 2023 where I tore my acl and meniscus playing basketball. Sports had always been a big part of my life and soccer"&amp;" was my favorite. Because of this I would miss varsity basketball and soccer for my junior year. This was heartbreaking but I immediately felt a peace over me that God was gonna use me and had a plan with all of it. However, after recovering, the followin"&amp;"g November, I tore my other acl. This was my senior year and hurt me so badly emotionally as I would never play varsity basketball and soccer at my school again. However, through this time, it really grew me closer to God and made me trust Him more. I thi"&amp;"nk I've been able to inspire people too with how I've handled my injuries these past two years and kept going through it all.")</f>
        <v>I've always grown up in a Christian home and hadn't really been in an environment where something really tested my faith up until November of 2023 where I tore my acl and meniscus playing basketball. Sports had always been a big part of my life and soccer was my favorite. Because of this I would miss varsity basketball and soccer for my junior year. This was heartbreaking but I immediately felt a peace over me that God was gonna use me and had a plan with all of it. However, after recovering, the following November, I tore my other acl. This was my senior year and hurt me so badly emotionally as I would never play varsity basketball and soccer at my school again. However, through this time, it really grew me closer to God and made me trust Him more. I think I've been able to inspire people too with how I've handled my injuries these past two years and kept going through it all.</v>
      </c>
      <c r="Q83" s="1" t="str">
        <f ca="1">IFERROR(__xludf.DUMMYFUNCTION("""COMPUTED_VALUE"""),"My family and I used to do foster care and I've been to Mexico 4 times on the Soccer &amp; Salvation missions trip with my school. Through this, I have grown a heart for kids in Mexico and kids without a home as well. For my capstone project, I was able to ra"&amp;"ise money for a girls orphanage in Guadalajara, Mexico to send some of the girls to this camp. I am super excited for them and all the kids there to have an amazing week at camp and I am looking forward to being able to spend time with them and support th"&amp;"em.")</f>
        <v>My family and I used to do foster care and I've been to Mexico 4 times on the Soccer &amp; Salvation missions trip with my school. Through this, I have grown a heart for kids in Mexico and kids without a home as well. For my capstone project, I was able to raise money for a girls orphanage in Guadalajara, Mexico to send some of the girls to this camp. I am super excited for them and all the kids there to have an amazing week at camp and I am looking forward to being able to spend time with them and support them.</v>
      </c>
      <c r="R83" s="1" t="str">
        <f ca="1">IFERROR(__xludf.DUMMYFUNCTION("""COMPUTED_VALUE"""),"Si")</f>
        <v>Si</v>
      </c>
      <c r="S83" s="1" t="str">
        <f ca="1">IFERROR(__xludf.DUMMYFUNCTION("""COMPUTED_VALUE"""),"soccer, basketball, volleyball")</f>
        <v>soccer, basketball, volleyball</v>
      </c>
      <c r="T83" s="1" t="str">
        <f ca="1">IFERROR(__xludf.DUMMYFUNCTION("""COMPUTED_VALUE"""),"No")</f>
        <v>No</v>
      </c>
      <c r="U83" s="1"/>
      <c r="V83" s="1" t="str">
        <f ca="1">IFERROR(__xludf.DUMMYFUNCTION("""COMPUTED_VALUE"""),"Sports Media &amp; Communication: next fall at the University of Nebraska-Lincoln")</f>
        <v>Sports Media &amp; Communication: next fall at the University of Nebraska-Lincoln</v>
      </c>
      <c r="W83" s="1" t="str">
        <f ca="1">IFERROR(__xludf.DUMMYFUNCTION("""COMPUTED_VALUE"""),"sports, working with kids")</f>
        <v>sports, working with kids</v>
      </c>
      <c r="X83" s="1" t="str">
        <f ca="1">IFERROR(__xludf.DUMMYFUNCTION("""COMPUTED_VALUE"""),"A. Soy un discipulador activo, B. Me gusta animar a las personas, C. Suelo buscar que el trabajo se realice en equipo, D. Me gustan los deportes, E. Me gusta el trabajo con niños, H. Soy organizado (a), I. Se me facilita el trabajo físico, K. Soy creativo"&amp;" (a), L. Soy bueno (a) en canto o algún instrumento, O. Puedo enseñar con facilidad")</f>
        <v>A. Soy un discipulador activo, B. Me gusta animar a las personas, C. Suelo buscar que el trabajo se realice en equipo, D. Me gustan los deportes, E. Me gusta el trabajo con niños, H. Soy organizado (a), I. Se me facilita el trabajo físico, K. Soy creativo (a), L. Soy bueno (a) en canto o algún instrumento, O. Puedo enseñar con facilidad</v>
      </c>
      <c r="Y83" s="1" t="str">
        <f ca="1">IFERROR(__xludf.DUMMYFUNCTION("""COMPUTED_VALUE"""),"no")</f>
        <v>no</v>
      </c>
      <c r="Z83" s="1"/>
    </row>
    <row r="84" spans="1:26" x14ac:dyDescent="0.35">
      <c r="A84" s="2">
        <f ca="1">IFERROR(__xludf.DUMMYFUNCTION("""COMPUTED_VALUE"""),45806.8541666666)</f>
        <v>45806.854166666599</v>
      </c>
      <c r="B84" s="1"/>
      <c r="C84" s="1" t="str">
        <f ca="1">IFERROR(__xludf.DUMMYFUNCTION("""COMPUTED_VALUE"""),"Kaleb Ivan, Mateos Pérez")</f>
        <v>Kaleb Ivan, Mateos Pérez</v>
      </c>
      <c r="D84" s="1">
        <f ca="1">IFERROR(__xludf.DUMMYFUNCTION("""COMPUTED_VALUE"""),20)</f>
        <v>20</v>
      </c>
      <c r="E84" s="1" t="str">
        <f ca="1">IFERROR(__xludf.DUMMYFUNCTION("""COMPUTED_VALUE"""),"Hombre")</f>
        <v>Hombre</v>
      </c>
      <c r="F84" s="1" t="str">
        <f ca="1">IFERROR(__xludf.DUMMYFUNCTION("""COMPUTED_VALUE"""),"Veracruz, Mexico")</f>
        <v>Veracruz, Mexico</v>
      </c>
      <c r="G84" s="1" t="str">
        <f ca="1">IFERROR(__xludf.DUMMYFUNCTION("""COMPUTED_VALUE"""),"Kalebivanm@gmail.com")</f>
        <v>Kalebivanm@gmail.com</v>
      </c>
      <c r="H84" s="1">
        <f ca="1">IFERROR(__xludf.DUMMYFUNCTION("""COMPUTED_VALUE"""),522722658322)</f>
        <v>522722658322</v>
      </c>
      <c r="I84" s="1" t="str">
        <f ca="1">IFERROR(__xludf.DUMMYFUNCTION("""COMPUTED_VALUE"""),"Semana de entrenamiento (07 - 13) Julio, Comunidad Jóvenes + 18 (14-19) Julio, Semana de niños y niñas (21-25) Julio, Jóvenes de 13 – 17 años / SEM1/ (28 Julio a 02 de agosto)")</f>
        <v>Semana de entrenamiento (07 - 13) Julio, Comunidad Jóvenes + 18 (14-19) Julio, Semana de niños y niñas (21-25) Julio, Jóvenes de 13 – 17 años / SEM1/ (28 Julio a 02 de agosto)</v>
      </c>
      <c r="J84" s="1" t="str">
        <f ca="1">IFERROR(__xludf.DUMMYFUNCTION("""COMPUTED_VALUE"""),"Glorify")</f>
        <v>Glorify</v>
      </c>
      <c r="K84" s="1" t="str">
        <f ca="1">IFERROR(__xludf.DUMMYFUNCTION("""COMPUTED_VALUE"""),"Casa del Rey")</f>
        <v>Casa del Rey</v>
      </c>
      <c r="L84" s="1" t="str">
        <f ca="1">IFERROR(__xludf.DUMMYFUNCTION("""COMPUTED_VALUE"""),"Adrián Viveros / Marta Luquez")</f>
        <v>Adrián Viveros / Marta Luquez</v>
      </c>
      <c r="M84" s="1">
        <f ca="1">IFERROR(__xludf.DUMMYFUNCTION("""COMPUTED_VALUE"""),522721008946)</f>
        <v>522721008946</v>
      </c>
      <c r="N84" s="1" t="str">
        <f ca="1">IFERROR(__xludf.DUMMYFUNCTION("""COMPUTED_VALUE"""),"marthaluques21@me.com")</f>
        <v>marthaluques21@me.com</v>
      </c>
      <c r="O84" s="1" t="str">
        <f ca="1">IFERROR(__xludf.DUMMYFUNCTION("""COMPUTED_VALUE"""),"Ministerio de alabanza")</f>
        <v>Ministerio de alabanza</v>
      </c>
      <c r="P84" s="1" t="str">
        <f ca="1">IFERROR(__xludf.DUMMYFUNCTION("""COMPUTED_VALUE"""),"Cómo se dice comúnmente, nací en cuna cristiana, sin embargo cuando realmente conocí a nuestro Señor fue después de un intento de suicidio que tuvo mi hermano, el cual le dejó estragos físicos enormes, dicha situación afectó a mi familia y a mi en gran ma"&amp;"nera emocional e incluso espiritual; pasé por una etapa de rebeldía a causa de lo que pasó con mi hermano, de la cual Papá me confrontó y me enseñó que el nunca me dejó solo a pesar de la circunstancias, que Él permitió todo para enseñarnos como familia m"&amp;"uchas cosas y que  a pesar de lo mal que se veía todo me mostró que Él estuvo ahí para protegerme de todo lo que yo hacía contra mi vida, me enseñó su amor y sobre todo su perdón, ahí fue cuando lo abracé como mi Padre y realmente lo conocí, ahora solo qu"&amp;"iero servirle y entregar mi vida a Papá")</f>
        <v>Cómo se dice comúnmente, nací en cuna cristiana, sin embargo cuando realmente conocí a nuestro Señor fue después de un intento de suicidio que tuvo mi hermano, el cual le dejó estragos físicos enormes, dicha situación afectó a mi familia y a mi en gran manera emocional e incluso espiritual; pasé por una etapa de rebeldía a causa de lo que pasó con mi hermano, de la cual Papá me confrontó y me enseñó que el nunca me dejó solo a pesar de la circunstancias, que Él permitió todo para enseñarnos como familia muchas cosas y que  a pesar de lo mal que se veía todo me mostró que Él estuvo ahí para protegerme de todo lo que yo hacía contra mi vida, me enseñó su amor y sobre todo su perdón, ahí fue cuando lo abracé como mi Padre y realmente lo conocí, ahora solo quiero servirle y entregar mi vida a Papá</v>
      </c>
      <c r="Q84" s="1" t="str">
        <f ca="1">IFERROR(__xludf.DUMMYFUNCTION("""COMPUTED_VALUE"""),"Anteriormente ya he asistido como campero y como equipante, realmente anhelo seguir sirviendo a nuestro Señor y poder por medio de la voluntad y amor de Dios, sembrar una semilla en los corazones de estos jóvenes y niños que asistan.")</f>
        <v>Anteriormente ya he asistido como campero y como equipante, realmente anhelo seguir sirviendo a nuestro Señor y poder por medio de la voluntad y amor de Dios, sembrar una semilla en los corazones de estos jóvenes y niños que asistan.</v>
      </c>
      <c r="R84" s="1" t="str">
        <f ca="1">IFERROR(__xludf.DUMMYFUNCTION("""COMPUTED_VALUE"""),"Si")</f>
        <v>Si</v>
      </c>
      <c r="S84" s="1" t="str">
        <f ca="1">IFERROR(__xludf.DUMMYFUNCTION("""COMPUTED_VALUE"""),"Gym, futbol americano")</f>
        <v>Gym, futbol americano</v>
      </c>
      <c r="T84" s="1" t="str">
        <f ca="1">IFERROR(__xludf.DUMMYFUNCTION("""COMPUTED_VALUE"""),"Si")</f>
        <v>Si</v>
      </c>
      <c r="U84" s="1" t="str">
        <f ca="1">IFERROR(__xludf.DUMMYFUNCTION("""COMPUTED_VALUE"""),"Canto y batería")</f>
        <v>Canto y batería</v>
      </c>
      <c r="V84" s="1" t="str">
        <f ca="1">IFERROR(__xludf.DUMMYFUNCTION("""COMPUTED_VALUE"""),"Licenciatura en mercadotecnia estratégica")</f>
        <v>Licenciatura en mercadotecnia estratégica</v>
      </c>
      <c r="W84" s="1" t="str">
        <f ca="1">IFERROR(__xludf.DUMMYFUNCTION("""COMPUTED_VALUE"""),"Músico académico, inglés B2, habilidades en mercadotecnia digital y estratégica, un corazón con muchas ganas de servir.")</f>
        <v>Músico académico, inglés B2, habilidades en mercadotecnia digital y estratégica, un corazón con muchas ganas de servir.</v>
      </c>
      <c r="X84" s="1" t="str">
        <f ca="1">IFERROR(__xludf.DUMMYFUNCTION("""COMPUTED_VALUE"""),"A. Soy un discipulador activo, B. Me gusta animar a las personas, D. Me gustan los deportes, E. Me gusta el trabajo con niños, G. Soy más eficiente en el trabajo individual, I. Se me facilita el trabajo físico, J. Me gusta la atención a las personas, K. S"&amp;"oy creativo (a), L. Soy bueno (a) en canto o algún instrumento, N. Suelo llevar el liderazgo en un grupo, O. Puedo enseñar con facilidad")</f>
        <v>A. Soy un discipulador activo, B. Me gusta animar a las personas, D. Me gustan los deportes, E. Me gusta el trabajo con niños, G. Soy más eficiente en el trabajo individual, I. Se me facilita el trabajo físico, J. Me gusta la atención a las personas, K. Soy creativo (a), L. Soy bueno (a) en canto o algún instrumento, N. Suelo llevar el liderazgo en un grupo, O. Puedo enseñar con facilidad</v>
      </c>
      <c r="Y84" s="1" t="str">
        <f ca="1">IFERROR(__xludf.DUMMYFUNCTION("""COMPUTED_VALUE"""),"2016 campero/ equipante 2017, 2018")</f>
        <v>2016 campero/ equipante 2017, 2018</v>
      </c>
      <c r="Z84" s="1"/>
    </row>
    <row r="85" spans="1:26" x14ac:dyDescent="0.35">
      <c r="A85" s="2">
        <f ca="1">IFERROR(__xludf.DUMMYFUNCTION("""COMPUTED_VALUE"""),45808.3443518518)</f>
        <v>45808.344351851803</v>
      </c>
      <c r="B85" s="1"/>
      <c r="C85" s="1" t="str">
        <f ca="1">IFERROR(__xludf.DUMMYFUNCTION("""COMPUTED_VALUE"""),"Andrea, Muñoz Mendoza")</f>
        <v>Andrea, Muñoz Mendoza</v>
      </c>
      <c r="D85" s="1">
        <f ca="1">IFERROR(__xludf.DUMMYFUNCTION("""COMPUTED_VALUE"""),19)</f>
        <v>19</v>
      </c>
      <c r="E85" s="1" t="str">
        <f ca="1">IFERROR(__xludf.DUMMYFUNCTION("""COMPUTED_VALUE"""),"Mujer")</f>
        <v>Mujer</v>
      </c>
      <c r="F85" s="1" t="str">
        <f ca="1">IFERROR(__xludf.DUMMYFUNCTION("""COMPUTED_VALUE"""),"Veracruz, Mexico")</f>
        <v>Veracruz, Mexico</v>
      </c>
      <c r="G85" s="1" t="str">
        <f ca="1">IFERROR(__xludf.DUMMYFUNCTION("""COMPUTED_VALUE"""),"1324andymunoz@gmail.com")</f>
        <v>1324andymunoz@gmail.com</v>
      </c>
      <c r="H85" s="1">
        <f ca="1">IFERROR(__xludf.DUMMYFUNCTION("""COMPUTED_VALUE"""),522721999702)</f>
        <v>522721999702</v>
      </c>
      <c r="I85" s="1" t="str">
        <f ca="1">IFERROR(__xludf.DUMMYFUNCTION("""COMPUTED_VALUE"""),"Semana de entrenamiento (07 - 13) Julio, Comunidad Jóvenes + 18 (14-19) Julio, Semana de niños y niñas (21-25) Julio")</f>
        <v>Semana de entrenamiento (07 - 13) Julio, Comunidad Jóvenes + 18 (14-19) Julio, Semana de niños y niñas (21-25) Julio</v>
      </c>
      <c r="J85" s="1" t="str">
        <f ca="1">IFERROR(__xludf.DUMMYFUNCTION("""COMPUTED_VALUE"""),"YouVersion")</f>
        <v>YouVersion</v>
      </c>
      <c r="K85" s="1" t="str">
        <f ca="1">IFERROR(__xludf.DUMMYFUNCTION("""COMPUTED_VALUE"""),"CEOP")</f>
        <v>CEOP</v>
      </c>
      <c r="L85" s="1" t="str">
        <f ca="1">IFERROR(__xludf.DUMMYFUNCTION("""COMPUTED_VALUE"""),"Ricardo Barrientos Ceron")</f>
        <v>Ricardo Barrientos Ceron</v>
      </c>
      <c r="M85" s="1">
        <f ca="1">IFERROR(__xludf.DUMMYFUNCTION("""COMPUTED_VALUE"""),522721392220)</f>
        <v>522721392220</v>
      </c>
      <c r="N85" s="1" t="str">
        <f ca="1">IFERROR(__xludf.DUMMYFUNCTION("""COMPUTED_VALUE"""),"rianbac@hotmail.com")</f>
        <v>rianbac@hotmail.com</v>
      </c>
      <c r="O85" s="1" t="str">
        <f ca="1">IFERROR(__xludf.DUMMYFUNCTION("""COMPUTED_VALUE"""),"Ministerio juvenil e infantil")</f>
        <v>Ministerio juvenil e infantil</v>
      </c>
      <c r="P85" s="1" t="str">
        <f ca="1">IFERROR(__xludf.DUMMYFUNCTION("""COMPUTED_VALUE"""),"A mis 5 años, mi madre me compartió el evangelio y desde ese momento decidí seguir a Cristo, entendí que era pecadora, me arrepentí y creí en el sacrificio que hizo Jesús en la cruz venciendo la muerte y resucitando al 3 día")</f>
        <v>A mis 5 años, mi madre me compartió el evangelio y desde ese momento decidí seguir a Cristo, entendí que era pecadora, me arrepentí y creí en el sacrificio que hizo Jesús en la cruz venciendo la muerte y resucitando al 3 día</v>
      </c>
      <c r="Q85" s="1" t="str">
        <f ca="1">IFERROR(__xludf.DUMMYFUNCTION("""COMPUTED_VALUE"""),"Deseo ser parte del equipo de verano porque quiero servir a Dios invirtiendo mi tiempo, energía, dones y talentos en impactar la vida de otros jóvenes con el evangelio así como el campa lo ha echo conmigo en años pasados. También anhelo crecer espiritualm"&amp;"ente y ser parte de lo que Dios esta haciendo a través del campamento.")</f>
        <v>Deseo ser parte del equipo de verano porque quiero servir a Dios invirtiendo mi tiempo, energía, dones y talentos en impactar la vida de otros jóvenes con el evangelio así como el campa lo ha echo conmigo en años pasados. También anhelo crecer espiritualmente y ser parte de lo que Dios esta haciendo a través del campamento.</v>
      </c>
      <c r="R85" s="1" t="str">
        <f ca="1">IFERROR(__xludf.DUMMYFUNCTION("""COMPUTED_VALUE"""),"No")</f>
        <v>No</v>
      </c>
      <c r="S85" s="1"/>
      <c r="T85" s="1" t="str">
        <f ca="1">IFERROR(__xludf.DUMMYFUNCTION("""COMPUTED_VALUE"""),"No")</f>
        <v>No</v>
      </c>
      <c r="U85" s="1"/>
      <c r="V85" s="1" t="str">
        <f ca="1">IFERROR(__xludf.DUMMYFUNCTION("""COMPUTED_VALUE"""),"En septiembre voy a iniciar mi carrera en diseño gráfico")</f>
        <v>En septiembre voy a iniciar mi carrera en diseño gráfico</v>
      </c>
      <c r="W85" s="1" t="str">
        <f ca="1">IFERROR(__xludf.DUMMYFUNCTION("""COMPUTED_VALUE"""),"creatividad, adaptación, liderazgo, trabajo en equipo, servicio, amabilidad, etc")</f>
        <v>creatividad, adaptación, liderazgo, trabajo en equipo, servicio, amabilidad, etc</v>
      </c>
      <c r="X85" s="1" t="str">
        <f ca="1">IFERROR(__xludf.DUMMYFUNCTION("""COMPUTED_VALUE"""),"B. Me gusta animar a las personas, C. Suelo buscar que el trabajo se realice en equipo, F. Soy eficiente en el trabajo con herramientas, equipos y maquinarias, I. Se me facilita el trabajo físico, J. Me gusta la atención a las personas, K. Soy creativo (a"&amp;"), L. Soy bueno (a) en canto o algún instrumento, N. Suelo llevar el liderazgo en un grupo")</f>
        <v>B. Me gusta animar a las personas, C. Suelo buscar que el trabajo se realice en equipo, F. Soy eficiente en el trabajo con herramientas, equipos y maquinarias, I. Se me facilita el trabajo físico, J. Me gusta la atención a las personas, K. Soy creativo (a), L. Soy bueno (a) en canto o algún instrumento, N. Suelo llevar el liderazgo en un grupo</v>
      </c>
      <c r="Y85" s="1" t="str">
        <f ca="1">IFERROR(__xludf.DUMMYFUNCTION("""COMPUTED_VALUE"""),"si, en el 2016, 2017, 2019, 2020, 2022")</f>
        <v>si, en el 2016, 2017, 2019, 2020, 2022</v>
      </c>
      <c r="Z85" s="1"/>
    </row>
    <row r="86" spans="1:26" x14ac:dyDescent="0.35">
      <c r="A86" s="2">
        <f ca="1">IFERROR(__xludf.DUMMYFUNCTION("""COMPUTED_VALUE"""),45808.432037037)</f>
        <v>45808.432037036997</v>
      </c>
      <c r="B86" s="1"/>
      <c r="C86" s="1" t="str">
        <f ca="1">IFERROR(__xludf.DUMMYFUNCTION("""COMPUTED_VALUE"""),"Valeria, Gonzalez Islas")</f>
        <v>Valeria, Gonzalez Islas</v>
      </c>
      <c r="D86" s="1">
        <f ca="1">IFERROR(__xludf.DUMMYFUNCTION("""COMPUTED_VALUE"""),22)</f>
        <v>22</v>
      </c>
      <c r="E86" s="1" t="str">
        <f ca="1">IFERROR(__xludf.DUMMYFUNCTION("""COMPUTED_VALUE"""),"Mujer")</f>
        <v>Mujer</v>
      </c>
      <c r="F86" s="1" t="str">
        <f ca="1">IFERROR(__xludf.DUMMYFUNCTION("""COMPUTED_VALUE"""),"Mexico City, Mexico")</f>
        <v>Mexico City, Mexico</v>
      </c>
      <c r="G86" s="1" t="str">
        <f ca="1">IFERROR(__xludf.DUMMYFUNCTION("""COMPUTED_VALUE"""),"valeglezz02@gmail.com")</f>
        <v>valeglezz02@gmail.com</v>
      </c>
      <c r="H86" s="1">
        <f ca="1">IFERROR(__xludf.DUMMYFUNCTION("""COMPUTED_VALUE"""),525647892628)</f>
        <v>525647892628</v>
      </c>
      <c r="I86" s="1" t="str">
        <f ca="1">IFERROR(__xludf.DUMMYFUNCTION("""COMPUTED_VALUE"""),"Semana de entrenamiento (07 - 13) Julio, Comunidad Jóvenes + 18 (14-19) Julio, Semana de niños y niñas (21-25) Julio, Jóvenes de 13 – 17 años / SEM1/ (28 Julio a 02 de agosto), Jóvenes de 13 – 17 años / SEM2/ (4 - 09 agosto), Jóvenes de 13 – 17 años / SEM"&amp;"3/ (11 - 16 agosto), Toda la temporada (07 de Julio al 16 de agosto)")</f>
        <v>Semana de entrenamiento (07 - 13) Julio, Comunidad Jóvenes + 18 (14-19) Julio, Semana de niños y niñas (21-25) Julio, Jóvenes de 13 – 17 años / SEM1/ (28 Julio a 02 de agosto), Jóvenes de 13 – 17 años / SEM2/ (4 - 09 agosto), Jóvenes de 13 – 17 años / SEM3/ (11 - 16 agosto), Toda la temporada (07 de Julio al 16 de agosto)</v>
      </c>
      <c r="J86" s="1" t="str">
        <f ca="1">IFERROR(__xludf.DUMMYFUNCTION("""COMPUTED_VALUE"""),"El que viene con la biblia")</f>
        <v>El que viene con la biblia</v>
      </c>
      <c r="K86" s="1" t="str">
        <f ca="1">IFERROR(__xludf.DUMMYFUNCTION("""COMPUTED_VALUE"""),"La forestal (del bosque)")</f>
        <v>La forestal (del bosque)</v>
      </c>
      <c r="L86" s="1" t="str">
        <f ca="1">IFERROR(__xludf.DUMMYFUNCTION("""COMPUTED_VALUE"""),"Ciro Pérez")</f>
        <v>Ciro Pérez</v>
      </c>
      <c r="M86" s="1">
        <f ca="1">IFERROR(__xludf.DUMMYFUNCTION("""COMPUTED_VALUE"""),525534091509)</f>
        <v>525534091509</v>
      </c>
      <c r="N86" s="1" t="str">
        <f ca="1">IFERROR(__xludf.DUMMYFUNCTION("""COMPUTED_VALUE"""),"perezrojasciro7@gmail.com")</f>
        <v>perezrojasciro7@gmail.com</v>
      </c>
      <c r="O86" s="1" t="str">
        <f ca="1">IFERROR(__xludf.DUMMYFUNCTION("""COMPUTED_VALUE"""),"Ayudante en general")</f>
        <v>Ayudante en general</v>
      </c>
      <c r="P86" s="1" t="str">
        <f ca="1">IFERROR(__xludf.DUMMYFUNCTION("""COMPUTED_VALUE"""),"A la edad de 7 años asistí a una obra por el día del niño que la iglesia presentaba en el deportivo, mi familia también asistí y desde ahí nos invitaron a la iglesia mi familia accedió a ir y a la edad de 12 años acepte a cristo como mi único salvador y h"&amp;"asta la fecha asisto a la iglesia")</f>
        <v>A la edad de 7 años asistí a una obra por el día del niño que la iglesia presentaba en el deportivo, mi familia también asistí y desde ahí nos invitaron a la iglesia mi familia accedió a ir y a la edad de 12 años acepte a cristo como mi único salvador y hasta la fecha asisto a la iglesia</v>
      </c>
      <c r="Q86" s="1" t="str">
        <f ca="1">IFERROR(__xludf.DUMMYFUNCTION("""COMPUTED_VALUE"""),"Siempre he querido ir a servir de equipantes e ido a campamento desde los mismos años, pero por una u otra cosa no he podido ir")</f>
        <v>Siempre he querido ir a servir de equipantes e ido a campamento desde los mismos años, pero por una u otra cosa no he podido ir</v>
      </c>
      <c r="R86" s="1" t="str">
        <f ca="1">IFERROR(__xludf.DUMMYFUNCTION("""COMPUTED_VALUE"""),"No")</f>
        <v>No</v>
      </c>
      <c r="S86" s="1"/>
      <c r="T86" s="1" t="str">
        <f ca="1">IFERROR(__xludf.DUMMYFUNCTION("""COMPUTED_VALUE"""),"No")</f>
        <v>No</v>
      </c>
      <c r="U86" s="1"/>
      <c r="V86" s="1" t="str">
        <f ca="1">IFERROR(__xludf.DUMMYFUNCTION("""COMPUTED_VALUE"""),"Me especialice en belleza, maquillo, hago micropigmentación de cejas labios y delineado de ojos")</f>
        <v>Me especialice en belleza, maquillo, hago micropigmentación de cejas labios y delineado de ojos</v>
      </c>
      <c r="W86" s="1" t="str">
        <f ca="1">IFERROR(__xludf.DUMMYFUNCTION("""COMPUTED_VALUE"""),"Profesión en belleza")</f>
        <v>Profesión en belleza</v>
      </c>
      <c r="X86" s="1" t="str">
        <f ca="1">IFERROR(__xludf.DUMMYFUNCTION("""COMPUTED_VALUE"""),"C. Suelo buscar que el trabajo se realice en equipo, E. Me gusta el trabajo con niños, I. Se me facilita el trabajo físico, M. Soy bueno (a) con los números, O. Puedo enseñar con facilidad")</f>
        <v>C. Suelo buscar que el trabajo se realice en equipo, E. Me gusta el trabajo con niños, I. Se me facilita el trabajo físico, M. Soy bueno (a) con los números, O. Puedo enseñar con facilidad</v>
      </c>
      <c r="Y86" s="1" t="str">
        <f ca="1">IFERROR(__xludf.DUMMYFUNCTION("""COMPUTED_VALUE"""),"Desde mis 8 años hasta el campamento de + mayores que hubo en pandemia")</f>
        <v>Desde mis 8 años hasta el campamento de + mayores que hubo en pandemia</v>
      </c>
      <c r="Z86" s="1"/>
    </row>
    <row r="87" spans="1:26" x14ac:dyDescent="0.35">
      <c r="A87" s="2">
        <f ca="1">IFERROR(__xludf.DUMMYFUNCTION("""COMPUTED_VALUE"""),45808.5015625)</f>
        <v>45808.501562500001</v>
      </c>
      <c r="B87" s="1"/>
      <c r="C87" s="1" t="str">
        <f ca="1">IFERROR(__xludf.DUMMYFUNCTION("""COMPUTED_VALUE"""),"Grace Yrene, Wolff Aguilar")</f>
        <v>Grace Yrene, Wolff Aguilar</v>
      </c>
      <c r="D87" s="1">
        <f ca="1">IFERROR(__xludf.DUMMYFUNCTION("""COMPUTED_VALUE"""),21)</f>
        <v>21</v>
      </c>
      <c r="E87" s="1" t="str">
        <f ca="1">IFERROR(__xludf.DUMMYFUNCTION("""COMPUTED_VALUE"""),"Mujer")</f>
        <v>Mujer</v>
      </c>
      <c r="F87" s="1" t="str">
        <f ca="1">IFERROR(__xludf.DUMMYFUNCTION("""COMPUTED_VALUE"""),"Sinaloa, Mexico")</f>
        <v>Sinaloa, Mexico</v>
      </c>
      <c r="G87" s="1" t="str">
        <f ca="1">IFERROR(__xludf.DUMMYFUNCTION("""COMPUTED_VALUE"""),"gwolffpetit54@gmail.com")</f>
        <v>gwolffpetit54@gmail.com</v>
      </c>
      <c r="H87" s="1">
        <f ca="1">IFERROR(__xludf.DUMMYFUNCTION("""COMPUTED_VALUE"""),524461159595)</f>
        <v>524461159595</v>
      </c>
      <c r="I87" s="1" t="str">
        <f ca="1">IFERROR(__xludf.DUMMYFUNCTION("""COMPUTED_VALUE"""),"Semana de niños y niñas (21-25) Julio, Jóvenes de 13 – 17 años / SEM1/ (28 Julio a 02 de agosto)")</f>
        <v>Semana de niños y niñas (21-25) Julio, Jóvenes de 13 – 17 años / SEM1/ (28 Julio a 02 de agosto)</v>
      </c>
      <c r="J87" s="1" t="str">
        <f ca="1">IFERROR(__xludf.DUMMYFUNCTION("""COMPUTED_VALUE"""),"Ebenezer (devocional de Dunamis en Youversion)")</f>
        <v>Ebenezer (devocional de Dunamis en Youversion)</v>
      </c>
      <c r="K87" s="1" t="str">
        <f ca="1">IFERROR(__xludf.DUMMYFUNCTION("""COMPUTED_VALUE"""),"Iglesia Vida")</f>
        <v>Iglesia Vida</v>
      </c>
      <c r="L87" s="1" t="str">
        <f ca="1">IFERROR(__xludf.DUMMYFUNCTION("""COMPUTED_VALUE"""),"Neftali Rubio")</f>
        <v>Neftali Rubio</v>
      </c>
      <c r="M87" s="1">
        <f ca="1">IFERROR(__xludf.DUMMYFUNCTION("""COMPUTED_VALUE"""),5214411036024)</f>
        <v>5214411036024</v>
      </c>
      <c r="N87" s="1" t="str">
        <f ca="1">IFERROR(__xludf.DUMMYFUNCTION("""COMPUTED_VALUE"""),"nefaly@gmail.com")</f>
        <v>nefaly@gmail.com</v>
      </c>
      <c r="O87" s="1" t="str">
        <f ca="1">IFERROR(__xludf.DUMMYFUNCTION("""COMPUTED_VALUE"""),"Estoy en el grupo de alabanza y en apoyo como líder de jóvenes")</f>
        <v>Estoy en el grupo de alabanza y en apoyo como líder de jóvenes</v>
      </c>
      <c r="P87" s="1" t="str">
        <f ca="1">IFERROR(__xludf.DUMMYFUNCTION("""COMPUTED_VALUE"""),"Creo que puedo contar con la mano las veces que he faltado un domingo a la iglesia. Así crecí, como una especie de hija de misioneros. Mudándonos de lugar en lugar cada ciertos años. ¿Mi contexto? Cristiano. ¿Yo? Pues culturalmente cristiana, aprendí a ad"&amp;"aptarme fácilmente en esos espacios, pero por dentro no había una conexión cercana con el tal Jesús, lo veía más como un cuento bonito para hacer sentir bien a las personas y hacer que se porten bien. 
No es que siempre pensaba eso, llegaban momentos don"&amp;"de se me quitaba la venda de los ojos y lograba ver que esto de Dios y Jesús era más real que cualquier cosa, pero con el tiempo ese sentimiento desvanecía. 
Con una de mis mudanzas a los 15 años entré en depresión y posteriormente entré en una crisis ex"&amp;"istencial donde empecé a recuestionarme todo. Aquí me encontré con la apologética y me di cuenta de que era razonable creer en Dios. Estuve una temporada apasionada por Dios, mi sed racional fue satisfecha, pero faltaba la emocional y mi ""pasión"" desapa"&amp;"reció. 
Un tiempo después entré a la universidad y me encontraba confrontada constantemente con teorías humanistas, filosóficas, ateas y volví a entrar en crisis. En este tiempo estuve en un contexto donde no tenía apoyo espiritual externo, dicho torpeme"&amp;"nte, en la iglesia yo era de las más ""espirituales"", siempre dando y no tenía nadie quien me diera a mí, en conclusión, no tenía una comunidad y me afectó fuertemente. 
Entre soledad, ansiedad y desesperanza, un día fui a una mañana de alabanza en JUCU"&amp;"M Mazatlán y tuve un encuentro sobrenatural con Dios, donde alguien vino y oró por mí, hablando en lenguas y diciendo todo acerca de mi pasado. Aquí supe que no podía negar a Dios y que tenía que seguir buscándolo y conociéndolo, encontré la verdad. 
Qui"&amp;"siera poder decir que de ahí todo ha sido perfecto, pero la verdad es que he vuelto a tener crisis de fe, aun a pesar de mi experiencia sobrenatural. He tenido crisis de duda y fuertes ""bajones"" emocionales. Aun así, yo sé que Jesús es la realidad últim"&amp;"a y voy a seguir persiguiéndolo, al mismo tiempo que deseo ser un letrero de ""por aquí es"" ⬆ para otros :))")</f>
        <v>Creo que puedo contar con la mano las veces que he faltado un domingo a la iglesia. Así crecí, como una especie de hija de misioneros. Mudándonos de lugar en lugar cada ciertos años. ¿Mi contexto? Cristiano. ¿Yo? Pues culturalmente cristiana, aprendí a adaptarme fácilmente en esos espacios, pero por dentro no había una conexión cercana con el tal Jesús, lo veía más como un cuento bonito para hacer sentir bien a las personas y hacer que se porten bien. 
No es que siempre pensaba eso, llegaban momentos donde se me quitaba la venda de los ojos y lograba ver que esto de Dios y Jesús era más real que cualquier cosa, pero con el tiempo ese sentimiento desvanecía. 
Con una de mis mudanzas a los 15 años entré en depresión y posteriormente entré en una crisis existencial donde empecé a recuestionarme todo. Aquí me encontré con la apologética y me di cuenta de que era razonable creer en Dios. Estuve una temporada apasionada por Dios, mi sed racional fue satisfecha, pero faltaba la emocional y mi "pasión" desapareció. 
Un tiempo después entré a la universidad y me encontraba confrontada constantemente con teorías humanistas, filosóficas, ateas y volví a entrar en crisis. En este tiempo estuve en un contexto donde no tenía apoyo espiritual externo, dicho torpemente, en la iglesia yo era de las más "espirituales", siempre dando y no tenía nadie quien me diera a mí, en conclusión, no tenía una comunidad y me afectó fuertemente. 
Entre soledad, ansiedad y desesperanza, un día fui a una mañana de alabanza en JUCUM Mazatlán y tuve un encuentro sobrenatural con Dios, donde alguien vino y oró por mí, hablando en lenguas y diciendo todo acerca de mi pasado. Aquí supe que no podía negar a Dios y que tenía que seguir buscándolo y conociéndolo, encontré la verdad. 
Quisiera poder decir que de ahí todo ha sido perfecto, pero la verdad es que he vuelto a tener crisis de fe, aun a pesar de mi experiencia sobrenatural. He tenido crisis de duda y fuertes "bajones" emocionales. Aun así, yo sé que Jesús es la realidad última y voy a seguir persiguiéndolo, al mismo tiempo que deseo ser un letrero de "por aquí es" ⬆ para otros :))</v>
      </c>
      <c r="Q87" s="1" t="str">
        <f ca="1">IFERROR(__xludf.DUMMYFUNCTION("""COMPUTED_VALUE"""),"Yo sé que pudiera escribir algo super espiritual como ""Ohh simplemente quiero servir a mi Dios!"", pero quiero ser sincera con quien esté leyendo esto... la verdad no he estado bien espiritualmente últimamente, todavía no estoy en un lugar con una comuni"&amp;"dad fija y siento mi fe muy seca. Por lo que mis intenciones para esto son más del lado egoísta.
He experimentado la comunidad que se forma entre los equipantes el año pasado y la verdad me hizo mucho mucho bien. Tuve conversaciones profundas, transforma"&amp;"doras, encontré amigos que me acercan a Dios y la verdad creo necesitar eso en este momento, quiero reexperimentar todo eso, recibir ese boost de motivación en mi fe y ser ese boost para otros y si puedo hacer eso a través de hacer cosas útiles como el se"&amp;"rvicio en campa, entonces lo considero un ganar/ganar")</f>
        <v>Yo sé que pudiera escribir algo super espiritual como "Ohh simplemente quiero servir a mi Dios!", pero quiero ser sincera con quien esté leyendo esto... la verdad no he estado bien espiritualmente últimamente, todavía no estoy en un lugar con una comunidad fija y siento mi fe muy seca. Por lo que mis intenciones para esto son más del lado egoísta.
He experimentado la comunidad que se forma entre los equipantes el año pasado y la verdad me hizo mucho mucho bien. Tuve conversaciones profundas, transformadoras, encontré amigos que me acercan a Dios y la verdad creo necesitar eso en este momento, quiero reexperimentar todo eso, recibir ese boost de motivación en mi fe y ser ese boost para otros y si puedo hacer eso a través de hacer cosas útiles como el servicio en campa, entonces lo considero un ganar/ganar</v>
      </c>
      <c r="R87" s="1" t="str">
        <f ca="1">IFERROR(__xludf.DUMMYFUNCTION("""COMPUTED_VALUE"""),"No")</f>
        <v>No</v>
      </c>
      <c r="S87" s="1"/>
      <c r="T87" s="1" t="str">
        <f ca="1">IFERROR(__xludf.DUMMYFUNCTION("""COMPUTED_VALUE"""),"Si")</f>
        <v>Si</v>
      </c>
      <c r="U87" s="1" t="str">
        <f ca="1">IFERROR(__xludf.DUMMYFUNCTION("""COMPUTED_VALUE"""),"Piano")</f>
        <v>Piano</v>
      </c>
      <c r="V87" s="1" t="str">
        <f ca="1">IFERROR(__xludf.DUMMYFUNCTION("""COMPUTED_VALUE"""),"Estoy por concluir mi 3er año en psicología")</f>
        <v>Estoy por concluir mi 3er año en psicología</v>
      </c>
      <c r="W87" s="1" t="str">
        <f ca="1">IFERROR(__xludf.DUMMYFUNCTION("""COMPUTED_VALUE"""),"Soy buena escuchando a los demás, validando sus sentimientos. Soy buena organizando materiales, limpiando...cualquier cosa, hasta que quede brilloso. Soy creativa en cuestiones visuales, artísticas. Soy empática")</f>
        <v>Soy buena escuchando a los demás, validando sus sentimientos. Soy buena organizando materiales, limpiando...cualquier cosa, hasta que quede brilloso. Soy creativa en cuestiones visuales, artísticas. Soy empática</v>
      </c>
      <c r="X87" s="1" t="str">
        <f ca="1">IFERROR(__xludf.DUMMYFUNCTION("""COMPUTED_VALUE"""),"B. Me gusta animar a las personas, E. Me gusta el trabajo con niños, G. Soy más eficiente en el trabajo individual, H. Soy organizado (a), J. Me gusta la atención a las personas, K. Soy creativo (a)")</f>
        <v>B. Me gusta animar a las personas, E. Me gusta el trabajo con niños, G. Soy más eficiente en el trabajo individual, H. Soy organizado (a), J. Me gusta la atención a las personas, K. Soy creativo (a)</v>
      </c>
      <c r="Y87" s="1" t="str">
        <f ca="1">IFERROR(__xludf.DUMMYFUNCTION("""COMPUTED_VALUE"""),"Sí! Han sido varios años, no recuerdo exactamente, pero 2022 fue la última como campera")</f>
        <v>Sí! Han sido varios años, no recuerdo exactamente, pero 2022 fue la última como campera</v>
      </c>
      <c r="Z87" s="1"/>
    </row>
    <row r="88" spans="1:26" x14ac:dyDescent="0.35">
      <c r="A88" s="3">
        <f ca="1">IFERROR(__xludf.DUMMYFUNCTION("""COMPUTED_VALUE"""),45809.6348379629)</f>
        <v>45809.634837962898</v>
      </c>
      <c r="B88" s="1"/>
      <c r="C88" s="1" t="str">
        <f ca="1">IFERROR(__xludf.DUMMYFUNCTION("""COMPUTED_VALUE"""),"Mia, Mendoza Trujillo")</f>
        <v>Mia, Mendoza Trujillo</v>
      </c>
      <c r="D88" s="1">
        <f ca="1">IFERROR(__xludf.DUMMYFUNCTION("""COMPUTED_VALUE"""),19)</f>
        <v>19</v>
      </c>
      <c r="E88" s="1" t="str">
        <f ca="1">IFERROR(__xludf.DUMMYFUNCTION("""COMPUTED_VALUE"""),"Mujer")</f>
        <v>Mujer</v>
      </c>
      <c r="F88" s="1" t="str">
        <f ca="1">IFERROR(__xludf.DUMMYFUNCTION("""COMPUTED_VALUE"""),"Veracruz, Mexico")</f>
        <v>Veracruz, Mexico</v>
      </c>
      <c r="G88" s="1" t="str">
        <f ca="1">IFERROR(__xludf.DUMMYFUNCTION("""COMPUTED_VALUE"""),"trujilomia@gmail.com")</f>
        <v>trujilomia@gmail.com</v>
      </c>
      <c r="H88" s="1">
        <f ca="1">IFERROR(__xludf.DUMMYFUNCTION("""COMPUTED_VALUE"""),522721539731)</f>
        <v>522721539731</v>
      </c>
      <c r="I88" s="1" t="str">
        <f ca="1">IFERROR(__xludf.DUMMYFUNCTION("""COMPUTED_VALUE"""),"Semana de entrenamiento (07 - 13) Julio, Comunidad Jóvenes + 18 (14-19) Julio, Semana de niños y niñas (21-25) Julio, Jóvenes de 13 – 17 años / SEM1/ (28 Julio a 02 de agosto)")</f>
        <v>Semana de entrenamiento (07 - 13) Julio, Comunidad Jóvenes + 18 (14-19) Julio, Semana de niños y niñas (21-25) Julio, Jóvenes de 13 – 17 años / SEM1/ (28 Julio a 02 de agosto)</v>
      </c>
      <c r="J88" s="1" t="str">
        <f ca="1">IFERROR(__xludf.DUMMYFUNCTION("""COMPUTED_VALUE"""),"Glorify")</f>
        <v>Glorify</v>
      </c>
      <c r="K88" s="1" t="str">
        <f ca="1">IFERROR(__xludf.DUMMYFUNCTION("""COMPUTED_VALUE"""),"Casa del rey")</f>
        <v>Casa del rey</v>
      </c>
      <c r="L88" s="1" t="str">
        <f ca="1">IFERROR(__xludf.DUMMYFUNCTION("""COMPUTED_VALUE"""),"Martha luquez")</f>
        <v>Martha luquez</v>
      </c>
      <c r="M88" s="1">
        <f ca="1">IFERROR(__xludf.DUMMYFUNCTION("""COMPUTED_VALUE"""),522721008946)</f>
        <v>522721008946</v>
      </c>
      <c r="N88" s="1" t="str">
        <f ca="1">IFERROR(__xludf.DUMMYFUNCTION("""COMPUTED_VALUE"""),"marthaluques21@me.com")</f>
        <v>marthaluques21@me.com</v>
      </c>
      <c r="O88" s="1" t="str">
        <f ca="1">IFERROR(__xludf.DUMMYFUNCTION("""COMPUTED_VALUE"""),"No tengo")</f>
        <v>No tengo</v>
      </c>
      <c r="P88" s="1" t="str">
        <f ca="1">IFERROR(__xludf.DUMMYFUNCTION("""COMPUTED_VALUE"""),"Cuando era pequeña empecé a ir a la iglesia con mis abuelitos, conforme fui creciendo me di cuenta de cuánto lo necesitaba y que sin él no puedo seguir, he tenido una vida de antibajos como todo hijo de Dios pero sin duda siempre ha estado ahí conmigo mos"&amp;"trándome su amor y fortaleciéndome")</f>
        <v>Cuando era pequeña empecé a ir a la iglesia con mis abuelitos, conforme fui creciendo me di cuenta de cuánto lo necesitaba y que sin él no puedo seguir, he tenido una vida de antibajos como todo hijo de Dios pero sin duda siempre ha estado ahí conmigo mostrándome su amor y fortaleciéndome</v>
      </c>
      <c r="Q88" s="1" t="str">
        <f ca="1">IFERROR(__xludf.DUMMYFUNCTION("""COMPUTED_VALUE"""),"Porque quiero servirle a Dios y aprender más de él, me hace mucha ilusión y se que Dios ocupará mi vida")</f>
        <v>Porque quiero servirle a Dios y aprender más de él, me hace mucha ilusión y se que Dios ocupará mi vida</v>
      </c>
      <c r="R88" s="1" t="str">
        <f ca="1">IFERROR(__xludf.DUMMYFUNCTION("""COMPUTED_VALUE"""),"Si")</f>
        <v>Si</v>
      </c>
      <c r="S88" s="1" t="str">
        <f ca="1">IFERROR(__xludf.DUMMYFUNCTION("""COMPUTED_VALUE"""),"Gym y crossfit")</f>
        <v>Gym y crossfit</v>
      </c>
      <c r="T88" s="1" t="str">
        <f ca="1">IFERROR(__xludf.DUMMYFUNCTION("""COMPUTED_VALUE"""),"No")</f>
        <v>No</v>
      </c>
      <c r="U88" s="1"/>
      <c r="V88" s="1" t="str">
        <f ca="1">IFERROR(__xludf.DUMMYFUNCTION("""COMPUTED_VALUE"""),"Estoy en año sabático, pero en espera de resultados del examen de admisión")</f>
        <v>Estoy en año sabático, pero en espera de resultados del examen de admisión</v>
      </c>
      <c r="W88" s="1" t="str">
        <f ca="1">IFERROR(__xludf.DUMMYFUNCTION("""COMPUTED_VALUE"""),"Me gusta jugar con niños, tocar hukelele")</f>
        <v>Me gusta jugar con niños, tocar hukelele</v>
      </c>
      <c r="X88" s="1" t="str">
        <f ca="1">IFERROR(__xludf.DUMMYFUNCTION("""COMPUTED_VALUE"""),"B. Me gusta animar a las personas, C. Suelo buscar que el trabajo se realice en equipo, D. Me gustan los deportes, E. Me gusta el trabajo con niños, H. Soy organizado (a), I. Se me facilita el trabajo físico, J. Me gusta la atención a las personas, K. Soy"&amp;" creativo (a)")</f>
        <v>B. Me gusta animar a las personas, C. Suelo buscar que el trabajo se realice en equipo, D. Me gustan los deportes, E. Me gusta el trabajo con niños, H. Soy organizado (a), I. Se me facilita el trabajo físico, J. Me gusta la atención a las personas, K. Soy creativo (a)</v>
      </c>
      <c r="Y88" s="1" t="str">
        <f ca="1">IFERROR(__xludf.DUMMYFUNCTION("""COMPUTED_VALUE"""),"2016-2017-2018-2020")</f>
        <v>2016-2017-2018-2020</v>
      </c>
      <c r="Z88" s="1"/>
    </row>
    <row r="89" spans="1:26" x14ac:dyDescent="0.35">
      <c r="A89" s="3">
        <f ca="1">IFERROR(__xludf.DUMMYFUNCTION("""COMPUTED_VALUE"""),45811.4770138888)</f>
        <v>45811.477013888798</v>
      </c>
      <c r="B89" s="1"/>
      <c r="C89" s="1" t="str">
        <f ca="1">IFERROR(__xludf.DUMMYFUNCTION("""COMPUTED_VALUE"""),"Ana Jazmin, Mendez Barojas")</f>
        <v>Ana Jazmin, Mendez Barojas</v>
      </c>
      <c r="D89" s="1">
        <f ca="1">IFERROR(__xludf.DUMMYFUNCTION("""COMPUTED_VALUE"""),18)</f>
        <v>18</v>
      </c>
      <c r="E89" s="1" t="str">
        <f ca="1">IFERROR(__xludf.DUMMYFUNCTION("""COMPUTED_VALUE"""),"Mujer")</f>
        <v>Mujer</v>
      </c>
      <c r="F89" s="1" t="str">
        <f ca="1">IFERROR(__xludf.DUMMYFUNCTION("""COMPUTED_VALUE"""),"Puebla, Mexico")</f>
        <v>Puebla, Mexico</v>
      </c>
      <c r="G89" s="1" t="str">
        <f ca="1">IFERROR(__xludf.DUMMYFUNCTION("""COMPUTED_VALUE"""),"anamendezb23@gmail.com")</f>
        <v>anamendezb23@gmail.com</v>
      </c>
      <c r="H89" s="1">
        <f ca="1">IFERROR(__xludf.DUMMYFUNCTION("""COMPUTED_VALUE"""),522212561368)</f>
        <v>522212561368</v>
      </c>
      <c r="I89" s="1" t="str">
        <f ca="1">IFERROR(__xludf.DUMMYFUNCTION("""COMPUTED_VALUE"""),"Jóvenes de 13 – 17 años / SEM2/ (4 - 09 agosto), Jóvenes de 13 – 17 años / SEM3/ (11 - 16 agosto)")</f>
        <v>Jóvenes de 13 – 17 años / SEM2/ (4 - 09 agosto), Jóvenes de 13 – 17 años / SEM3/ (11 - 16 agosto)</v>
      </c>
      <c r="J89" s="1" t="str">
        <f ca="1">IFERROR(__xludf.DUMMYFUNCTION("""COMPUTED_VALUE"""),"En esto pensad - Edyah Ramos")</f>
        <v>En esto pensad - Edyah Ramos</v>
      </c>
      <c r="K89" s="1" t="str">
        <f ca="1">IFERROR(__xludf.DUMMYFUNCTION("""COMPUTED_VALUE"""),"Iglesia Biblica Torre Fuerte")</f>
        <v>Iglesia Biblica Torre Fuerte</v>
      </c>
      <c r="L89" s="1" t="str">
        <f ca="1">IFERROR(__xludf.DUMMYFUNCTION("""COMPUTED_VALUE"""),"Edgar Serés")</f>
        <v>Edgar Serés</v>
      </c>
      <c r="M89" s="1">
        <f ca="1">IFERROR(__xludf.DUMMYFUNCTION("""COMPUTED_VALUE"""),522225646406)</f>
        <v>522225646406</v>
      </c>
      <c r="N89" s="1" t="str">
        <f ca="1">IFERROR(__xludf.DUMMYFUNCTION("""COMPUTED_VALUE"""),"anamendezb23@gmail.com")</f>
        <v>anamendezb23@gmail.com</v>
      </c>
      <c r="O89" s="1" t="str">
        <f ca="1">IFERROR(__xludf.DUMMYFUNCTION("""COMPUTED_VALUE"""),"Maestra de Niños (OANSA), Ministerio de misiones y Ministerio de Evangelismo en Hospitales")</f>
        <v>Maestra de Niños (OANSA), Ministerio de misiones y Ministerio de Evangelismo en Hospitales</v>
      </c>
      <c r="P89" s="1" t="str">
        <f ca="1">IFERROR(__xludf.DUMMYFUNCTION("""COMPUTED_VALUE"""),"A los 15 años comencé a asistir en la iglesia después de atravesar una etapa muy oscura en mi vida, poco a poco fui comprendiendo y creyendo gracias a la obra del Espiritu Santo todo lo que significa el Evangelio.")</f>
        <v>A los 15 años comencé a asistir en la iglesia después de atravesar una etapa muy oscura en mi vida, poco a poco fui comprendiendo y creyendo gracias a la obra del Espiritu Santo todo lo que significa el Evangelio.</v>
      </c>
      <c r="Q89" s="1" t="str">
        <f ca="1">IFERROR(__xludf.DUMMYFUNCTION("""COMPUTED_VALUE"""),"He escuchado halar mucho de este campamento y creo que seria una gran experiencia poder ir a servir un tiempo allá, conocer nuevas personas y nuevos lugares.")</f>
        <v>He escuchado halar mucho de este campamento y creo que seria una gran experiencia poder ir a servir un tiempo allá, conocer nuevas personas y nuevos lugares.</v>
      </c>
      <c r="R89" s="1" t="str">
        <f ca="1">IFERROR(__xludf.DUMMYFUNCTION("""COMPUTED_VALUE"""),"No")</f>
        <v>No</v>
      </c>
      <c r="S89" s="1"/>
      <c r="T89" s="1" t="str">
        <f ca="1">IFERROR(__xludf.DUMMYFUNCTION("""COMPUTED_VALUE"""),"No")</f>
        <v>No</v>
      </c>
      <c r="U89" s="1"/>
      <c r="V89" s="1" t="str">
        <f ca="1">IFERROR(__xludf.DUMMYFUNCTION("""COMPUTED_VALUE"""),"Estudio Ingeniería en Gestión Empresarial")</f>
        <v>Estudio Ingeniería en Gestión Empresarial</v>
      </c>
      <c r="W89" s="1" t="str">
        <f ca="1">IFERROR(__xludf.DUMMYFUNCTION("""COMPUTED_VALUE"""),"Soy buena con los niños y organizada. Aprendo rápido tambien.")</f>
        <v>Soy buena con los niños y organizada. Aprendo rápido tambien.</v>
      </c>
      <c r="X89" s="1" t="str">
        <f ca="1">IFERROR(__xludf.DUMMYFUNCTION("""COMPUTED_VALUE"""),"A. Soy un discipulador activo, E. Me gusta el trabajo con niños, G. Soy más eficiente en el trabajo individual, H. Soy organizado (a), J. Me gusta la atención a las personas, M. Soy bueno (a) con los números, N. Suelo llevar el liderazgo en un grupo, O. P"&amp;"uedo enseñar con facilidad")</f>
        <v>A. Soy un discipulador activo, E. Me gusta el trabajo con niños, G. Soy más eficiente en el trabajo individual, H. Soy organizado (a), J. Me gusta la atención a las personas, M. Soy bueno (a) con los números, N. Suelo llevar el liderazgo en un grupo, O. Puedo enseñar con facilidad</v>
      </c>
      <c r="Y89" s="1" t="str">
        <f ca="1">IFERROR(__xludf.DUMMYFUNCTION("""COMPUTED_VALUE"""),"No, nunca")</f>
        <v>No, nunca</v>
      </c>
      <c r="Z89" s="1"/>
    </row>
    <row r="90" spans="1:26" x14ac:dyDescent="0.35">
      <c r="A90" s="3">
        <f ca="1">IFERROR(__xludf.DUMMYFUNCTION("""COMPUTED_VALUE"""),45811.5019328703)</f>
        <v>45811.501932870298</v>
      </c>
      <c r="B90" s="1"/>
      <c r="C90" s="1" t="str">
        <f ca="1">IFERROR(__xludf.DUMMYFUNCTION("""COMPUTED_VALUE"""),"Raúl Emiliano, Gómez Olvera")</f>
        <v>Raúl Emiliano, Gómez Olvera</v>
      </c>
      <c r="D90" s="1">
        <f ca="1">IFERROR(__xludf.DUMMYFUNCTION("""COMPUTED_VALUE"""),18)</f>
        <v>18</v>
      </c>
      <c r="E90" s="1" t="str">
        <f ca="1">IFERROR(__xludf.DUMMYFUNCTION("""COMPUTED_VALUE"""),"Hombre")</f>
        <v>Hombre</v>
      </c>
      <c r="F90" s="1" t="str">
        <f ca="1">IFERROR(__xludf.DUMMYFUNCTION("""COMPUTED_VALUE"""),"Mexico City, Mexico")</f>
        <v>Mexico City, Mexico</v>
      </c>
      <c r="G90" s="1" t="str">
        <f ca="1">IFERROR(__xludf.DUMMYFUNCTION("""COMPUTED_VALUE"""),"raulemilianogomezolvera@gmail.com")</f>
        <v>raulemilianogomezolvera@gmail.com</v>
      </c>
      <c r="H90" s="1">
        <f ca="1">IFERROR(__xludf.DUMMYFUNCTION("""COMPUTED_VALUE"""),525619848129)</f>
        <v>525619848129</v>
      </c>
      <c r="I90" s="1" t="str">
        <f ca="1">IFERROR(__xludf.DUMMYFUNCTION("""COMPUTED_VALUE"""),"Comunidad Jóvenes + 18 (14-19) Julio, Semana de niños y niñas (21-25) Julio, Jóvenes de 13 – 17 años / SEM1/ (28 Julio a 02 de agosto)")</f>
        <v>Comunidad Jóvenes + 18 (14-19) Julio, Semana de niños y niñas (21-25) Julio, Jóvenes de 13 – 17 años / SEM1/ (28 Julio a 02 de agosto)</v>
      </c>
      <c r="J90" s="1" t="str">
        <f ca="1">IFERROR(__xludf.DUMMYFUNCTION("""COMPUTED_VALUE"""),"Glorify")</f>
        <v>Glorify</v>
      </c>
      <c r="K90" s="1" t="str">
        <f ca="1">IFERROR(__xludf.DUMMYFUNCTION("""COMPUTED_VALUE"""),"Anastasis")</f>
        <v>Anastasis</v>
      </c>
      <c r="L90" s="1" t="str">
        <f ca="1">IFERROR(__xludf.DUMMYFUNCTION("""COMPUTED_VALUE"""),"Ricardo Almazán")</f>
        <v>Ricardo Almazán</v>
      </c>
      <c r="M90" s="1">
        <f ca="1">IFERROR(__xludf.DUMMYFUNCTION("""COMPUTED_VALUE"""),525548177680)</f>
        <v>525548177680</v>
      </c>
      <c r="N90" s="1" t="str">
        <f ca="1">IFERROR(__xludf.DUMMYFUNCTION("""COMPUTED_VALUE"""),"icbanastasis@gmail.com")</f>
        <v>icbanastasis@gmail.com</v>
      </c>
      <c r="O90" s="1" t="str">
        <f ca="1">IFERROR(__xludf.DUMMYFUNCTION("""COMPUTED_VALUE"""),"Aún ninguno")</f>
        <v>Aún ninguno</v>
      </c>
      <c r="P90" s="1" t="str">
        <f ca="1">IFERROR(__xludf.DUMMYFUNCTION("""COMPUTED_VALUE"""),"He ido a una iglesia, casi desde que tengo memoria, pero tome una decisión por Cristo en un campamento en Bernal, cuando entendí que no solo conocer bastaba, si no que tenía que ser algo de todos los días, que El fuera mi señor y salvador")</f>
        <v>He ido a una iglesia, casi desde que tengo memoria, pero tome una decisión por Cristo en un campamento en Bernal, cuando entendí que no solo conocer bastaba, si no que tenía que ser algo de todos los días, que El fuera mi señor y salvador</v>
      </c>
      <c r="Q90" s="1" t="str">
        <f ca="1">IFERROR(__xludf.DUMMYFUNCTION("""COMPUTED_VALUE"""),"Durante mucho tiempo he ido al Campamento y creo que es momento de servir a Dios a través del servicio en este campamento")</f>
        <v>Durante mucho tiempo he ido al Campamento y creo que es momento de servir a Dios a través del servicio en este campamento</v>
      </c>
      <c r="R90" s="1" t="str">
        <f ca="1">IFERROR(__xludf.DUMMYFUNCTION("""COMPUTED_VALUE"""),"Si")</f>
        <v>Si</v>
      </c>
      <c r="S90" s="1" t="str">
        <f ca="1">IFERROR(__xludf.DUMMYFUNCTION("""COMPUTED_VALUE"""),"Fútbol")</f>
        <v>Fútbol</v>
      </c>
      <c r="T90" s="1" t="str">
        <f ca="1">IFERROR(__xludf.DUMMYFUNCTION("""COMPUTED_VALUE"""),"No")</f>
        <v>No</v>
      </c>
      <c r="U90" s="1"/>
      <c r="V90" s="1" t="str">
        <f ca="1">IFERROR(__xludf.DUMMYFUNCTION("""COMPUTED_VALUE"""),"Biología")</f>
        <v>Biología</v>
      </c>
      <c r="W90" s="1" t="str">
        <f ca="1">IFERROR(__xludf.DUMMYFUNCTION("""COMPUTED_VALUE"""),"Me puedo desenvolver rápidamente con la gente, ño me da pena hablar en público, solo me dedico a mis estudios")</f>
        <v>Me puedo desenvolver rápidamente con la gente, ño me da pena hablar en público, solo me dedico a mis estudios</v>
      </c>
      <c r="X90" s="1" t="str">
        <f ca="1">IFERROR(__xludf.DUMMYFUNCTION("""COMPUTED_VALUE"""),"B. Me gusta animar a las personas, D. Me gustan los deportes, F. Soy eficiente en el trabajo con herramientas, equipos y maquinarias, I. Se me facilita el trabajo físico, J. Me gusta la atención a las personas")</f>
        <v>B. Me gusta animar a las personas, D. Me gustan los deportes, F. Soy eficiente en el trabajo con herramientas, equipos y maquinarias, I. Se me facilita el trabajo físico, J. Me gusta la atención a las personas</v>
      </c>
      <c r="Y90" s="1" t="str">
        <f ca="1">IFERROR(__xludf.DUMMYFUNCTION("""COMPUTED_VALUE"""),"Si, de la 2015-2024")</f>
        <v>Si, de la 2015-2024</v>
      </c>
      <c r="Z90" s="1"/>
    </row>
    <row r="91" spans="1:26" x14ac:dyDescent="0.35">
      <c r="A91" s="3">
        <f ca="1">IFERROR(__xludf.DUMMYFUNCTION("""COMPUTED_VALUE"""),45811.5789351851)</f>
        <v>45811.578935185098</v>
      </c>
      <c r="B91" s="1"/>
      <c r="C91" s="1" t="str">
        <f ca="1">IFERROR(__xludf.DUMMYFUNCTION("""COMPUTED_VALUE"""),"Moisés, Pérez Corona")</f>
        <v>Moisés, Pérez Corona</v>
      </c>
      <c r="D91" s="1">
        <f ca="1">IFERROR(__xludf.DUMMYFUNCTION("""COMPUTED_VALUE"""),15)</f>
        <v>15</v>
      </c>
      <c r="E91" s="1" t="str">
        <f ca="1">IFERROR(__xludf.DUMMYFUNCTION("""COMPUTED_VALUE"""),"Hombre")</f>
        <v>Hombre</v>
      </c>
      <c r="F91" s="1" t="str">
        <f ca="1">IFERROR(__xludf.DUMMYFUNCTION("""COMPUTED_VALUE"""),"Puebla, Mexico")</f>
        <v>Puebla, Mexico</v>
      </c>
      <c r="G91" s="1" t="str">
        <f ca="1">IFERROR(__xludf.DUMMYFUNCTION("""COMPUTED_VALUE"""),"moisesperezcorona77@gmail.com")</f>
        <v>moisesperezcorona77@gmail.com</v>
      </c>
      <c r="H91" s="1">
        <f ca="1">IFERROR(__xludf.DUMMYFUNCTION("""COMPUTED_VALUE"""),522481955183)</f>
        <v>522481955183</v>
      </c>
      <c r="I91" s="1" t="str">
        <f ca="1">IFERROR(__xludf.DUMMYFUNCTION("""COMPUTED_VALUE"""),"Semana de entrenamiento (07 - 13) Julio, Comunidad Jóvenes + 18 (14-19) Julio, Semana de niños y niñas (21-25) Julio, Jóvenes de 13 – 17 años / SEM2/ (4 - 09 agosto), Jóvenes de 13 – 17 años / SEM3/ (11 - 16 agosto)")</f>
        <v>Semana de entrenamiento (07 - 13) Julio, Comunidad Jóvenes + 18 (14-19) Julio, Semana de niños y niñas (21-25) Julio, Jóvenes de 13 – 17 años / SEM2/ (4 - 09 agosto), Jóvenes de 13 – 17 años / SEM3/ (11 - 16 agosto)</v>
      </c>
      <c r="J91" s="1" t="str">
        <f ca="1">IFERROR(__xludf.DUMMYFUNCTION("""COMPUTED_VALUE"""),"Quiet time")</f>
        <v>Quiet time</v>
      </c>
      <c r="K91" s="1" t="str">
        <f ca="1">IFERROR(__xludf.DUMMYFUNCTION("""COMPUTED_VALUE"""),"La Biblia")</f>
        <v>La Biblia</v>
      </c>
      <c r="L91" s="1" t="str">
        <f ca="1">IFERROR(__xludf.DUMMYFUNCTION("""COMPUTED_VALUE"""),"Moisés Hernández Fuentes")</f>
        <v>Moisés Hernández Fuentes</v>
      </c>
      <c r="M91" s="1">
        <f ca="1">IFERROR(__xludf.DUMMYFUNCTION("""COMPUTED_VALUE"""),522221643661)</f>
        <v>522221643661</v>
      </c>
      <c r="N91" s="1" t="str">
        <f ca="1">IFERROR(__xludf.DUMMYFUNCTION("""COMPUTED_VALUE"""),"moy_hernandez09@hotmail.com")</f>
        <v>moy_hernandez09@hotmail.com</v>
      </c>
      <c r="O91" s="1" t="str">
        <f ca="1">IFERROR(__xludf.DUMMYFUNCTION("""COMPUTED_VALUE"""),"Ninguno")</f>
        <v>Ninguno</v>
      </c>
      <c r="P91" s="1" t="str">
        <f ca="1">IFERROR(__xludf.DUMMYFUNCTION("""COMPUTED_VALUE"""),"Mi familia y yo experimentamos la salida de una iglesia donde no se predica el evangelio correctamente. Al asistir a La Biblia hemos escuchado el verdadero evangelio, y así gracias a Dios hemos comprendido el verdadero evangelio.")</f>
        <v>Mi familia y yo experimentamos la salida de una iglesia donde no se predica el evangelio correctamente. Al asistir a La Biblia hemos escuchado el verdadero evangelio, y así gracias a Dios hemos comprendido el verdadero evangelio.</v>
      </c>
      <c r="Q91" s="1" t="str">
        <f ca="1">IFERROR(__xludf.DUMMYFUNCTION("""COMPUTED_VALUE"""),"Mi deseo es ver cómo adolescentes como yo experimenten lo que yo viví cuando fui campero, y dar el mismo apoyo que yo recibí.")</f>
        <v>Mi deseo es ver cómo adolescentes como yo experimenten lo que yo viví cuando fui campero, y dar el mismo apoyo que yo recibí.</v>
      </c>
      <c r="R91" s="1" t="str">
        <f ca="1">IFERROR(__xludf.DUMMYFUNCTION("""COMPUTED_VALUE"""),"Si")</f>
        <v>Si</v>
      </c>
      <c r="S91" s="1" t="str">
        <f ca="1">IFERROR(__xludf.DUMMYFUNCTION("""COMPUTED_VALUE"""),"Voleibol")</f>
        <v>Voleibol</v>
      </c>
      <c r="T91" s="1" t="str">
        <f ca="1">IFERROR(__xludf.DUMMYFUNCTION("""COMPUTED_VALUE"""),"Si")</f>
        <v>Si</v>
      </c>
      <c r="U91" s="1" t="str">
        <f ca="1">IFERROR(__xludf.DUMMYFUNCTION("""COMPUTED_VALUE"""),"Piano")</f>
        <v>Piano</v>
      </c>
      <c r="V91" s="1" t="str">
        <f ca="1">IFERROR(__xludf.DUMMYFUNCTION("""COMPUTED_VALUE"""),"Homeschool")</f>
        <v>Homeschool</v>
      </c>
      <c r="W91" s="1" t="str">
        <f ca="1">IFERROR(__xludf.DUMMYFUNCTION("""COMPUTED_VALUE"""),"Creatividad, liderazgo, ser sociable")</f>
        <v>Creatividad, liderazgo, ser sociable</v>
      </c>
      <c r="X91" s="1" t="str">
        <f ca="1">IFERROR(__xludf.DUMMYFUNCTION("""COMPUTED_VALUE"""),"B. Me gusta animar a las personas, C. Suelo buscar que el trabajo se realice en equipo, D. Me gustan los deportes, E. Me gusta el trabajo con niños, K. Soy creativo (a), N. Suelo llevar el liderazgo en un grupo")</f>
        <v>B. Me gusta animar a las personas, C. Suelo buscar que el trabajo se realice en equipo, D. Me gustan los deportes, E. Me gusta el trabajo con niños, K. Soy creativo (a), N. Suelo llevar el liderazgo en un grupo</v>
      </c>
      <c r="Y91" s="1" t="str">
        <f ca="1">IFERROR(__xludf.DUMMYFUNCTION("""COMPUTED_VALUE"""),"Si, en el 2023 y 2024")</f>
        <v>Si, en el 2023 y 2024</v>
      </c>
      <c r="Z91" s="1"/>
    </row>
    <row r="92" spans="1:26" x14ac:dyDescent="0.35">
      <c r="A92" s="3">
        <f ca="1">IFERROR(__xludf.DUMMYFUNCTION("""COMPUTED_VALUE"""),45811.5913425925)</f>
        <v>45811.591342592503</v>
      </c>
      <c r="B92" s="1"/>
      <c r="C92" s="1" t="str">
        <f ca="1">IFERROR(__xludf.DUMMYFUNCTION("""COMPUTED_VALUE"""),"ISRAEL NAHUM, SILVESTRE VALERO")</f>
        <v>ISRAEL NAHUM, SILVESTRE VALERO</v>
      </c>
      <c r="D92" s="1">
        <f ca="1">IFERROR(__xludf.DUMMYFUNCTION("""COMPUTED_VALUE"""),31)</f>
        <v>31</v>
      </c>
      <c r="E92" s="1" t="str">
        <f ca="1">IFERROR(__xludf.DUMMYFUNCTION("""COMPUTED_VALUE"""),"Hombre")</f>
        <v>Hombre</v>
      </c>
      <c r="F92" s="1" t="str">
        <f ca="1">IFERROR(__xludf.DUMMYFUNCTION("""COMPUTED_VALUE"""),"Veracruz, Mexico")</f>
        <v>Veracruz, Mexico</v>
      </c>
      <c r="G92" s="1" t="str">
        <f ca="1">IFERROR(__xludf.DUMMYFUNCTION("""COMPUTED_VALUE"""),"muh_silval_9@hotmail.com")</f>
        <v>muh_silval_9@hotmail.com</v>
      </c>
      <c r="H92" s="1">
        <f ca="1">IFERROR(__xludf.DUMMYFUNCTION("""COMPUTED_VALUE"""),522721799686)</f>
        <v>522721799686</v>
      </c>
      <c r="I92" s="1" t="str">
        <f ca="1">IFERROR(__xludf.DUMMYFUNCTION("""COMPUTED_VALUE"""),"Comunidad Jóvenes + 18 (14-19) Julio, Semana de niños y niñas (21-25) Julio, Jóvenes de 13 – 17 años / SEM1/ (28 Julio a 02 de agosto), Jóvenes de 13 – 17 años / SEM2/ (4 - 09 agosto), Jóvenes de 13 – 17 años / SEM3/ (11 - 16 agosto)")</f>
        <v>Comunidad Jóvenes + 18 (14-19) Julio, Semana de niños y niñas (21-25) Julio, Jóvenes de 13 – 17 años / SEM1/ (28 Julio a 02 de agosto), Jóvenes de 13 – 17 años / SEM2/ (4 - 09 agosto), Jóvenes de 13 – 17 años / SEM3/ (11 - 16 agosto)</v>
      </c>
      <c r="J92" s="1" t="str">
        <f ca="1">IFERROR(__xludf.DUMMYFUNCTION("""COMPUTED_VALUE"""),"HORA SILENCIOSA, NUEVAS MISERICORDIAS CADA MAÑANA, UN AÑO EN LOS SALMOS.")</f>
        <v>HORA SILENCIOSA, NUEVAS MISERICORDIAS CADA MAÑANA, UN AÑO EN LOS SALMOS.</v>
      </c>
      <c r="K92" s="1" t="str">
        <f ca="1">IFERROR(__xludf.DUMMYFUNCTION("""COMPUTED_VALUE"""),"TEMPLO EVANGÉLICO PONIENTE 18")</f>
        <v>TEMPLO EVANGÉLICO PONIENTE 18</v>
      </c>
      <c r="L92" s="1" t="str">
        <f ca="1">IFERROR(__xludf.DUMMYFUNCTION("""COMPUTED_VALUE"""),"JAVIER RAFAEL SILVESTRE ROSAS")</f>
        <v>JAVIER RAFAEL SILVESTRE ROSAS</v>
      </c>
      <c r="M92" s="1">
        <f ca="1">IFERROR(__xludf.DUMMYFUNCTION("""COMPUTED_VALUE"""),522721547310)</f>
        <v>522721547310</v>
      </c>
      <c r="N92" s="1" t="str">
        <f ca="1">IFERROR(__xludf.DUMMYFUNCTION("""COMPUTED_VALUE"""),"rafael.sil.ro@hotmail.com")</f>
        <v>rafael.sil.ro@hotmail.com</v>
      </c>
      <c r="O92" s="1" t="str">
        <f ca="1">IFERROR(__xludf.DUMMYFUNCTION("""COMPUTED_VALUE"""),"LIDER JÓVENES, LÍDER ALABANZA Y PREDICADOR EN LOS MARTES DE ESTUDIO BÍBLICO.")</f>
        <v>LIDER JÓVENES, LÍDER ALABANZA Y PREDICADOR EN LOS MARTES DE ESTUDIO BÍBLICO.</v>
      </c>
      <c r="P92" s="1" t="str">
        <f ca="1">IFERROR(__xludf.DUMMYFUNCTION("""COMPUTED_VALUE"""),"NACÍ EN UNA FAMILIA CRISTIANA, Y DESDE MUY CHICO SE ME INCULCARON LAS ENSEÑANZAS BÍBLICAS Y TEMOR DE DIOS, A LA EDAD DE 6 AÑOS VI UNA PELÍCULA Y MÁS QUE NADA, POR MIEDO TOME SEGÚN YO UNA DECISIÓN POR CRISTO, PERO PASARON LOS AÑOS Y YO CONOCIENDO DE LA PAL"&amp;"ABRA, TEMÍA POR QUEDARME EN LA TIERRA CUANDO EL SEÑOR REGRESARA POR SU IGLESIA; CUANDO MIS PAPÁS HABLABAN CONMIGO DE MI SEGURIDAD DE SALVACIÓN, YO RESPONDÍA QUE SI ESTABA SEGURO DE SER SALVO, PERO SOLO DECÍA ESTO PARA QUE ME DEJARAN DE MOLESTAR CON LO MIS"&amp;"MO, AUNQUE YO SABÍA QUE REALMENTE NO ERA SALVO, YA QUE DIOS NO MORABA EN MI CORAZÓN.
ASÍ FUE HASTA QUE A LA EDAD DE 15 AÑOS TOQUÉ FONDO, QUE REALMENTE ENTENDÍ EL VACÍO QUE TENÍA, Y QUE NADA PODÍA LLENARLO, NADA EXCEPTO DIOS, Y FUE QUE EL 3 DE JULIO DEL 2"&amp;"009, TOME DECISIÓN POR CRISTO, Y AHORA AQUEL VACÍO QUE ANTES SENTÍA, YA NO ESTÁ, PORQUE DIOS MORA EN MI CORAZÓN, Y SOY HIJO SUYO.")</f>
        <v>NACÍ EN UNA FAMILIA CRISTIANA, Y DESDE MUY CHICO SE ME INCULCARON LAS ENSEÑANZAS BÍBLICAS Y TEMOR DE DIOS, A LA EDAD DE 6 AÑOS VI UNA PELÍCULA Y MÁS QUE NADA, POR MIEDO TOME SEGÚN YO UNA DECISIÓN POR CRISTO, PERO PASARON LOS AÑOS Y YO CONOCIENDO DE LA PALABRA, TEMÍA POR QUEDARME EN LA TIERRA CUANDO EL SEÑOR REGRESARA POR SU IGLESIA; CUANDO MIS PAPÁS HABLABAN CONMIGO DE MI SEGURIDAD DE SALVACIÓN, YO RESPONDÍA QUE SI ESTABA SEGURO DE SER SALVO, PERO SOLO DECÍA ESTO PARA QUE ME DEJARAN DE MOLESTAR CON LO MISMO, AUNQUE YO SABÍA QUE REALMENTE NO ERA SALVO, YA QUE DIOS NO MORABA EN MI CORAZÓN.
ASÍ FUE HASTA QUE A LA EDAD DE 15 AÑOS TOQUÉ FONDO, QUE REALMENTE ENTENDÍ EL VACÍO QUE TENÍA, Y QUE NADA PODÍA LLENARLO, NADA EXCEPTO DIOS, Y FUE QUE EL 3 DE JULIO DEL 2009, TOME DECISIÓN POR CRISTO, Y AHORA AQUEL VACÍO QUE ANTES SENTÍA, YA NO ESTÁ, PORQUE DIOS MORA EN MI CORAZÓN, Y SOY HIJO SUYO.</v>
      </c>
      <c r="Q92" s="1" t="str">
        <f ca="1">IFERROR(__xludf.DUMMYFUNCTION("""COMPUTED_VALUE"""),"PORQUE ME GUSTA SER PARTE AUNQUE SEA POR UN TIEMPO BREVE DE UN MINISTERIO QUE SIRVE/TRABAJA PARA Y CON LA JUVENTUD/NIÑEZ COMO LO ES PDV MÉXICO, VER COMO SEMANA TRAS SEMANA VIDAS SON TRANSFORMADAS POR PARTE DE DIOS.
ASÍ COMO FORMAR PARTE DIRECTA O INDIREC"&amp;"TA EN EL TRABAJO DE LOS JÓVENES QUE PASAN DE MUERTE A VIDA; LAS AMISTADES Y HERMANDAD QUE UNO HACE, EL APRENDIZAJE QUE AÑO CON AÑO SE OBTIENE Y LAS MEJORAS QUE TAMBIEN UNO NECESITA EN SU VIDA.
ADEMÁS EL PODER DISFRUTAR Y GOZAR DE ESTE TIEMPO, QUE HA SIDO"&amp;" UNA BENDICIÓN PARA MÍ DESDE EL PRIMER CAMPAMENTO QUE PUDE VENIR COMO CAMPERO Y EQUIPANTE ALLÁ POR EL AÑO 2009, Y REGRESAR A CASA BENDECIDO, MOTIVADO, RECARGADO DE ENERGÍA PARA SEGUIR ADELANTE.
HE VIVIDO LA EXPERIENCIA DE SERVIR EN ESTAS ÁREAS DURANTE ES"&amp;"TOS AÑOS QUE HE IDO AL CAMPAMENTO EN BERNAL.
2009 (CAMPERO); 2009 (MAYORDOMÍA Y LAVAPLATOS), 2010 (PROGRAMA), 2011 (PROGRAMA Y MAYORDOMÍA), 2012 (PROGRAMA), 2013 (LAVAPLATOS), 2014 (MAYORDOMÍA Y CONSEJEROS), 2015 (CONSEJEROS), 2016 (CONSEJEROS), 2017 (CO"&amp;"NSEJEROS), 2018 (CONSEJEROS), 2020 (CONSEJEROS - CAMPA VIRTUAL), 2021 (CONSEJEROS - CAMPA ZONA PUEBLA), 2022 (CONSEJEROS), 2024 (APOYO COCINA).")</f>
        <v>PORQUE ME GUSTA SER PARTE AUNQUE SEA POR UN TIEMPO BREVE DE UN MINISTERIO QUE SIRVE/TRABAJA PARA Y CON LA JUVENTUD/NIÑEZ COMO LO ES PDV MÉXICO, VER COMO SEMANA TRAS SEMANA VIDAS SON TRANSFORMADAS POR PARTE DE DIOS.
ASÍ COMO FORMAR PARTE DIRECTA O INDIRECTA EN EL TRABAJO DE LOS JÓVENES QUE PASAN DE MUERTE A VIDA; LAS AMISTADES Y HERMANDAD QUE UNO HACE, EL APRENDIZAJE QUE AÑO CON AÑO SE OBTIENE Y LAS MEJORAS QUE TAMBIEN UNO NECESITA EN SU VIDA.
ADEMÁS EL PODER DISFRUTAR Y GOZAR DE ESTE TIEMPO, QUE HA SIDO UNA BENDICIÓN PARA MÍ DESDE EL PRIMER CAMPAMENTO QUE PUDE VENIR COMO CAMPERO Y EQUIPANTE ALLÁ POR EL AÑO 2009, Y REGRESAR A CASA BENDECIDO, MOTIVADO, RECARGADO DE ENERGÍA PARA SEGUIR ADELANTE.
HE VIVIDO LA EXPERIENCIA DE SERVIR EN ESTAS ÁREAS DURANTE ESTOS AÑOS QUE HE IDO AL CAMPAMENTO EN BERNAL.
2009 (CAMPERO); 2009 (MAYORDOMÍA Y LAVAPLATOS), 2010 (PROGRAMA), 2011 (PROGRAMA Y MAYORDOMÍA), 2012 (PROGRAMA), 2013 (LAVAPLATOS), 2014 (MAYORDOMÍA Y CONSEJEROS), 2015 (CONSEJEROS), 2016 (CONSEJEROS), 2017 (CONSEJEROS), 2018 (CONSEJEROS), 2020 (CONSEJEROS - CAMPA VIRTUAL), 2021 (CONSEJEROS - CAMPA ZONA PUEBLA), 2022 (CONSEJEROS), 2024 (APOYO COCINA).</v>
      </c>
      <c r="R92" s="1" t="str">
        <f ca="1">IFERROR(__xludf.DUMMYFUNCTION("""COMPUTED_VALUE"""),"Si")</f>
        <v>Si</v>
      </c>
      <c r="S92" s="1" t="str">
        <f ca="1">IFERROR(__xludf.DUMMYFUNCTION("""COMPUTED_VALUE"""),"BASKETBALL, SENDERISMO, VOLEYBALL.")</f>
        <v>BASKETBALL, SENDERISMO, VOLEYBALL.</v>
      </c>
      <c r="T92" s="1" t="str">
        <f ca="1">IFERROR(__xludf.DUMMYFUNCTION("""COMPUTED_VALUE"""),"Si")</f>
        <v>Si</v>
      </c>
      <c r="U92" s="1" t="str">
        <f ca="1">IFERROR(__xludf.DUMMYFUNCTION("""COMPUTED_VALUE"""),"GUITARRA.")</f>
        <v>GUITARRA.</v>
      </c>
      <c r="V92" s="1" t="str">
        <f ca="1">IFERROR(__xludf.DUMMYFUNCTION("""COMPUTED_VALUE"""),"TERMINÉ MI CARRERA EN EL 2021, Y ACTUALMENTE EJERZO.")</f>
        <v>TERMINÉ MI CARRERA EN EL 2021, Y ACTUALMENTE EJERZO.</v>
      </c>
      <c r="W92" s="1" t="str">
        <f ca="1">IFERROR(__xludf.DUMMYFUNCTION("""COMPUTED_VALUE"""),"MÉDICO GENERAL, BILÍNGÜE.")</f>
        <v>MÉDICO GENERAL, BILÍNGÜE.</v>
      </c>
      <c r="X92" s="1" t="str">
        <f ca="1">IFERROR(__xludf.DUMMYFUNCTION("""COMPUTED_VALUE"""),"B. Me gusta animar a las personas, C. Suelo buscar que el trabajo se realice en equipo, D. Me gustan los deportes, E. Me gusta el trabajo con niños, F. Soy eficiente en el trabajo con herramientas, equipos y maquinarias, I. Se me facilita el trabajo físic"&amp;"o, J. Me gusta la atención a las personas, M. Soy bueno (a) con los números, N. Suelo llevar el liderazgo en un grupo, O. Puedo enseñar con facilidad")</f>
        <v>B. Me gusta animar a las personas, C. Suelo buscar que el trabajo se realice en equipo, D. Me gustan los deportes, E. Me gusta el trabajo con niños, F. Soy eficiente en el trabajo con herramientas, equipos y maquinarias, I. Se me facilita el trabajo físico, J. Me gusta la atención a las personas, M. Soy bueno (a) con los números, N. Suelo llevar el liderazgo en un grupo, O. Puedo enseñar con facilidad</v>
      </c>
      <c r="Y92" s="1">
        <f ca="1">IFERROR(__xludf.DUMMYFUNCTION("""COMPUTED_VALUE"""),2009)</f>
        <v>2009</v>
      </c>
      <c r="Z92" s="1"/>
    </row>
    <row r="93" spans="1:26" x14ac:dyDescent="0.35">
      <c r="A93" s="3">
        <f ca="1">IFERROR(__xludf.DUMMYFUNCTION("""COMPUTED_VALUE"""),45812.5324537037)</f>
        <v>45812.532453703701</v>
      </c>
      <c r="B93" s="1"/>
      <c r="C93" s="1" t="str">
        <f ca="1">IFERROR(__xludf.DUMMYFUNCTION("""COMPUTED_VALUE"""),"Elinna Jaqueline, Franco Lara")</f>
        <v>Elinna Jaqueline, Franco Lara</v>
      </c>
      <c r="D93" s="1">
        <f ca="1">IFERROR(__xludf.DUMMYFUNCTION("""COMPUTED_VALUE"""),17)</f>
        <v>17</v>
      </c>
      <c r="E93" s="1" t="str">
        <f ca="1">IFERROR(__xludf.DUMMYFUNCTION("""COMPUTED_VALUE"""),"Mujer")</f>
        <v>Mujer</v>
      </c>
      <c r="F93" s="1" t="str">
        <f ca="1">IFERROR(__xludf.DUMMYFUNCTION("""COMPUTED_VALUE"""),"Tamaulipas, Mexico")</f>
        <v>Tamaulipas, Mexico</v>
      </c>
      <c r="G93" s="1" t="str">
        <f ca="1">IFERROR(__xludf.DUMMYFUNCTION("""COMPUTED_VALUE"""),"elinna.franco07@gmail.com")</f>
        <v>elinna.franco07@gmail.com</v>
      </c>
      <c r="H93" s="1">
        <f ca="1">IFERROR(__xludf.DUMMYFUNCTION("""COMPUTED_VALUE"""),528332901970)</f>
        <v>528332901970</v>
      </c>
      <c r="I93" s="1" t="str">
        <f ca="1">IFERROR(__xludf.DUMMYFUNCTION("""COMPUTED_VALUE"""),"Semana de niños y niñas (21-25) Julio, Jóvenes de 13 – 17 años / SEM1/ (28 Julio a 02 de agosto), Jóvenes de 13 – 17 años / SEM2/ (4 - 09 agosto)")</f>
        <v>Semana de niños y niñas (21-25) Julio, Jóvenes de 13 – 17 años / SEM1/ (28 Julio a 02 de agosto), Jóvenes de 13 – 17 años / SEM2/ (4 - 09 agosto)</v>
      </c>
      <c r="J93" s="1" t="str">
        <f ca="1">IFERROR(__xludf.DUMMYFUNCTION("""COMPUTED_VALUE"""),"Hora Silenciosa")</f>
        <v>Hora Silenciosa</v>
      </c>
      <c r="K93" s="1" t="str">
        <f ca="1">IFERROR(__xludf.DUMMYFUNCTION("""COMPUTED_VALUE"""),"Iglesia Bíblica Gracia sobre Gracia")</f>
        <v>Iglesia Bíblica Gracia sobre Gracia</v>
      </c>
      <c r="L93" s="1" t="str">
        <f ca="1">IFERROR(__xludf.DUMMYFUNCTION("""COMPUTED_VALUE"""),"Edgar Franco González")</f>
        <v>Edgar Franco González</v>
      </c>
      <c r="M93" s="1">
        <f ca="1">IFERROR(__xludf.DUMMYFUNCTION("""COMPUTED_VALUE"""),528331768824)</f>
        <v>528331768824</v>
      </c>
      <c r="N93" s="1" t="str">
        <f ca="1">IFERROR(__xludf.DUMMYFUNCTION("""COMPUTED_VALUE"""),"edgar.franco83@gmail.com")</f>
        <v>edgar.franco83@gmail.com</v>
      </c>
      <c r="O93" s="1" t="str">
        <f ca="1">IFERROR(__xludf.DUMMYFUNCTION("""COMPUTED_VALUE"""),"Lider de Jovenes, Maestra de Niños y entrenadora de Olimpicos, miembro de el grupo de alabanza")</f>
        <v>Lider de Jovenes, Maestra de Niños y entrenadora de Olimpicos, miembro de el grupo de alabanza</v>
      </c>
      <c r="P93" s="1" t="str">
        <f ca="1">IFERROR(__xludf.DUMMYFUNCTION("""COMPUTED_VALUE"""),"Nací enunafamiliacristiana, crecí siemprerodeadadepersonasqueensumayoríasoncristianas, a los6añosyotomealgoquenomepertenecíaqueyoqueríadeunsupermercado, mispapasal pocotiemposedieroncuentadequeme lohabía llevadosinpagar, entoncesprimerodevolvimos loquehab"&amp;"íatomadoa latiendaydespuésdeesomispapásmesentaronyhablaronconmigo;ellosmemostraronel PlandeSalvacióny loqueDioshabíahechoenesacruzsoloporquemeamoprimero. Esedíayoentendí el Evangelio, mearrepentí demispecadosyaceptéal Cristocomomi SeñorySalvador. Desde es"&amp;"e entonces el Señor me ha llamadoaserviren lasmisiones, desde los7añosheservidoconungrupodemisionerosrusosquevienea lazonaparacompartirel Evangelio y apoyar a las diferentes iglesias de la ciudad, aproximadamente llevo sirviendo en este ministerio 11 años"&amp;" y me gustaría seguir sirviendo, también como familia hemos estado sirviendo al Señor como familia pastoral. En mi Iglesia local he servido en diferentes ministerios, como la alabanza, maestra de niños y líder de jóvenes, también el Señor me ha permitido "&amp;"servir en el campamento de Palabra de Vida")</f>
        <v>Nací enunafamiliacristiana, crecí siemprerodeadadepersonasqueensumayoríasoncristianas, a los6añosyotomealgoquenomepertenecíaqueyoqueríadeunsupermercado, mispapasal pocotiemposedieroncuentadequeme lohabía llevadosinpagar, entoncesprimerodevolvimos loquehabíatomadoa latiendaydespuésdeesomispapásmesentaronyhablaronconmigo;ellosmemostraronel PlandeSalvacióny loqueDioshabíahechoenesacruzsoloporquemeamoprimero. Esedíayoentendí el Evangelio, mearrepentí demispecadosyaceptéal Cristocomomi SeñorySalvador. Desde ese entonces el Señor me ha llamadoaserviren lasmisiones, desde los7añosheservidoconungrupodemisionerosrusosquevienea lazonaparacompartirel Evangelio y apoyar a las diferentes iglesias de la ciudad, aproximadamente llevo sirviendo en este ministerio 11 años y me gustaría seguir sirviendo, también como familia hemos estado sirviendo al Señor como familia pastoral. En mi Iglesia local he servido en diferentes ministerios, como la alabanza, maestra de niños y líder de jóvenes, también el Señor me ha permitido servir en el campamento de Palabra de Vida</v>
      </c>
      <c r="Q93" s="1" t="str">
        <f ca="1">IFERROR(__xludf.DUMMYFUNCTION("""COMPUTED_VALUE"""),"Quiero seguir sirviendo al Señor aprender cosas nuevas sobre el y sobre como darle la gloria atraves de mi servicio al Señor y compartir el Evangelio")</f>
        <v>Quiero seguir sirviendo al Señor aprender cosas nuevas sobre el y sobre como darle la gloria atraves de mi servicio al Señor y compartir el Evangelio</v>
      </c>
      <c r="R93" s="1" t="str">
        <f ca="1">IFERROR(__xludf.DUMMYFUNCTION("""COMPUTED_VALUE"""),"Si")</f>
        <v>Si</v>
      </c>
      <c r="S93" s="1" t="str">
        <f ca="1">IFERROR(__xludf.DUMMYFUNCTION("""COMPUTED_VALUE"""),"Volleyball y Atletismo")</f>
        <v>Volleyball y Atletismo</v>
      </c>
      <c r="T93" s="1" t="str">
        <f ca="1">IFERROR(__xludf.DUMMYFUNCTION("""COMPUTED_VALUE"""),"Si")</f>
        <v>Si</v>
      </c>
      <c r="U93" s="1" t="str">
        <f ca="1">IFERROR(__xludf.DUMMYFUNCTION("""COMPUTED_VALUE"""),"Cello")</f>
        <v>Cello</v>
      </c>
      <c r="V93" s="1" t="str">
        <f ca="1">IFERROR(__xludf.DUMMYFUNCTION("""COMPUTED_VALUE"""),"Estoy por entrar a la Carrera de Música")</f>
        <v>Estoy por entrar a la Carrera de Música</v>
      </c>
      <c r="W93" s="1" t="str">
        <f ca="1">IFERROR(__xludf.DUMMYFUNCTION("""COMPUTED_VALUE"""),"Educación, Músico")</f>
        <v>Educación, Músico</v>
      </c>
      <c r="X93" s="1" t="str">
        <f ca="1">IFERROR(__xludf.DUMMYFUNCTION("""COMPUTED_VALUE"""),"A. Soy un discipulador activo, B. Me gusta animar a las personas, C. Suelo buscar que el trabajo se realice en equipo, D. Me gustan los deportes, E. Me gusta el trabajo con niños, I. Se me facilita el trabajo físico, K. Soy creativo (a), L. Soy bueno (a) "&amp;"en canto o algún instrumento, O. Puedo enseñar con facilidad")</f>
        <v>A. Soy un discipulador activo, B. Me gusta animar a las personas, C. Suelo buscar que el trabajo se realice en equipo, D. Me gustan los deportes, E. Me gusta el trabajo con niños, I. Se me facilita el trabajo físico, K. Soy creativo (a), L. Soy bueno (a) en canto o algún instrumento, O. Puedo enseñar con facilidad</v>
      </c>
      <c r="Y93" s="1">
        <f ca="1">IFERROR(__xludf.DUMMYFUNCTION("""COMPUTED_VALUE"""),2022)</f>
        <v>2022</v>
      </c>
      <c r="Z93" s="1"/>
    </row>
    <row r="94" spans="1:26" x14ac:dyDescent="0.35">
      <c r="A94" s="3">
        <f ca="1">IFERROR(__xludf.DUMMYFUNCTION("""COMPUTED_VALUE"""),45813.6450925925)</f>
        <v>45813.645092592502</v>
      </c>
      <c r="B94" s="1"/>
      <c r="C94" s="1" t="str">
        <f ca="1">IFERROR(__xludf.DUMMYFUNCTION("""COMPUTED_VALUE"""),"Clara Mirza, Alcantara Esquivel")</f>
        <v>Clara Mirza, Alcantara Esquivel</v>
      </c>
      <c r="D94" s="1">
        <f ca="1">IFERROR(__xludf.DUMMYFUNCTION("""COMPUTED_VALUE"""),22)</f>
        <v>22</v>
      </c>
      <c r="E94" s="1" t="str">
        <f ca="1">IFERROR(__xludf.DUMMYFUNCTION("""COMPUTED_VALUE"""),"Mujer")</f>
        <v>Mujer</v>
      </c>
      <c r="F94" s="1" t="str">
        <f ca="1">IFERROR(__xludf.DUMMYFUNCTION("""COMPUTED_VALUE"""),"Mexico, Mexico")</f>
        <v>Mexico, Mexico</v>
      </c>
      <c r="G94" s="1" t="str">
        <f ca="1">IFERROR(__xludf.DUMMYFUNCTION("""COMPUTED_VALUE"""),"dnvalcantarackara@gmail.com")</f>
        <v>dnvalcantarackara@gmail.com</v>
      </c>
      <c r="H94" s="1">
        <f ca="1">IFERROR(__xludf.DUMMYFUNCTION("""COMPUTED_VALUE"""),525649481201)</f>
        <v>525649481201</v>
      </c>
      <c r="I94" s="1" t="str">
        <f ca="1">IFERROR(__xludf.DUMMYFUNCTION("""COMPUTED_VALUE"""),"Semana de niños y niñas (21-25) Julio")</f>
        <v>Semana de niños y niñas (21-25) Julio</v>
      </c>
      <c r="J94" s="1" t="str">
        <f ca="1">IFERROR(__xludf.DUMMYFUNCTION("""COMPUTED_VALUE"""),"Glorify")</f>
        <v>Glorify</v>
      </c>
      <c r="K94" s="1" t="str">
        <f ca="1">IFERROR(__xludf.DUMMYFUNCTION("""COMPUTED_VALUE"""),"El divino Salvador")</f>
        <v>El divino Salvador</v>
      </c>
      <c r="L94" s="1" t="str">
        <f ca="1">IFERROR(__xludf.DUMMYFUNCTION("""COMPUTED_VALUE"""),"Pbro. David Velázquez Gonzalez")</f>
        <v>Pbro. David Velázquez Gonzalez</v>
      </c>
      <c r="M94" s="1">
        <f ca="1">IFERROR(__xludf.DUMMYFUNCTION("""COMPUTED_VALUE"""),527224605980)</f>
        <v>527224605980</v>
      </c>
      <c r="N94" s="1" t="str">
        <f ca="1">IFERROR(__xludf.DUMMYFUNCTION("""COMPUTED_VALUE"""),"davelaz4444@yahoo.com.mx")</f>
        <v>davelaz4444@yahoo.com.mx</v>
      </c>
      <c r="O94" s="1" t="str">
        <f ca="1">IFERROR(__xludf.DUMMYFUNCTION("""COMPUTED_VALUE"""),"Evangelismo en el ministerio del hospital")</f>
        <v>Evangelismo en el ministerio del hospital</v>
      </c>
      <c r="P94" s="1" t="str">
        <f ca="1">IFERROR(__xludf.DUMMYFUNCTION("""COMPUTED_VALUE"""),"Bueno yo nací en cuna cristiana y siempre mi familia estuvo en relación con Dios sin embargo conforme fui creciendo notaba como la grandeza del padre se manifestaba en mi día a día e incluso en una situación muy específica que fue con mi abuelita ya que t"&amp;"uvo una complicación muy delicada donde los doctores no nos dieron esperanza de vida sin en cambio jamás dejamos de creer y contrario a eso nos unimos más como familia y la bendición de Dios obró para mi abuela y para nosotros como familia desde ese momen"&amp;"to al día de hoy solo confirmo la grandeza de nuestro Dios padre y me gozo compartiendo a más personas de su amor.")</f>
        <v>Bueno yo nací en cuna cristiana y siempre mi familia estuvo en relación con Dios sin embargo conforme fui creciendo notaba como la grandeza del padre se manifestaba en mi día a día e incluso en una situación muy específica que fue con mi abuelita ya que tuvo una complicación muy delicada donde los doctores no nos dieron esperanza de vida sin en cambio jamás dejamos de creer y contrario a eso nos unimos más como familia y la bendición de Dios obró para mi abuela y para nosotros como familia desde ese momento al día de hoy solo confirmo la grandeza de nuestro Dios padre y me gozo compartiendo a más personas de su amor.</v>
      </c>
      <c r="Q94" s="1" t="str">
        <f ca="1">IFERROR(__xludf.DUMMYFUNCTION("""COMPUTED_VALUE"""),"Por qué durante mucho tiempo yo asistí como campera a palabra de vida y eran unas semanas increíbles para mí, yo amaba el conocer convivir de una forma tan sana y tan linda así que ahora quiero que los que asistan al campamento creen recuerdos igual de li"&amp;"ndos y que conecten con Dios de la misma manera que yo con mi ayuda esta vez")</f>
        <v>Por qué durante mucho tiempo yo asistí como campera a palabra de vida y eran unas semanas increíbles para mí, yo amaba el conocer convivir de una forma tan sana y tan linda así que ahora quiero que los que asistan al campamento creen recuerdos igual de lindos y que conecten con Dios de la misma manera que yo con mi ayuda esta vez</v>
      </c>
      <c r="R94" s="1" t="str">
        <f ca="1">IFERROR(__xludf.DUMMYFUNCTION("""COMPUTED_VALUE"""),"Si")</f>
        <v>Si</v>
      </c>
      <c r="S94" s="1" t="str">
        <f ca="1">IFERROR(__xludf.DUMMYFUNCTION("""COMPUTED_VALUE"""),"Voy al gym")</f>
        <v>Voy al gym</v>
      </c>
      <c r="T94" s="1" t="str">
        <f ca="1">IFERROR(__xludf.DUMMYFUNCTION("""COMPUTED_VALUE"""),"No")</f>
        <v>No</v>
      </c>
      <c r="U94" s="1"/>
      <c r="V94" s="1" t="str">
        <f ca="1">IFERROR(__xludf.DUMMYFUNCTION("""COMPUTED_VALUE"""),"Estudió administración de negocios")</f>
        <v>Estudió administración de negocios</v>
      </c>
      <c r="W94" s="1" t="str">
        <f ca="1">IFERROR(__xludf.DUMMYFUNCTION("""COMPUTED_VALUE"""),"Actualmente estoy estudiando soy buena para platicar la palabra y cantaba en un grupo")</f>
        <v>Actualmente estoy estudiando soy buena para platicar la palabra y cantaba en un grupo</v>
      </c>
      <c r="X94" s="1" t="str">
        <f ca="1">IFERROR(__xludf.DUMMYFUNCTION("""COMPUTED_VALUE"""),"B. Me gusta animar a las personas, C. Suelo buscar que el trabajo se realice en equipo, D. Me gustan los deportes, E. Me gusta el trabajo con niños, H. Soy organizado (a), I. Se me facilita el trabajo físico, K. Soy creativo (a), L. Soy bueno (a) en canto"&amp;" o algún instrumento, N. Suelo llevar el liderazgo en un grupo")</f>
        <v>B. Me gusta animar a las personas, C. Suelo buscar que el trabajo se realice en equipo, D. Me gustan los deportes, E. Me gusta el trabajo con niños, H. Soy organizado (a), I. Se me facilita el trabajo físico, K. Soy creativo (a), L. Soy bueno (a) en canto o algún instrumento, N. Suelo llevar el liderazgo en un grupo</v>
      </c>
      <c r="Y94" s="1" t="str">
        <f ca="1">IFERROR(__xludf.DUMMYFUNCTION("""COMPUTED_VALUE"""),"En la temporada del 2023")</f>
        <v>En la temporada del 2023</v>
      </c>
      <c r="Z94" s="1"/>
    </row>
    <row r="95" spans="1:26" x14ac:dyDescent="0.35">
      <c r="A95" s="3">
        <f ca="1">IFERROR(__xludf.DUMMYFUNCTION("""COMPUTED_VALUE"""),45813.8381597222)</f>
        <v>45813.838159722203</v>
      </c>
      <c r="B95" s="1"/>
      <c r="C95" s="1" t="str">
        <f ca="1">IFERROR(__xludf.DUMMYFUNCTION("""COMPUTED_VALUE"""),"Jocelyn Helen, Isidro Gonzalez")</f>
        <v>Jocelyn Helen, Isidro Gonzalez</v>
      </c>
      <c r="D95" s="1">
        <f ca="1">IFERROR(__xludf.DUMMYFUNCTION("""COMPUTED_VALUE"""),21)</f>
        <v>21</v>
      </c>
      <c r="E95" s="1" t="str">
        <f ca="1">IFERROR(__xludf.DUMMYFUNCTION("""COMPUTED_VALUE"""),"Mujer")</f>
        <v>Mujer</v>
      </c>
      <c r="F95" s="1" t="str">
        <f ca="1">IFERROR(__xludf.DUMMYFUNCTION("""COMPUTED_VALUE"""),"Morelos, Mexico")</f>
        <v>Morelos, Mexico</v>
      </c>
      <c r="G95" s="1" t="str">
        <f ca="1">IFERROR(__xludf.DUMMYFUNCTION("""COMPUTED_VALUE"""),"gonzalezhelen456@gmail.com")</f>
        <v>gonzalezhelen456@gmail.com</v>
      </c>
      <c r="H95" s="1">
        <f ca="1">IFERROR(__xludf.DUMMYFUNCTION("""COMPUTED_VALUE"""),527351620469)</f>
        <v>527351620469</v>
      </c>
      <c r="I95" s="1" t="str">
        <f ca="1">IFERROR(__xludf.DUMMYFUNCTION("""COMPUTED_VALUE"""),"Comunidad Jóvenes + 18 (14-19) Julio")</f>
        <v>Comunidad Jóvenes + 18 (14-19) Julio</v>
      </c>
      <c r="J95" s="1" t="str">
        <f ca="1">IFERROR(__xludf.DUMMYFUNCTION("""COMPUTED_VALUE"""),"Hora Silenciosa")</f>
        <v>Hora Silenciosa</v>
      </c>
      <c r="K95" s="1" t="str">
        <f ca="1">IFERROR(__xludf.DUMMYFUNCTION("""COMPUTED_VALUE"""),"Iglesia Bíblica Manantial de Gracia")</f>
        <v>Iglesia Bíblica Manantial de Gracia</v>
      </c>
      <c r="L95" s="1" t="str">
        <f ca="1">IFERROR(__xludf.DUMMYFUNCTION("""COMPUTED_VALUE"""),"Gabriel Flores")</f>
        <v>Gabriel Flores</v>
      </c>
      <c r="M95" s="1">
        <f ca="1">IFERROR(__xludf.DUMMYFUNCTION("""COMPUTED_VALUE"""),527352801206)</f>
        <v>527352801206</v>
      </c>
      <c r="N95" s="1" t="str">
        <f ca="1">IFERROR(__xludf.DUMMYFUNCTION("""COMPUTED_VALUE"""),"lgfl@hotmail.com")</f>
        <v>lgfl@hotmail.com</v>
      </c>
      <c r="O95" s="1" t="str">
        <f ca="1">IFERROR(__xludf.DUMMYFUNCTION("""COMPUTED_VALUE"""),"Escuela dominical")</f>
        <v>Escuela dominical</v>
      </c>
      <c r="P95" s="1" t="str">
        <f ca="1">IFERROR(__xludf.DUMMYFUNCTION("""COMPUTED_VALUE"""),"Fue justamente en un campamento de Palabra de Vida,yo asistía a una iglesia pero no había hecho mi decisión por Cristo,cuando llegué al campamento me sentía fuera de lugar y quería regresarme pero Dios habló a mi vida en esa semana y pude hacer mi decisió"&amp;"n conscientemente y al final la semana ya no quería volver a casa,pero desde ese entonces volví a asistir cada año a campamento y el año pasado fue mi primer año de equípante y fue algo totalmente distinto el servir a Dios en campamento")</f>
        <v>Fue justamente en un campamento de Palabra de Vida,yo asistía a una iglesia pero no había hecho mi decisión por Cristo,cuando llegué al campamento me sentía fuera de lugar y quería regresarme pero Dios habló a mi vida en esa semana y pude hacer mi decisión conscientemente y al final la semana ya no quería volver a casa,pero desde ese entonces volví a asistir cada año a campamento y el año pasado fue mi primer año de equípante y fue algo totalmente distinto el servir a Dios en campamento</v>
      </c>
      <c r="Q95" s="1" t="str">
        <f ca="1">IFERROR(__xludf.DUMMYFUNCTION("""COMPUTED_VALUE"""),"El año pasado fue mi primer año de equipante y además de hacer muchos amigos y conocer a nuevas personas el sentir que tu servicio agrada a Dios a pesar del área en el que estés sientes que sirves a Dios con cada pequeña cosa que haces y es por lo que qui"&amp;"ero volver")</f>
        <v>El año pasado fue mi primer año de equipante y además de hacer muchos amigos y conocer a nuevas personas el sentir que tu servicio agrada a Dios a pesar del área en el que estés sientes que sirves a Dios con cada pequeña cosa que haces y es por lo que quiero volver</v>
      </c>
      <c r="R95" s="1" t="str">
        <f ca="1">IFERROR(__xludf.DUMMYFUNCTION("""COMPUTED_VALUE"""),"Si")</f>
        <v>Si</v>
      </c>
      <c r="S95" s="1" t="str">
        <f ca="1">IFERROR(__xludf.DUMMYFUNCTION("""COMPUTED_VALUE"""),"Voleibol")</f>
        <v>Voleibol</v>
      </c>
      <c r="T95" s="1" t="str">
        <f ca="1">IFERROR(__xludf.DUMMYFUNCTION("""COMPUTED_VALUE"""),"No")</f>
        <v>No</v>
      </c>
      <c r="U95" s="1"/>
      <c r="V95" s="1" t="str">
        <f ca="1">IFERROR(__xludf.DUMMYFUNCTION("""COMPUTED_VALUE"""),"Pedagogía")</f>
        <v>Pedagogía</v>
      </c>
      <c r="W95" s="1" t="str">
        <f ca="1">IFERROR(__xludf.DUMMYFUNCTION("""COMPUTED_VALUE"""),"Manualidades")</f>
        <v>Manualidades</v>
      </c>
      <c r="X95" s="1" t="str">
        <f ca="1">IFERROR(__xludf.DUMMYFUNCTION("""COMPUTED_VALUE"""),"D. Me gustan los deportes, J. Me gusta la atención a las personas, K. Soy creativo (a)")</f>
        <v>D. Me gustan los deportes, J. Me gusta la atención a las personas, K. Soy creativo (a)</v>
      </c>
      <c r="Y95" s="1" t="str">
        <f ca="1">IFERROR(__xludf.DUMMYFUNCTION("""COMPUTED_VALUE"""),"Si,la temporada pasada 2024")</f>
        <v>Si,la temporada pasada 2024</v>
      </c>
      <c r="Z95" s="1"/>
    </row>
    <row r="96" spans="1:26" x14ac:dyDescent="0.35">
      <c r="A96" s="3">
        <f ca="1">IFERROR(__xludf.DUMMYFUNCTION("""COMPUTED_VALUE"""),45813.9008101851)</f>
        <v>45813.9008101851</v>
      </c>
      <c r="B96" s="1"/>
      <c r="C96" s="1" t="str">
        <f ca="1">IFERROR(__xludf.DUMMYFUNCTION("""COMPUTED_VALUE"""),"Noé, Jaime Tobón")</f>
        <v>Noé, Jaime Tobón</v>
      </c>
      <c r="D96" s="1">
        <f ca="1">IFERROR(__xludf.DUMMYFUNCTION("""COMPUTED_VALUE"""),22)</f>
        <v>22</v>
      </c>
      <c r="E96" s="1" t="str">
        <f ca="1">IFERROR(__xludf.DUMMYFUNCTION("""COMPUTED_VALUE"""),"Hombre")</f>
        <v>Hombre</v>
      </c>
      <c r="F96" s="1" t="str">
        <f ca="1">IFERROR(__xludf.DUMMYFUNCTION("""COMPUTED_VALUE"""),"Queretaro, Mexico")</f>
        <v>Queretaro, Mexico</v>
      </c>
      <c r="G96" s="1" t="str">
        <f ca="1">IFERROR(__xludf.DUMMYFUNCTION("""COMPUTED_VALUE"""),"noejaimetobon28@gmail.com")</f>
        <v>noejaimetobon28@gmail.com</v>
      </c>
      <c r="H96" s="1">
        <f ca="1">IFERROR(__xludf.DUMMYFUNCTION("""COMPUTED_VALUE"""),524421232483)</f>
        <v>524421232483</v>
      </c>
      <c r="I96" s="1" t="str">
        <f ca="1">IFERROR(__xludf.DUMMYFUNCTION("""COMPUTED_VALUE"""),"Jóvenes de 13 – 17 años / SEM1/ (28 Julio a 02 de agosto), Jóvenes de 13 – 17 años / SEM2/ (4 - 09 agosto), Jóvenes de 13 – 17 años / SEM3/ (11 - 16 agosto)")</f>
        <v>Jóvenes de 13 – 17 años / SEM1/ (28 Julio a 02 de agosto), Jóvenes de 13 – 17 años / SEM2/ (4 - 09 agosto), Jóvenes de 13 – 17 años / SEM3/ (11 - 16 agosto)</v>
      </c>
      <c r="J96" s="1" t="str">
        <f ca="1">IFERROR(__xludf.DUMMYFUNCTION("""COMPUTED_VALUE"""),"Hora Silenciosa")</f>
        <v>Hora Silenciosa</v>
      </c>
      <c r="K96" s="1" t="str">
        <f ca="1">IFERROR(__xludf.DUMMYFUNCTION("""COMPUTED_VALUE"""),"Conexión Vertical")</f>
        <v>Conexión Vertical</v>
      </c>
      <c r="L96" s="1" t="str">
        <f ca="1">IFERROR(__xludf.DUMMYFUNCTION("""COMPUTED_VALUE"""),"Marcelo Jorquera")</f>
        <v>Marcelo Jorquera</v>
      </c>
      <c r="M96" s="1">
        <f ca="1">IFERROR(__xludf.DUMMYFUNCTION("""COMPUTED_VALUE"""),524411000876)</f>
        <v>524411000876</v>
      </c>
      <c r="N96" s="1" t="str">
        <f ca="1">IFERROR(__xludf.DUMMYFUNCTION("""COMPUTED_VALUE"""),"mdjorquerap@gmail.com")</f>
        <v>mdjorquerap@gmail.com</v>
      </c>
      <c r="O96" s="1" t="str">
        <f ca="1">IFERROR(__xludf.DUMMYFUNCTION("""COMPUTED_VALUE"""),"Líder de Jóvenes, Anfritiones")</f>
        <v>Líder de Jóvenes, Anfritiones</v>
      </c>
      <c r="P96" s="1" t="str">
        <f ca="1">IFERROR(__xludf.DUMMYFUNCTION("""COMPUTED_VALUE"""),"• Conocía de alguien qué estaba en los cielos y debíamos de ir a escuchar una misa cada domingo, pero realmente no comprendía el objetivo de ello, mi familia era católica a lo que se le conoce de “Dientes para afuera” ya qué realmente no vivía de acuerdo "&amp;"a lo qué está en las escrituras, vivamos con lo necesario, pero en situación de violencia física y psicológica, no tenía idea de lo qué debía de hacer en este mundo, únicamente existir. A la edad de 9 años empecé a consumir pornografía, para mi era algo q"&amp;"ué me hacía sentir amado, apreciado y valorado lo cual empezó a crecer alrededor de 10 años cada vez más profundo. Al pasar el tiempo mi familia se fue rompiendo, a la edad de 12 años mis padres decidieron separarse por fuertes problemas familiares, única"&amp;"mente éramos mi Madre, mi Hermana y Yo, viviendo en un estado totalmente nuevo el cual es ahora mi Hogar, Santiago de Querétaro. 
Aquí tuve muchos problemas, ya qué no era muy sociable empecé a enfrentar bullying, también el saber qué mi padre no estaba "&amp;"presente tuve muchos problemas para saber cómo un hombre frente a la sociedad debía de ser, en esta búsqueda de identidad comencé a relacionarme con personas adictas a sustancias o con el alcoholismo lo cual me llevó a replicarlo durante muchos años (Secu"&amp;"ndaria y Preparatoria) y al no estar satisfecho me sentía cada vez más vacío al llegar con depresión no queriendo saber nada de la iglesia la cual mi madre empezaba a asistir 
Conocí realmente a Cristo cuando tenía 14 años, mi madre empezaba a asistir a "&amp;"una Iglesia la cual ahora sirvo llamada Conexión Vertical. Ella fue la primera de la familia en reconocer a Dios cómo su salvador y nos animaba a asistir con ella, pero la influencia de nuestro padre era mayor en ese momento y decidíamos no acompañarla. T"&amp;"ras un tiempo de rechazo, empecé a asistir con ella únicamente para hacerla sentir mejor sin llegar a saber lo qué Dios tenía preparado para mi vida, me predicaron y empecé a conocer más de el poco a poco, nos invitaron a asistir al Campamento de Palabra "&amp;"de Vida México en Bernal, ahí pude conocer aún más, quién es, qué hizo por mí, ahora en donde está y quien soy yo delante de su presencia. 
Durante una fogata la cual nos pidieron qué si estábamos convencidos de seguir a Cristo debíamos de hacer una orac"&amp;"ión reconociéndolo y lanzando un palito en señal de nuestra conversión, la cual no hice, no porque rechazara la idea si no qué hable con el proponiéndole qué en ese año me mostrara si el siempre ha estado conmigo y me permitiera sentir su presencia, cosa "&amp;"qué el cumplió, el siguiente año lleno de convicción entregué mi vida en ese campamento en el 2017.")</f>
        <v>• Conocía de alguien qué estaba en los cielos y debíamos de ir a escuchar una misa cada domingo, pero realmente no comprendía el objetivo de ello, mi familia era católica a lo que se le conoce de “Dientes para afuera” ya qué realmente no vivía de acuerdo a lo qué está en las escrituras, vivamos con lo necesario, pero en situación de violencia física y psicológica, no tenía idea de lo qué debía de hacer en este mundo, únicamente existir. A la edad de 9 años empecé a consumir pornografía, para mi era algo qué me hacía sentir amado, apreciado y valorado lo cual empezó a crecer alrededor de 10 años cada vez más profundo. Al pasar el tiempo mi familia se fue rompiendo, a la edad de 12 años mis padres decidieron separarse por fuertes problemas familiares, únicamente éramos mi Madre, mi Hermana y Yo, viviendo en un estado totalmente nuevo el cual es ahora mi Hogar, Santiago de Querétaro. 
Aquí tuve muchos problemas, ya qué no era muy sociable empecé a enfrentar bullying, también el saber qué mi padre no estaba presente tuve muchos problemas para saber cómo un hombre frente a la sociedad debía de ser, en esta búsqueda de identidad comencé a relacionarme con personas adictas a sustancias o con el alcoholismo lo cual me llevó a replicarlo durante muchos años (Secundaria y Preparatoria) y al no estar satisfecho me sentía cada vez más vacío al llegar con depresión no queriendo saber nada de la iglesia la cual mi madre empezaba a asistir 
Conocí realmente a Cristo cuando tenía 14 años, mi madre empezaba a asistir a una Iglesia la cual ahora sirvo llamada Conexión Vertical. Ella fue la primera de la familia en reconocer a Dios cómo su salvador y nos animaba a asistir con ella, pero la influencia de nuestro padre era mayor en ese momento y decidíamos no acompañarla. Tras un tiempo de rechazo, empecé a asistir con ella únicamente para hacerla sentir mejor sin llegar a saber lo qué Dios tenía preparado para mi vida, me predicaron y empecé a conocer más de el poco a poco, nos invitaron a asistir al Campamento de Palabra de Vida México en Bernal, ahí pude conocer aún más, quién es, qué hizo por mí, ahora en donde está y quien soy yo delante de su presencia. 
Durante una fogata la cual nos pidieron qué si estábamos convencidos de seguir a Cristo debíamos de hacer una oración reconociéndolo y lanzando un palito en señal de nuestra conversión, la cual no hice, no porque rechazara la idea si no qué hable con el proponiéndole qué en ese año me mostrara si el siempre ha estado conmigo y me permitiera sentir su presencia, cosa qué el cumplió, el siguiente año lleno de convicción entregué mi vida en ese campamento en el 2017.</v>
      </c>
      <c r="Q96" s="1" t="str">
        <f ca="1">IFERROR(__xludf.DUMMYFUNCTION("""COMPUTED_VALUE"""),"Porque así cómo muchos estuvieron sirviendo cuando yo estaba conociendo de Cristo así yo  quiero poder servirle a mi Dios el tiempo qué el me necestie")</f>
        <v>Porque así cómo muchos estuvieron sirviendo cuando yo estaba conociendo de Cristo así yo  quiero poder servirle a mi Dios el tiempo qué el me necestie</v>
      </c>
      <c r="R96" s="1" t="str">
        <f ca="1">IFERROR(__xludf.DUMMYFUNCTION("""COMPUTED_VALUE"""),"Si")</f>
        <v>Si</v>
      </c>
      <c r="S96" s="1" t="str">
        <f ca="1">IFERROR(__xludf.DUMMYFUNCTION("""COMPUTED_VALUE"""),"Futbol")</f>
        <v>Futbol</v>
      </c>
      <c r="T96" s="1" t="str">
        <f ca="1">IFERROR(__xludf.DUMMYFUNCTION("""COMPUTED_VALUE"""),"Si")</f>
        <v>Si</v>
      </c>
      <c r="U96" s="1" t="str">
        <f ca="1">IFERROR(__xludf.DUMMYFUNCTION("""COMPUTED_VALUE"""),"Bajo")</f>
        <v>Bajo</v>
      </c>
      <c r="V96" s="1" t="str">
        <f ca="1">IFERROR(__xludf.DUMMYFUNCTION("""COMPUTED_VALUE"""),"Administación")</f>
        <v>Administación</v>
      </c>
      <c r="W96" s="1" t="str">
        <f ca="1">IFERROR(__xludf.DUMMYFUNCTION("""COMPUTED_VALUE"""),"Comunicación, Energia para actividades exigentes, computadora, habilidades sociales")</f>
        <v>Comunicación, Energia para actividades exigentes, computadora, habilidades sociales</v>
      </c>
      <c r="X96" s="1" t="str">
        <f ca="1">IFERROR(__xludf.DUMMYFUNCTION("""COMPUTED_VALUE"""),"B. Me gusta animar a las personas, C. Suelo buscar que el trabajo se realice en equipo, D. Me gustan los deportes, H. Soy organizado (a), I. Se me facilita el trabajo físico")</f>
        <v>B. Me gusta animar a las personas, C. Suelo buscar que el trabajo se realice en equipo, D. Me gustan los deportes, H. Soy organizado (a), I. Se me facilita el trabajo físico</v>
      </c>
      <c r="Y96" s="1" t="str">
        <f ca="1">IFERROR(__xludf.DUMMYFUNCTION("""COMPUTED_VALUE"""),"Si, 2018, 2021, 2022, 2023, 2024")</f>
        <v>Si, 2018, 2021, 2022, 2023, 2024</v>
      </c>
      <c r="Z96" s="1"/>
    </row>
    <row r="97" spans="1:26" x14ac:dyDescent="0.35">
      <c r="A97" s="3">
        <f ca="1">IFERROR(__xludf.DUMMYFUNCTION("""COMPUTED_VALUE"""),45813.9282986111)</f>
        <v>45813.928298611099</v>
      </c>
      <c r="B97" s="1"/>
      <c r="C97" s="1" t="str">
        <f ca="1">IFERROR(__xludf.DUMMYFUNCTION("""COMPUTED_VALUE"""),"José Marcos, Acosta Hernández")</f>
        <v>José Marcos, Acosta Hernández</v>
      </c>
      <c r="D97" s="1">
        <f ca="1">IFERROR(__xludf.DUMMYFUNCTION("""COMPUTED_VALUE"""),32)</f>
        <v>32</v>
      </c>
      <c r="E97" s="1" t="str">
        <f ca="1">IFERROR(__xludf.DUMMYFUNCTION("""COMPUTED_VALUE"""),"Hombre")</f>
        <v>Hombre</v>
      </c>
      <c r="F97" s="1" t="str">
        <f ca="1">IFERROR(__xludf.DUMMYFUNCTION("""COMPUTED_VALUE"""),"Tamaulipas, Mexico")</f>
        <v>Tamaulipas, Mexico</v>
      </c>
      <c r="G97" s="1" t="str">
        <f ca="1">IFERROR(__xludf.DUMMYFUNCTION("""COMPUTED_VALUE"""),"jmarcos_92@outlook.com")</f>
        <v>jmarcos_92@outlook.com</v>
      </c>
      <c r="H97" s="1">
        <f ca="1">IFERROR(__xludf.DUMMYFUNCTION("""COMPUTED_VALUE"""),528331385940)</f>
        <v>528331385940</v>
      </c>
      <c r="I97" s="1" t="str">
        <f ca="1">IFERROR(__xludf.DUMMYFUNCTION("""COMPUTED_VALUE"""),"Comunidad Jóvenes + 18 (14-19) Julio")</f>
        <v>Comunidad Jóvenes + 18 (14-19) Julio</v>
      </c>
      <c r="J97" s="1" t="str">
        <f ca="1">IFERROR(__xludf.DUMMYFUNCTION("""COMPUTED_VALUE"""),"Hora Silenciosa")</f>
        <v>Hora Silenciosa</v>
      </c>
      <c r="K97" s="1" t="str">
        <f ca="1">IFERROR(__xludf.DUMMYFUNCTION("""COMPUTED_VALUE"""),"Iglesia Bautista ""El Calvario""")</f>
        <v>Iglesia Bautista "El Calvario"</v>
      </c>
      <c r="L97" s="1" t="str">
        <f ca="1">IFERROR(__xludf.DUMMYFUNCTION("""COMPUTED_VALUE"""),"Marco Antonio García Montoya")</f>
        <v>Marco Antonio García Montoya</v>
      </c>
      <c r="M97" s="1">
        <f ca="1">IFERROR(__xludf.DUMMYFUNCTION("""COMPUTED_VALUE"""),528333504123)</f>
        <v>528333504123</v>
      </c>
      <c r="N97" s="1" t="str">
        <f ca="1">IFERROR(__xludf.DUMMYFUNCTION("""COMPUTED_VALUE"""),"marcoantoniopastor75@gmail.com")</f>
        <v>marcoantoniopastor75@gmail.com</v>
      </c>
      <c r="O97" s="1" t="str">
        <f ca="1">IFERROR(__xludf.DUMMYFUNCTION("""COMPUTED_VALUE"""),"Discipulado")</f>
        <v>Discipulado</v>
      </c>
      <c r="P97" s="1" t="str">
        <f ca="1">IFERROR(__xludf.DUMMYFUNCTION("""COMPUTED_VALUE"""),"Nací en un hogar crisitano, conocí el evangelio desde mi infancia, pero fue en mi adolescencia que tomé la decisión de seguir a Cristo. Estoy convencido de que el sacrificio de Jesus me salvó y tiene un propósito para mí.")</f>
        <v>Nací en un hogar crisitano, conocí el evangelio desde mi infancia, pero fue en mi adolescencia que tomé la decisión de seguir a Cristo. Estoy convencido de que el sacrificio de Jesus me salvó y tiene un propósito para mí.</v>
      </c>
      <c r="Q97" s="1" t="str">
        <f ca="1">IFERROR(__xludf.DUMMYFUNCTION("""COMPUTED_VALUE"""),"Tengo el deseo de servir durante la semana de Jóvenes +18. El año pasado no me fue posible ir. Quiero que Dios me use.")</f>
        <v>Tengo el deseo de servir durante la semana de Jóvenes +18. El año pasado no me fue posible ir. Quiero que Dios me use.</v>
      </c>
      <c r="R97" s="1" t="str">
        <f ca="1">IFERROR(__xludf.DUMMYFUNCTION("""COMPUTED_VALUE"""),"No")</f>
        <v>No</v>
      </c>
      <c r="S97" s="1"/>
      <c r="T97" s="1" t="str">
        <f ca="1">IFERROR(__xludf.DUMMYFUNCTION("""COMPUTED_VALUE"""),"No")</f>
        <v>No</v>
      </c>
      <c r="U97" s="1"/>
      <c r="V97" s="1" t="str">
        <f ca="1">IFERROR(__xludf.DUMMYFUNCTION("""COMPUTED_VALUE"""),"Maestro")</f>
        <v>Maestro</v>
      </c>
      <c r="W97" s="1" t="str">
        <f ca="1">IFERROR(__xludf.DUMMYFUNCTION("""COMPUTED_VALUE"""),"Maestro")</f>
        <v>Maestro</v>
      </c>
      <c r="X97" s="1" t="str">
        <f ca="1">IFERROR(__xludf.DUMMYFUNCTION("""COMPUTED_VALUE"""),"A. Soy un discipulador activo, B. Me gusta animar a las personas, O. Puedo enseñar con facilidad")</f>
        <v>A. Soy un discipulador activo, B. Me gusta animar a las personas, O. Puedo enseñar con facilidad</v>
      </c>
      <c r="Y97" s="1">
        <f ca="1">IFERROR(__xludf.DUMMYFUNCTION("""COMPUTED_VALUE"""),2019)</f>
        <v>2019</v>
      </c>
      <c r="Z97" s="1"/>
    </row>
    <row r="98" spans="1:26" x14ac:dyDescent="0.35">
      <c r="A98" s="3">
        <f ca="1">IFERROR(__xludf.DUMMYFUNCTION("""COMPUTED_VALUE"""),45814.423761574)</f>
        <v>45814.423761573998</v>
      </c>
      <c r="B98" s="1"/>
      <c r="C98" s="1" t="str">
        <f ca="1">IFERROR(__xludf.DUMMYFUNCTION("""COMPUTED_VALUE"""),"Luisa Renata, Escalante Caracas")</f>
        <v>Luisa Renata, Escalante Caracas</v>
      </c>
      <c r="D98" s="1">
        <f ca="1">IFERROR(__xludf.DUMMYFUNCTION("""COMPUTED_VALUE"""),15)</f>
        <v>15</v>
      </c>
      <c r="E98" s="1" t="str">
        <f ca="1">IFERROR(__xludf.DUMMYFUNCTION("""COMPUTED_VALUE"""),"Mujer")</f>
        <v>Mujer</v>
      </c>
      <c r="F98" s="1" t="str">
        <f ca="1">IFERROR(__xludf.DUMMYFUNCTION("""COMPUTED_VALUE"""),"Queretaro, Mexico")</f>
        <v>Queretaro, Mexico</v>
      </c>
      <c r="G98" s="1" t="str">
        <f ca="1">IFERROR(__xludf.DUMMYFUNCTION("""COMPUTED_VALUE"""),"rich29@outlook.com")</f>
        <v>rich29@outlook.com</v>
      </c>
      <c r="H98" s="1">
        <f ca="1">IFERROR(__xludf.DUMMYFUNCTION("""COMPUTED_VALUE"""),524461043109)</f>
        <v>524461043109</v>
      </c>
      <c r="I98" s="1" t="str">
        <f ca="1">IFERROR(__xludf.DUMMYFUNCTION("""COMPUTED_VALUE"""),"Semana de niños y niñas (21-25) Julio")</f>
        <v>Semana de niños y niñas (21-25) Julio</v>
      </c>
      <c r="J98" s="1" t="str">
        <f ca="1">IFERROR(__xludf.DUMMYFUNCTION("""COMPUTED_VALUE"""),"Sustento Diario de la App HolyBible versión RVR 1960")</f>
        <v>Sustento Diario de la App HolyBible versión RVR 1960</v>
      </c>
      <c r="K98" s="1" t="str">
        <f ca="1">IFERROR(__xludf.DUMMYFUNCTION("""COMPUTED_VALUE"""),"Iglesia Bíblica Vida Nueva en Querétaro")</f>
        <v>Iglesia Bíblica Vida Nueva en Querétaro</v>
      </c>
      <c r="L98" s="1" t="str">
        <f ca="1">IFERROR(__xludf.DUMMYFUNCTION("""COMPUTED_VALUE"""),"Mario Villanueva Jiménez")</f>
        <v>Mario Villanueva Jiménez</v>
      </c>
      <c r="M98" s="1">
        <f ca="1">IFERROR(__xludf.DUMMYFUNCTION("""COMPUTED_VALUE"""),524423352696)</f>
        <v>524423352696</v>
      </c>
      <c r="N98" s="1" t="str">
        <f ca="1">IFERROR(__xludf.DUMMYFUNCTION("""COMPUTED_VALUE"""),"mariojvj@gmail.com")</f>
        <v>mariojvj@gmail.com</v>
      </c>
      <c r="O98" s="1" t="str">
        <f ca="1">IFERROR(__xludf.DUMMYFUNCTION("""COMPUTED_VALUE"""),"Club bíblico")</f>
        <v>Club bíblico</v>
      </c>
      <c r="P98" s="1" t="str">
        <f ca="1">IFERROR(__xludf.DUMMYFUNCTION("""COMPUTED_VALUE"""),"Tuve la fortuna de nacer en una familia cristiana, y tuve mi propia decisión, cuando era niña y quiero servir al señor")</f>
        <v>Tuve la fortuna de nacer en una familia cristiana, y tuve mi propia decisión, cuando era niña y quiero servir al señor</v>
      </c>
      <c r="Q98" s="1" t="str">
        <f ca="1">IFERROR(__xludf.DUMMYFUNCTION("""COMPUTED_VALUE"""),"Porque ya fui parte de los campamentos, cuando era niña, y ahora quiero servir para que más niños puedan conocer del señor y contribuir un poco a la obra de él")</f>
        <v>Porque ya fui parte de los campamentos, cuando era niña, y ahora quiero servir para que más niños puedan conocer del señor y contribuir un poco a la obra de él</v>
      </c>
      <c r="R98" s="1" t="str">
        <f ca="1">IFERROR(__xludf.DUMMYFUNCTION("""COMPUTED_VALUE"""),"Si")</f>
        <v>Si</v>
      </c>
      <c r="S98" s="1" t="str">
        <f ca="1">IFERROR(__xludf.DUMMYFUNCTION("""COMPUTED_VALUE"""),"Danza, irlandesa")</f>
        <v>Danza, irlandesa</v>
      </c>
      <c r="T98" s="1" t="str">
        <f ca="1">IFERROR(__xludf.DUMMYFUNCTION("""COMPUTED_VALUE"""),"No")</f>
        <v>No</v>
      </c>
      <c r="U98" s="1"/>
      <c r="V98" s="1" t="str">
        <f ca="1">IFERROR(__xludf.DUMMYFUNCTION("""COMPUTED_VALUE"""),"Estudio el segundo semestre de preparatoria")</f>
        <v>Estudio el segundo semestre de preparatoria</v>
      </c>
      <c r="W98" s="1" t="str">
        <f ca="1">IFERROR(__xludf.DUMMYFUNCTION("""COMPUTED_VALUE"""),"Soy muy organizada, me gusta trabajar en equipo y soy buena administradora")</f>
        <v>Soy muy organizada, me gusta trabajar en equipo y soy buena administradora</v>
      </c>
      <c r="X98" s="1" t="str">
        <f ca="1">IFERROR(__xludf.DUMMYFUNCTION("""COMPUTED_VALUE"""),"C. Suelo buscar que el trabajo se realice en equipo, D. Me gustan los deportes, E. Me gusta el trabajo con niños, H. Soy organizado (a), J. Me gusta la atención a las personas, K. Soy creativo (a), O. Puedo enseñar con facilidad")</f>
        <v>C. Suelo buscar que el trabajo se realice en equipo, D. Me gustan los deportes, E. Me gusta el trabajo con niños, H. Soy organizado (a), J. Me gusta la atención a las personas, K. Soy creativo (a), O. Puedo enseñar con facilidad</v>
      </c>
      <c r="Y98" s="1" t="str">
        <f ca="1">IFERROR(__xludf.DUMMYFUNCTION("""COMPUTED_VALUE"""),"Si he ido como a 6 campamentos desde los 6 años")</f>
        <v>Si he ido como a 6 campamentos desde los 6 años</v>
      </c>
      <c r="Z98" s="1"/>
    </row>
    <row r="99" spans="1:26" x14ac:dyDescent="0.35">
      <c r="A99" s="3">
        <f ca="1">IFERROR(__xludf.DUMMYFUNCTION("""COMPUTED_VALUE"""),45815.8912037037)</f>
        <v>45815.891203703701</v>
      </c>
      <c r="B99" s="1"/>
      <c r="C99" s="1" t="str">
        <f ca="1">IFERROR(__xludf.DUMMYFUNCTION("""COMPUTED_VALUE"""),"Daniel Caleb, Gonzalez Rodriguez")</f>
        <v>Daniel Caleb, Gonzalez Rodriguez</v>
      </c>
      <c r="D99" s="1">
        <f ca="1">IFERROR(__xludf.DUMMYFUNCTION("""COMPUTED_VALUE"""),28)</f>
        <v>28</v>
      </c>
      <c r="E99" s="1" t="str">
        <f ca="1">IFERROR(__xludf.DUMMYFUNCTION("""COMPUTED_VALUE"""),"Hombre")</f>
        <v>Hombre</v>
      </c>
      <c r="F99" s="1" t="str">
        <f ca="1">IFERROR(__xludf.DUMMYFUNCTION("""COMPUTED_VALUE"""),"Guanajuato, Mexico")</f>
        <v>Guanajuato, Mexico</v>
      </c>
      <c r="G99" s="1" t="str">
        <f ca="1">IFERROR(__xludf.DUMMYFUNCTION("""COMPUTED_VALUE"""),"caleb.glezr@gmail.com")</f>
        <v>caleb.glezr@gmail.com</v>
      </c>
      <c r="H99" s="1">
        <f ca="1">IFERROR(__xludf.DUMMYFUNCTION("""COMPUTED_VALUE"""),524778247757)</f>
        <v>524778247757</v>
      </c>
      <c r="I99" s="1" t="str">
        <f ca="1">IFERROR(__xludf.DUMMYFUNCTION("""COMPUTED_VALUE"""),"Semana de entrenamiento (07 - 13) Julio, Comunidad Jóvenes + 18 (14-19) Julio")</f>
        <v>Semana de entrenamiento (07 - 13) Julio, Comunidad Jóvenes + 18 (14-19) Julio</v>
      </c>
      <c r="J99" s="1" t="str">
        <f ca="1">IFERROR(__xludf.DUMMYFUNCTION("""COMPUTED_VALUE"""),"Pan diario")</f>
        <v>Pan diario</v>
      </c>
      <c r="K99" s="1" t="str">
        <f ca="1">IFERROR(__xludf.DUMMYFUNCTION("""COMPUTED_VALUE"""),"Mosaico")</f>
        <v>Mosaico</v>
      </c>
      <c r="L99" s="1" t="str">
        <f ca="1">IFERROR(__xludf.DUMMYFUNCTION("""COMPUTED_VALUE"""),"Humberto Zuñiga")</f>
        <v>Humberto Zuñiga</v>
      </c>
      <c r="M99" s="1">
        <f ca="1">IFERROR(__xludf.DUMMYFUNCTION("""COMPUTED_VALUE"""),524772892705)</f>
        <v>524772892705</v>
      </c>
      <c r="N99" s="1" t="str">
        <f ca="1">IFERROR(__xludf.DUMMYFUNCTION("""COMPUTED_VALUE"""),"humberto.zunamez@gmail.com")</f>
        <v>humberto.zunamez@gmail.com</v>
      </c>
      <c r="O99" s="1" t="str">
        <f ca="1">IFERROR(__xludf.DUMMYFUNCTION("""COMPUTED_VALUE"""),"Servicio")</f>
        <v>Servicio</v>
      </c>
      <c r="P99" s="1" t="str">
        <f ca="1">IFERROR(__xludf.DUMMYFUNCTION("""COMPUTED_VALUE"""),"Mi vida antes de Cristo era muerto espiritualmente 😔 
Le conocí en mi cuarto clamando a el pero lo conocí aún más cuando me empezaron a invitar a la iglesia church Projet leon 😊
Dios uso Juan 3:16 para creer a una eternidad con el ahora tengo está relac"&amp;"ión que no tenía antes
Me niego a mi para seguirle a el diario 
El cambió que Dios uso en mi vida fue de arrepentimiento")</f>
        <v>Mi vida antes de Cristo era muerto espiritualmente 😔 
Le conocí en mi cuarto clamando a el pero lo conocí aún más cuando me empezaron a invitar a la iglesia church Projet leon 😊
Dios uso Juan 3:16 para creer a una eternidad con el ahora tengo está relación que no tenía antes
Me niego a mi para seguirle a el diario 
El cambió que Dios uso en mi vida fue de arrepentimiento</v>
      </c>
      <c r="Q99" s="1" t="str">
        <f ca="1">IFERROR(__xludf.DUMMYFUNCTION("""COMPUTED_VALUE"""),"El año pasado estuve como campero en Bernal y este año el señor puso en mí corazón sirviendo")</f>
        <v>El año pasado estuve como campero en Bernal y este año el señor puso en mí corazón sirviendo</v>
      </c>
      <c r="R99" s="1" t="str">
        <f ca="1">IFERROR(__xludf.DUMMYFUNCTION("""COMPUTED_VALUE"""),"No")</f>
        <v>No</v>
      </c>
      <c r="S99" s="1"/>
      <c r="T99" s="1" t="str">
        <f ca="1">IFERROR(__xludf.DUMMYFUNCTION("""COMPUTED_VALUE"""),"No")</f>
        <v>No</v>
      </c>
      <c r="U99" s="1"/>
      <c r="V99" s="1" t="str">
        <f ca="1">IFERROR(__xludf.DUMMYFUNCTION("""COMPUTED_VALUE"""),"No estudió")</f>
        <v>No estudió</v>
      </c>
      <c r="W99" s="1" t="str">
        <f ca="1">IFERROR(__xludf.DUMMYFUNCTION("""COMPUTED_VALUE"""),"Lider en mi área en donde trabajo")</f>
        <v>Lider en mi área en donde trabajo</v>
      </c>
      <c r="X99" s="1" t="str">
        <f ca="1">IFERROR(__xludf.DUMMYFUNCTION("""COMPUTED_VALUE"""),"B. Me gusta animar a las personas, D. Me gustan los deportes, I. Se me facilita el trabajo físico")</f>
        <v>B. Me gusta animar a las personas, D. Me gustan los deportes, I. Se me facilita el trabajo físico</v>
      </c>
      <c r="Y99" s="1" t="str">
        <f ca="1">IFERROR(__xludf.DUMMYFUNCTION("""COMPUTED_VALUE"""),"Si el año pasado 2024")</f>
        <v>Si el año pasado 2024</v>
      </c>
      <c r="Z99" s="1"/>
    </row>
    <row r="100" spans="1:26" x14ac:dyDescent="0.35">
      <c r="A100" s="3">
        <f ca="1">IFERROR(__xludf.DUMMYFUNCTION("""COMPUTED_VALUE"""),45815.9114351851)</f>
        <v>45815.911435185102</v>
      </c>
      <c r="B100" s="1"/>
      <c r="C100" s="1" t="str">
        <f ca="1">IFERROR(__xludf.DUMMYFUNCTION("""COMPUTED_VALUE"""),"Enoc, González García")</f>
        <v>Enoc, González García</v>
      </c>
      <c r="D100" s="1">
        <f ca="1">IFERROR(__xludf.DUMMYFUNCTION("""COMPUTED_VALUE"""),16)</f>
        <v>16</v>
      </c>
      <c r="E100" s="1" t="str">
        <f ca="1">IFERROR(__xludf.DUMMYFUNCTION("""COMPUTED_VALUE"""),"Hombre")</f>
        <v>Hombre</v>
      </c>
      <c r="F100" s="1" t="str">
        <f ca="1">IFERROR(__xludf.DUMMYFUNCTION("""COMPUTED_VALUE"""),"Morelos, Mexico")</f>
        <v>Morelos, Mexico</v>
      </c>
      <c r="G100" s="1" t="str">
        <f ca="1">IFERROR(__xludf.DUMMYFUNCTION("""COMPUTED_VALUE"""),"egez777@gmail.com")</f>
        <v>egez777@gmail.com</v>
      </c>
      <c r="H100" s="1">
        <f ca="1">IFERROR(__xludf.DUMMYFUNCTION("""COMPUTED_VALUE"""),527351604626)</f>
        <v>527351604626</v>
      </c>
      <c r="I100" s="1" t="str">
        <f ca="1">IFERROR(__xludf.DUMMYFUNCTION("""COMPUTED_VALUE"""),"Semana de entrenamiento (07 - 13) Julio, Comunidad Jóvenes + 18 (14-19) Julio, Semana de niños y niñas (21-25) Julio, Jóvenes de 13 – 17 años / SEM1/ (28 Julio a 02 de agosto)")</f>
        <v>Semana de entrenamiento (07 - 13) Julio, Comunidad Jóvenes + 18 (14-19) Julio, Semana de niños y niñas (21-25) Julio, Jóvenes de 13 – 17 años / SEM1/ (28 Julio a 02 de agosto)</v>
      </c>
      <c r="J100" s="1" t="str">
        <f ca="1">IFERROR(__xludf.DUMMYFUNCTION("""COMPUTED_VALUE"""),"Encuentros al límite")</f>
        <v>Encuentros al límite</v>
      </c>
      <c r="K100" s="1" t="str">
        <f ca="1">IFERROR(__xludf.DUMMYFUNCTION("""COMPUTED_VALUE"""),"Igleisia Bíblica Palabra de Fe y Amor")</f>
        <v>Igleisia Bíblica Palabra de Fe y Amor</v>
      </c>
      <c r="L100" s="1" t="str">
        <f ca="1">IFERROR(__xludf.DUMMYFUNCTION("""COMPUTED_VALUE"""),"Edilberto González Rivera")</f>
        <v>Edilberto González Rivera</v>
      </c>
      <c r="M100" s="1">
        <f ca="1">IFERROR(__xludf.DUMMYFUNCTION("""COMPUTED_VALUE"""),527351604626)</f>
        <v>527351604626</v>
      </c>
      <c r="N100" s="1" t="str">
        <f ca="1">IFERROR(__xludf.DUMMYFUNCTION("""COMPUTED_VALUE"""),"egez777@gmail.com")</f>
        <v>egez777@gmail.com</v>
      </c>
      <c r="O100" s="1" t="str">
        <f ca="1">IFERROR(__xludf.DUMMYFUNCTION("""COMPUTED_VALUE"""),"Ujieres, aseos, multimedia y cafetería")</f>
        <v>Ujieres, aseos, multimedia y cafetería</v>
      </c>
      <c r="P100" s="1" t="str">
        <f ca="1">IFERROR(__xludf.DUMMYFUNCTION("""COMPUTED_VALUE"""),"Pues toda la vida he tenido relación con la iglesia, mis papás son postores y siempre me han inculcado la palabra de Dios pero soy consciente de mi salvación desde cómo los cuatro años .")</f>
        <v>Pues toda la vida he tenido relación con la iglesia, mis papás son postores y siempre me han inculcado la palabra de Dios pero soy consciente de mi salvación desde cómo los cuatro años .</v>
      </c>
      <c r="Q100" s="1" t="str">
        <f ca="1">IFERROR(__xludf.DUMMYFUNCTION("""COMPUTED_VALUE"""),"Por qué me gustan los campamentos pero me gustaría experimentar como es estar del lado de los servidores y también para hacer amigos.")</f>
        <v>Por qué me gustan los campamentos pero me gustaría experimentar como es estar del lado de los servidores y también para hacer amigos.</v>
      </c>
      <c r="R100" s="1" t="str">
        <f ca="1">IFERROR(__xludf.DUMMYFUNCTION("""COMPUTED_VALUE"""),"Si")</f>
        <v>Si</v>
      </c>
      <c r="S100" s="1" t="str">
        <f ca="1">IFERROR(__xludf.DUMMYFUNCTION("""COMPUTED_VALUE"""),"Pesas")</f>
        <v>Pesas</v>
      </c>
      <c r="T100" s="1" t="str">
        <f ca="1">IFERROR(__xludf.DUMMYFUNCTION("""COMPUTED_VALUE"""),"No")</f>
        <v>No</v>
      </c>
      <c r="U100" s="1"/>
      <c r="V100" s="1" t="str">
        <f ca="1">IFERROR(__xludf.DUMMYFUNCTION("""COMPUTED_VALUE"""),"A.C.E")</f>
        <v>A.C.E</v>
      </c>
      <c r="W100" s="1" t="str">
        <f ca="1">IFERROR(__xludf.DUMMYFUNCTION("""COMPUTED_VALUE"""),"Deportivas y artísticas")</f>
        <v>Deportivas y artísticas</v>
      </c>
      <c r="X100" s="1" t="str">
        <f ca="1">IFERROR(__xludf.DUMMYFUNCTION("""COMPUTED_VALUE"""),"D. Me gustan los deportes, F. Soy eficiente en el trabajo con herramientas, equipos y maquinarias, G. Soy más eficiente en el trabajo individual, H. Soy organizado (a), I. Se me facilita el trabajo físico, K. Soy creativo (a), O. Puedo enseñar con facilid"&amp;"ad")</f>
        <v>D. Me gustan los deportes, F. Soy eficiente en el trabajo con herramientas, equipos y maquinarias, G. Soy más eficiente en el trabajo individual, H. Soy organizado (a), I. Se me facilita el trabajo físico, K. Soy creativo (a), O. Puedo enseñar con facilidad</v>
      </c>
      <c r="Y100" s="1" t="str">
        <f ca="1">IFERROR(__xludf.DUMMYFUNCTION("""COMPUTED_VALUE"""),"No")</f>
        <v>No</v>
      </c>
      <c r="Z100" s="1"/>
    </row>
    <row r="101" spans="1:26" x14ac:dyDescent="0.35">
      <c r="A101" s="3">
        <f ca="1">IFERROR(__xludf.DUMMYFUNCTION("""COMPUTED_VALUE"""),45816.5574189814)</f>
        <v>45816.5574189814</v>
      </c>
      <c r="B101" s="1"/>
      <c r="C101" s="1" t="str">
        <f ca="1">IFERROR(__xludf.DUMMYFUNCTION("""COMPUTED_VALUE"""),"Mariana, Martínez Ríos")</f>
        <v>Mariana, Martínez Ríos</v>
      </c>
      <c r="D101" s="1">
        <f ca="1">IFERROR(__xludf.DUMMYFUNCTION("""COMPUTED_VALUE"""),22)</f>
        <v>22</v>
      </c>
      <c r="E101" s="1" t="str">
        <f ca="1">IFERROR(__xludf.DUMMYFUNCTION("""COMPUTED_VALUE"""),"Mujer")</f>
        <v>Mujer</v>
      </c>
      <c r="F101" s="1" t="str">
        <f ca="1">IFERROR(__xludf.DUMMYFUNCTION("""COMPUTED_VALUE"""),"Queretaro, Mexico")</f>
        <v>Queretaro, Mexico</v>
      </c>
      <c r="G101" s="1" t="str">
        <f ca="1">IFERROR(__xludf.DUMMYFUNCTION("""COMPUTED_VALUE"""),"marianamtzrios8@gmail.com")</f>
        <v>marianamtzrios8@gmail.com</v>
      </c>
      <c r="H101" s="1" t="str">
        <f ca="1">IFERROR(__xludf.DUMMYFUNCTION("""COMPUTED_VALUE"""),"#ERROR!")</f>
        <v>#ERROR!</v>
      </c>
      <c r="I101" s="1" t="str">
        <f ca="1">IFERROR(__xludf.DUMMYFUNCTION("""COMPUTED_VALUE"""),"Comunidad Jóvenes + 18 (14-19) Julio")</f>
        <v>Comunidad Jóvenes + 18 (14-19) Julio</v>
      </c>
      <c r="J101" s="1" t="str">
        <f ca="1">IFERROR(__xludf.DUMMYFUNCTION("""COMPUTED_VALUE"""),"You Version")</f>
        <v>You Version</v>
      </c>
      <c r="K101" s="1" t="str">
        <f ca="1">IFERROR(__xludf.DUMMYFUNCTION("""COMPUTED_VALUE"""),"Vida Nueva para el mundo Querétaro")</f>
        <v>Vida Nueva para el mundo Querétaro</v>
      </c>
      <c r="L101" s="1" t="str">
        <f ca="1">IFERROR(__xludf.DUMMYFUNCTION("""COMPUTED_VALUE"""),"David Alducin")</f>
        <v>David Alducin</v>
      </c>
      <c r="M101" s="1">
        <f ca="1">IFERROR(__xludf.DUMMYFUNCTION("""COMPUTED_VALUE"""),52527229808024)</f>
        <v>52527229808024</v>
      </c>
      <c r="N101" s="1" t="str">
        <f ca="1">IFERROR(__xludf.DUMMYFUNCTION("""COMPUTED_VALUE"""),"davealducin17@gmail.com")</f>
        <v>davealducin17@gmail.com</v>
      </c>
      <c r="O101" s="1" t="str">
        <f ca="1">IFERROR(__xludf.DUMMYFUNCTION("""COMPUTED_VALUE"""),"Alabanza y Teens")</f>
        <v>Alabanza y Teens</v>
      </c>
      <c r="P101" s="1" t="str">
        <f ca="1">IFERROR(__xludf.DUMMYFUNCTION("""COMPUTED_VALUE"""),"Llevo desde los 10 años conociendo de Cristo pero puedo decir que hace 3 años decidí realmente tomar el papel que me corresponde como hija de Dios, discipulandome y sirviendo a Dios con los dones y talentos que me ha dado. Y esta desición la tome a raíz d"&amp;"e que me alejé por un tiempo pero volví porque me di cuenta gracias al evangelio de que Dios es el único que puede completarme y darme la paz y el gozo en la vida y esta desición la tome en un campamento de palabra de vida también.")</f>
        <v>Llevo desde los 10 años conociendo de Cristo pero puedo decir que hace 3 años decidí realmente tomar el papel que me corresponde como hija de Dios, discipulandome y sirviendo a Dios con los dones y talentos que me ha dado. Y esta desición la tome a raíz de que me alejé por un tiempo pero volví porque me di cuenta gracias al evangelio de que Dios es el único que puede completarme y darme la paz y el gozo en la vida y esta desición la tome en un campamento de palabra de vida también.</v>
      </c>
      <c r="Q101" s="1" t="str">
        <f ca="1">IFERROR(__xludf.DUMMYFUNCTION("""COMPUTED_VALUE"""),"Porque creo que es tiempo de dar un poco de lo mucho que he recibido en los campamentos  creo que es tiempo de aportar sirviendo, pues es una de las cosas que hago en mi iglesia local.")</f>
        <v>Porque creo que es tiempo de dar un poco de lo mucho que he recibido en los campamentos  creo que es tiempo de aportar sirviendo, pues es una de las cosas que hago en mi iglesia local.</v>
      </c>
      <c r="R101" s="1" t="str">
        <f ca="1">IFERROR(__xludf.DUMMYFUNCTION("""COMPUTED_VALUE"""),"No")</f>
        <v>No</v>
      </c>
      <c r="S101" s="1"/>
      <c r="T101" s="1" t="str">
        <f ca="1">IFERROR(__xludf.DUMMYFUNCTION("""COMPUTED_VALUE"""),"Si")</f>
        <v>Si</v>
      </c>
      <c r="U101" s="1" t="str">
        <f ca="1">IFERROR(__xludf.DUMMYFUNCTION("""COMPUTED_VALUE"""),"Teclado y canto")</f>
        <v>Teclado y canto</v>
      </c>
      <c r="V101" s="1" t="str">
        <f ca="1">IFERROR(__xludf.DUMMYFUNCTION("""COMPUTED_VALUE"""),"Diseño de moda y marketing publicitario")</f>
        <v>Diseño de moda y marketing publicitario</v>
      </c>
      <c r="W101" s="1" t="str">
        <f ca="1">IFERROR(__xludf.DUMMYFUNCTION("""COMPUTED_VALUE"""),"Habilidades artísticas")</f>
        <v>Habilidades artísticas</v>
      </c>
      <c r="X101" s="1" t="str">
        <f ca="1">IFERROR(__xludf.DUMMYFUNCTION("""COMPUTED_VALUE"""),"A. Soy un discipulador activo, B. Me gusta animar a las personas, C. Suelo buscar que el trabajo se realice en equipo, J. Me gusta la atención a las personas, K. Soy creativo (a), L. Soy bueno (a) en canto o algún instrumento, N. Suelo llevar el liderazgo"&amp;" en un grupo, O. Puedo enseñar con facilidad")</f>
        <v>A. Soy un discipulador activo, B. Me gusta animar a las personas, C. Suelo buscar que el trabajo se realice en equipo, J. Me gusta la atención a las personas, K. Soy creativo (a), L. Soy bueno (a) en canto o algún instrumento, N. Suelo llevar el liderazgo en un grupo, O. Puedo enseñar con facilidad</v>
      </c>
      <c r="Y101" s="1" t="str">
        <f ca="1">IFERROR(__xludf.DUMMYFUNCTION("""COMPUTED_VALUE"""),"2022 y 2023")</f>
        <v>2022 y 2023</v>
      </c>
      <c r="Z101" s="1"/>
    </row>
    <row r="102" spans="1:26" x14ac:dyDescent="0.35">
      <c r="A102" s="3">
        <f ca="1">IFERROR(__xludf.DUMMYFUNCTION("""COMPUTED_VALUE"""),45816.8532291666)</f>
        <v>45816.853229166598</v>
      </c>
      <c r="B102" s="1"/>
      <c r="C102" s="1" t="str">
        <f ca="1">IFERROR(__xludf.DUMMYFUNCTION("""COMPUTED_VALUE"""),"Astrid, Covarrubias Vazquez")</f>
        <v>Astrid, Covarrubias Vazquez</v>
      </c>
      <c r="D102" s="1">
        <f ca="1">IFERROR(__xludf.DUMMYFUNCTION("""COMPUTED_VALUE"""),18)</f>
        <v>18</v>
      </c>
      <c r="E102" s="1" t="str">
        <f ca="1">IFERROR(__xludf.DUMMYFUNCTION("""COMPUTED_VALUE"""),"Mujer")</f>
        <v>Mujer</v>
      </c>
      <c r="F102" s="1" t="str">
        <f ca="1">IFERROR(__xludf.DUMMYFUNCTION("""COMPUTED_VALUE"""),"Mexico City, Mexico")</f>
        <v>Mexico City, Mexico</v>
      </c>
      <c r="G102" s="1" t="str">
        <f ca="1">IFERROR(__xludf.DUMMYFUNCTION("""COMPUTED_VALUE"""),"vazquezastrid@gmail.com")</f>
        <v>vazquezastrid@gmail.com</v>
      </c>
      <c r="H102" s="1">
        <f ca="1">IFERROR(__xludf.DUMMYFUNCTION("""COMPUTED_VALUE"""),525523746735)</f>
        <v>525523746735</v>
      </c>
      <c r="I102" s="1" t="str">
        <f ca="1">IFERROR(__xludf.DUMMYFUNCTION("""COMPUTED_VALUE"""),"Toda la temporada (07 de Julio al 16 de agosto)")</f>
        <v>Toda la temporada (07 de Julio al 16 de agosto)</v>
      </c>
      <c r="J102" s="1" t="str">
        <f ca="1">IFERROR(__xludf.DUMMYFUNCTION("""COMPUTED_VALUE"""),"Mujer Verdadera")</f>
        <v>Mujer Verdadera</v>
      </c>
      <c r="K102" s="1" t="str">
        <f ca="1">IFERROR(__xludf.DUMMYFUNCTION("""COMPUTED_VALUE"""),"Iglesia Cristina Bautista Anastasis")</f>
        <v>Iglesia Cristina Bautista Anastasis</v>
      </c>
      <c r="L102" s="1" t="str">
        <f ca="1">IFERROR(__xludf.DUMMYFUNCTION("""COMPUTED_VALUE"""),"Ricardo Almazán")</f>
        <v>Ricardo Almazán</v>
      </c>
      <c r="M102" s="1">
        <f ca="1">IFERROR(__xludf.DUMMYFUNCTION("""COMPUTED_VALUE"""),525546661961)</f>
        <v>525546661961</v>
      </c>
      <c r="N102" s="1" t="str">
        <f ca="1">IFERROR(__xludf.DUMMYFUNCTION("""COMPUTED_VALUE"""),"icb.anastasis@gmail.com")</f>
        <v>icb.anastasis@gmail.com</v>
      </c>
      <c r="O102" s="1" t="str">
        <f ca="1">IFERROR(__xludf.DUMMYFUNCTION("""COMPUTED_VALUE"""),"Ministerio Infantil")</f>
        <v>Ministerio Infantil</v>
      </c>
      <c r="P102" s="1" t="str">
        <f ca="1">IFERROR(__xludf.DUMMYFUNCTION("""COMPUTED_VALUE"""),"La primera vez que escuché hablar de Dios tenía 3 años iba a una iglesia con mi familia después de unos años nos alejamos por completo pero a los 13 me entró la necesidad de buscar a ese Dios del que escuché de pequeña un día me invitaron a Campa 2019 y f"&amp;"ue literalmente un rencuentro con el padre ahí mi vida tomó sentido porque empecé a vivir con propósito.")</f>
        <v>La primera vez que escuché hablar de Dios tenía 3 años iba a una iglesia con mi familia después de unos años nos alejamos por completo pero a los 13 me entró la necesidad de buscar a ese Dios del que escuché de pequeña un día me invitaron a Campa 2019 y fue literalmente un rencuentro con el padre ahí mi vida tomó sentido porque empecé a vivir con propósito.</v>
      </c>
      <c r="Q102" s="1" t="str">
        <f ca="1">IFERROR(__xludf.DUMMYFUNCTION("""COMPUTED_VALUE"""),"Porque quiero devolver un poco de lo mucho que campa me dio y me sigue dando, poder servir a Dios en mi juventud sé que es un privilegio por cual estoy agradecida")</f>
        <v>Porque quiero devolver un poco de lo mucho que campa me dio y me sigue dando, poder servir a Dios en mi juventud sé que es un privilegio por cual estoy agradecida</v>
      </c>
      <c r="R102" s="1" t="str">
        <f ca="1">IFERROR(__xludf.DUMMYFUNCTION("""COMPUTED_VALUE"""),"No")</f>
        <v>No</v>
      </c>
      <c r="S102" s="1"/>
      <c r="T102" s="1" t="str">
        <f ca="1">IFERROR(__xludf.DUMMYFUNCTION("""COMPUTED_VALUE"""),"No")</f>
        <v>No</v>
      </c>
      <c r="U102" s="1"/>
      <c r="V102" s="1" t="str">
        <f ca="1">IFERROR(__xludf.DUMMYFUNCTION("""COMPUTED_VALUE"""),"Medios y Comunicación")</f>
        <v>Medios y Comunicación</v>
      </c>
      <c r="W102" s="1" t="str">
        <f ca="1">IFERROR(__xludf.DUMMYFUNCTION("""COMPUTED_VALUE"""),"Soy buena comunicándome, me gusta hablar en público soy buena con los niños también me gusta el arte bailar,actuar y ese tipo de cosas")</f>
        <v>Soy buena comunicándome, me gusta hablar en público soy buena con los niños también me gusta el arte bailar,actuar y ese tipo de cosas</v>
      </c>
      <c r="X102" s="1" t="str">
        <f ca="1">IFERROR(__xludf.DUMMYFUNCTION("""COMPUTED_VALUE"""),"B. Me gusta animar a las personas, E. Me gusta el trabajo con niños, G. Soy más eficiente en el trabajo individual, H. Soy organizado (a), J. Me gusta la atención a las personas, K. Soy creativo (a), N. Suelo llevar el liderazgo en un grupo, O. Puedo ense"&amp;"ñar con facilidad")</f>
        <v>B. Me gusta animar a las personas, E. Me gusta el trabajo con niños, G. Soy más eficiente en el trabajo individual, H. Soy organizado (a), J. Me gusta la atención a las personas, K. Soy creativo (a), N. Suelo llevar el liderazgo en un grupo, O. Puedo enseñar con facilidad</v>
      </c>
      <c r="Y102" s="1" t="str">
        <f ca="1">IFERROR(__xludf.DUMMYFUNCTION("""COMPUTED_VALUE"""),"Si desde 2019 hasta 2023 y 2024 fui equipante")</f>
        <v>Si desde 2019 hasta 2023 y 2024 fui equipante</v>
      </c>
      <c r="Z102" s="1"/>
    </row>
    <row r="103" spans="1:26" x14ac:dyDescent="0.35">
      <c r="A103" s="3">
        <f ca="1">IFERROR(__xludf.DUMMYFUNCTION("""COMPUTED_VALUE"""),45817.3587962963)</f>
        <v>45817.358796296299</v>
      </c>
      <c r="B103" s="1"/>
      <c r="C103" s="1" t="str">
        <f ca="1">IFERROR(__xludf.DUMMYFUNCTION("""COMPUTED_VALUE"""),"Angeles de jesus, Villalon vargas")</f>
        <v>Angeles de jesus, Villalon vargas</v>
      </c>
      <c r="D103" s="1">
        <f ca="1">IFERROR(__xludf.DUMMYFUNCTION("""COMPUTED_VALUE"""),17)</f>
        <v>17</v>
      </c>
      <c r="E103" s="1" t="str">
        <f ca="1">IFERROR(__xludf.DUMMYFUNCTION("""COMPUTED_VALUE"""),"Mujer")</f>
        <v>Mujer</v>
      </c>
      <c r="F103" s="1" t="str">
        <f ca="1">IFERROR(__xludf.DUMMYFUNCTION("""COMPUTED_VALUE"""),"Queretaro, Mexico")</f>
        <v>Queretaro, Mexico</v>
      </c>
      <c r="G103" s="1" t="str">
        <f ca="1">IFERROR(__xludf.DUMMYFUNCTION("""COMPUTED_VALUE"""),"angelesvillalon18@gmail.com")</f>
        <v>angelesvillalon18@gmail.com</v>
      </c>
      <c r="H103" s="1">
        <f ca="1">IFERROR(__xludf.DUMMYFUNCTION("""COMPUTED_VALUE"""),524425760714)</f>
        <v>524425760714</v>
      </c>
      <c r="I103" s="1" t="str">
        <f ca="1">IFERROR(__xludf.DUMMYFUNCTION("""COMPUTED_VALUE"""),"Semana de entrenamiento (07 - 13) Julio, Comunidad Jóvenes + 18 (14-19) Julio, Semana de niños y niñas (21-25) Julio, Jóvenes de 13 – 17 años / SEM1/ (28 Julio a 02 de agosto), Jóvenes de 13 – 17 años / SEM2/ (4 - 09 agosto)")</f>
        <v>Semana de entrenamiento (07 - 13) Julio, Comunidad Jóvenes + 18 (14-19) Julio, Semana de niños y niñas (21-25) Julio, Jóvenes de 13 – 17 años / SEM1/ (28 Julio a 02 de agosto), Jóvenes de 13 – 17 años / SEM2/ (4 - 09 agosto)</v>
      </c>
      <c r="J103" s="1" t="str">
        <f ca="1">IFERROR(__xludf.DUMMYFUNCTION("""COMPUTED_VALUE"""),"Santiago")</f>
        <v>Santiago</v>
      </c>
      <c r="K103" s="1" t="str">
        <f ca="1">IFERROR(__xludf.DUMMYFUNCTION("""COMPUTED_VALUE"""),"Church project")</f>
        <v>Church project</v>
      </c>
      <c r="L103" s="1" t="str">
        <f ca="1">IFERROR(__xludf.DUMMYFUNCTION("""COMPUTED_VALUE"""),"Leo digilio , braian Issa")</f>
        <v>Leo digilio , braian Issa</v>
      </c>
      <c r="M103" s="1">
        <f ca="1">IFERROR(__xludf.DUMMYFUNCTION("""COMPUTED_VALUE"""),524151261741)</f>
        <v>524151261741</v>
      </c>
      <c r="N103" s="1" t="str">
        <f ca="1">IFERROR(__xludf.DUMMYFUNCTION("""COMPUTED_VALUE"""),"braian@cpqueretaro.org")</f>
        <v>braian@cpqueretaro.org</v>
      </c>
      <c r="O103" s="1" t="str">
        <f ca="1">IFERROR(__xludf.DUMMYFUNCTION("""COMPUTED_VALUE"""),"Kids")</f>
        <v>Kids</v>
      </c>
      <c r="P103" s="1" t="str">
        <f ca="1">IFERROR(__xludf.DUMMYFUNCTION("""COMPUTED_VALUE"""),"Yo conocí a Cristo por medio de mis padres ellos buscaron una iglesia creo que fue en el 2019,  el 31 de mayo tome la decisión de aceptar a cristo como mi salvador, el 22 de agosto del 2021 decidí bautizarme  y decidí cambiar por completo mi vida ,  he pa"&amp;"do por muchas pruebas y siempre e visto siempre la mano de Dios me a sacado y librado de muchas cosas")</f>
        <v>Yo conocí a Cristo por medio de mis padres ellos buscaron una iglesia creo que fue en el 2019,  el 31 de mayo tome la decisión de aceptar a cristo como mi salvador, el 22 de agosto del 2021 decidí bautizarme  y decidí cambiar por completo mi vida ,  he pado por muchas pruebas y siempre e visto siempre la mano de Dios me a sacado y librado de muchas cosas</v>
      </c>
      <c r="Q103" s="1" t="str">
        <f ca="1">IFERROR(__xludf.DUMMYFUNCTION("""COMPUTED_VALUE"""),"Por qué me gusta servir y he visto que hay necesidad  y este año Dios puso en mi corazón servir y también por qué esos tiempos son hermosos y me acercan más a Dios")</f>
        <v>Por qué me gusta servir y he visto que hay necesidad  y este año Dios puso en mi corazón servir y también por qué esos tiempos son hermosos y me acercan más a Dios</v>
      </c>
      <c r="R103" s="1" t="str">
        <f ca="1">IFERROR(__xludf.DUMMYFUNCTION("""COMPUTED_VALUE"""),"No")</f>
        <v>No</v>
      </c>
      <c r="S103" s="1"/>
      <c r="T103" s="1" t="str">
        <f ca="1">IFERROR(__xludf.DUMMYFUNCTION("""COMPUTED_VALUE"""),"No")</f>
        <v>No</v>
      </c>
      <c r="U103" s="1"/>
      <c r="V103" s="1" t="str">
        <f ca="1">IFERROR(__xludf.DUMMYFUNCTION("""COMPUTED_VALUE"""),"Estoy cursando el último año de preparatoria")</f>
        <v>Estoy cursando el último año de preparatoria</v>
      </c>
      <c r="W103" s="1" t="str">
        <f ca="1">IFERROR(__xludf.DUMMYFUNCTION("""COMPUTED_VALUE"""),"Soy buena en la limpieza,cocinando  , el cuidado de con niños , leer , lavar trastes")</f>
        <v>Soy buena en la limpieza,cocinando  , el cuidado de con niños , leer , lavar trastes</v>
      </c>
      <c r="X103" s="1" t="str">
        <f ca="1">IFERROR(__xludf.DUMMYFUNCTION("""COMPUTED_VALUE"""),"C. Suelo buscar que el trabajo se realice en equipo, E. Me gusta el trabajo con niños, H. Soy organizado (a), J. Me gusta la atención a las personas, K. Soy creativo (a)")</f>
        <v>C. Suelo buscar que el trabajo se realice en equipo, E. Me gusta el trabajo con niños, H. Soy organizado (a), J. Me gusta la atención a las personas, K. Soy creativo (a)</v>
      </c>
      <c r="Y103" s="1" t="str">
        <f ca="1">IFERROR(__xludf.DUMMYFUNCTION("""COMPUTED_VALUE"""),"Si  en las primeras de jóvenes")</f>
        <v>Si  en las primeras de jóvenes</v>
      </c>
      <c r="Z103" s="1"/>
    </row>
    <row r="104" spans="1:26" x14ac:dyDescent="0.35">
      <c r="A104" s="3">
        <f ca="1">IFERROR(__xludf.DUMMYFUNCTION("""COMPUTED_VALUE"""),45817.8038541666)</f>
        <v>45817.803854166603</v>
      </c>
      <c r="B104" s="1"/>
      <c r="C104" s="1" t="str">
        <f ca="1">IFERROR(__xludf.DUMMYFUNCTION("""COMPUTED_VALUE"""),"Dina Paola, Molina Bonilla")</f>
        <v>Dina Paola, Molina Bonilla</v>
      </c>
      <c r="D104" s="1">
        <f ca="1">IFERROR(__xludf.DUMMYFUNCTION("""COMPUTED_VALUE"""),47)</f>
        <v>47</v>
      </c>
      <c r="E104" s="1" t="str">
        <f ca="1">IFERROR(__xludf.DUMMYFUNCTION("""COMPUTED_VALUE"""),"Mujer")</f>
        <v>Mujer</v>
      </c>
      <c r="F104" s="1" t="str">
        <f ca="1">IFERROR(__xludf.DUMMYFUNCTION("""COMPUTED_VALUE"""),"Oaxaca, Mexico")</f>
        <v>Oaxaca, Mexico</v>
      </c>
      <c r="G104" s="1" t="str">
        <f ca="1">IFERROR(__xludf.DUMMYFUNCTION("""COMPUTED_VALUE"""),"dinamolina@hotmail.com")</f>
        <v>dinamolina@hotmail.com</v>
      </c>
      <c r="H104" s="1">
        <f ca="1">IFERROR(__xludf.DUMMYFUNCTION("""COMPUTED_VALUE"""),529511066703)</f>
        <v>529511066703</v>
      </c>
      <c r="I104" s="1" t="str">
        <f ca="1">IFERROR(__xludf.DUMMYFUNCTION("""COMPUTED_VALUE"""),"Semana de niños y niñas (21-25) Julio")</f>
        <v>Semana de niños y niñas (21-25) Julio</v>
      </c>
      <c r="J104" s="1" t="str">
        <f ca="1">IFERROR(__xludf.DUMMYFUNCTION("""COMPUTED_VALUE"""),"Lectura libre de la biblia")</f>
        <v>Lectura libre de la biblia</v>
      </c>
      <c r="K104" s="1" t="str">
        <f ca="1">IFERROR(__xludf.DUMMYFUNCTION("""COMPUTED_VALUE"""),"Campamento de Dios")</f>
        <v>Campamento de Dios</v>
      </c>
      <c r="L104" s="1" t="str">
        <f ca="1">IFERROR(__xludf.DUMMYFUNCTION("""COMPUTED_VALUE"""),"Jorge Carranza")</f>
        <v>Jorge Carranza</v>
      </c>
      <c r="M104" s="1">
        <f ca="1">IFERROR(__xludf.DUMMYFUNCTION("""COMPUTED_VALUE"""),529511066703)</f>
        <v>529511066703</v>
      </c>
      <c r="N104" s="1" t="str">
        <f ca="1">IFERROR(__xludf.DUMMYFUNCTION("""COMPUTED_VALUE"""),"Pastorjorgecarranza@hotmail.com")</f>
        <v>Pastorjorgecarranza@hotmail.com</v>
      </c>
      <c r="O104" s="1" t="str">
        <f ca="1">IFERROR(__xludf.DUMMYFUNCTION("""COMPUTED_VALUE"""),"Decoracion, dirección de culto y eventos especiales")</f>
        <v>Decoracion, dirección de culto y eventos especiales</v>
      </c>
      <c r="P104" s="1" t="str">
        <f ca="1">IFERROR(__xludf.DUMMYFUNCTION("""COMPUTED_VALUE"""),"A los 6 años conozco a Jesus en una escuelita bíblica de vacaciones. Tomo la decisión de servirle a los 16 años, han pasado los años y sé que Dios me sigue moldeando para cumplir su propósito. Dar a conocer a Jesus")</f>
        <v>A los 6 años conozco a Jesus en una escuelita bíblica de vacaciones. Tomo la decisión de servirle a los 16 años, han pasado los años y sé que Dios me sigue moldeando para cumplir su propósito. Dar a conocer a Jesus</v>
      </c>
      <c r="Q104" s="1" t="str">
        <f ca="1">IFERROR(__xludf.DUMMYFUNCTION("""COMPUTED_VALUE"""),"Conozco el ministerio de Palabra de vida desde mi adolescencia, en mi juventud Gladis no se conoce el ministerio de palabra de vida y se que es un hermoso ministerio para adolescentes y jóvenes, de manera personal he invitado a los niños y he convencido a"&amp;" los padres de los niños, este año asisten mis sobrinos que no conocen del señor Jesús, Dios esta obrando en la familia de mi esposo. Soy responsable de los niños que asistirán")</f>
        <v>Conozco el ministerio de Palabra de vida desde mi adolescencia, en mi juventud Gladis no se conoce el ministerio de palabra de vida y se que es un hermoso ministerio para adolescentes y jóvenes, de manera personal he invitado a los niños y he convencido a los padres de los niños, este año asisten mis sobrinos que no conocen del señor Jesús, Dios esta obrando en la familia de mi esposo. Soy responsable de los niños que asistirán</v>
      </c>
      <c r="R104" s="1" t="str">
        <f ca="1">IFERROR(__xludf.DUMMYFUNCTION("""COMPUTED_VALUE"""),"No")</f>
        <v>No</v>
      </c>
      <c r="S104" s="1"/>
      <c r="T104" s="1" t="str">
        <f ca="1">IFERROR(__xludf.DUMMYFUNCTION("""COMPUTED_VALUE"""),"No")</f>
        <v>No</v>
      </c>
      <c r="U104" s="1"/>
      <c r="V104" s="1" t="str">
        <f ca="1">IFERROR(__xludf.DUMMYFUNCTION("""COMPUTED_VALUE"""),"Estudie comercio Exterior y tengo una maestría en administración")</f>
        <v>Estudie comercio Exterior y tengo una maestría en administración</v>
      </c>
      <c r="W104" s="1" t="str">
        <f ca="1">IFERROR(__xludf.DUMMYFUNCTION("""COMPUTED_VALUE"""),"Administración. Organización")</f>
        <v>Administración. Organización</v>
      </c>
      <c r="X104" s="1" t="str">
        <f ca="1">IFERROR(__xludf.DUMMYFUNCTION("""COMPUTED_VALUE"""),"G. Soy más eficiente en el trabajo individual, H. Soy organizado (a), J. Me gusta la atención a las personas, K. Soy creativo (a), L. Soy bueno (a) en canto o algún instrumento, M. Soy bueno (a) con los números, N. Suelo llevar el liderazgo en un grupo, O"&amp;". Puedo enseñar con facilidad")</f>
        <v>G. Soy más eficiente en el trabajo individual, H. Soy organizado (a), J. Me gusta la atención a las personas, K. Soy creativo (a), L. Soy bueno (a) en canto o algún instrumento, M. Soy bueno (a) con los números, N. Suelo llevar el liderazgo en un grupo, O. Puedo enseñar con facilidad</v>
      </c>
      <c r="Y104" s="1" t="str">
        <f ca="1">IFERROR(__xludf.DUMMYFUNCTION("""COMPUTED_VALUE"""),"No")</f>
        <v>No</v>
      </c>
      <c r="Z104" s="1"/>
    </row>
    <row r="105" spans="1:26" x14ac:dyDescent="0.35">
      <c r="A105" s="3">
        <f ca="1">IFERROR(__xludf.DUMMYFUNCTION("""COMPUTED_VALUE"""),45817.8063657407)</f>
        <v>45817.806365740696</v>
      </c>
      <c r="B105" s="1"/>
      <c r="C105" s="1" t="str">
        <f ca="1">IFERROR(__xludf.DUMMYFUNCTION("""COMPUTED_VALUE"""),"Saira Denisse, Martinez Martinez")</f>
        <v>Saira Denisse, Martinez Martinez</v>
      </c>
      <c r="D105" s="1">
        <f ca="1">IFERROR(__xludf.DUMMYFUNCTION("""COMPUTED_VALUE"""),40)</f>
        <v>40</v>
      </c>
      <c r="E105" s="1" t="str">
        <f ca="1">IFERROR(__xludf.DUMMYFUNCTION("""COMPUTED_VALUE"""),"Mujer")</f>
        <v>Mujer</v>
      </c>
      <c r="F105" s="1" t="str">
        <f ca="1">IFERROR(__xludf.DUMMYFUNCTION("""COMPUTED_VALUE"""),"Oaxaca, Mexico")</f>
        <v>Oaxaca, Mexico</v>
      </c>
      <c r="G105" s="1" t="str">
        <f ca="1">IFERROR(__xludf.DUMMYFUNCTION("""COMPUTED_VALUE"""),"saideninat@gmail.com")</f>
        <v>saideninat@gmail.com</v>
      </c>
      <c r="H105" s="1">
        <f ca="1">IFERROR(__xludf.DUMMYFUNCTION("""COMPUTED_VALUE"""),529512267123)</f>
        <v>529512267123</v>
      </c>
      <c r="I105" s="1" t="str">
        <f ca="1">IFERROR(__xludf.DUMMYFUNCTION("""COMPUTED_VALUE"""),"Semana de niños y niñas (21-25) Julio")</f>
        <v>Semana de niños y niñas (21-25) Julio</v>
      </c>
      <c r="J105" s="1" t="str">
        <f ca="1">IFERROR(__xludf.DUMMYFUNCTION("""COMPUTED_VALUE"""),"Devocional de Bendición para tu familia")</f>
        <v>Devocional de Bendición para tu familia</v>
      </c>
      <c r="K105" s="1" t="str">
        <f ca="1">IFERROR(__xludf.DUMMYFUNCTION("""COMPUTED_VALUE"""),"Campamento de Dios")</f>
        <v>Campamento de Dios</v>
      </c>
      <c r="L105" s="1" t="str">
        <f ca="1">IFERROR(__xludf.DUMMYFUNCTION("""COMPUTED_VALUE"""),"Jorge Carranza")</f>
        <v>Jorge Carranza</v>
      </c>
      <c r="M105" s="1">
        <f ca="1">IFERROR(__xludf.DUMMYFUNCTION("""COMPUTED_VALUE"""),527555572728)</f>
        <v>527555572728</v>
      </c>
      <c r="N105" s="1" t="str">
        <f ca="1">IFERROR(__xludf.DUMMYFUNCTION("""COMPUTED_VALUE"""),"Pastorjorgecarranza@hotmail.com")</f>
        <v>Pastorjorgecarranza@hotmail.com</v>
      </c>
      <c r="O105" s="1" t="str">
        <f ca="1">IFERROR(__xludf.DUMMYFUNCTION("""COMPUTED_VALUE"""),"Proclamación")</f>
        <v>Proclamación</v>
      </c>
      <c r="P105" s="1" t="str">
        <f ca="1">IFERROR(__xludf.DUMMYFUNCTION("""COMPUTED_VALUE"""),"Soy viuda desde hace 4 años y medio 
Mi hijo de 6 años en esos momentos pasó un proceso muy complicado, por la pérdida de su papá. Llegamos a Campamento de Dios por escuelita bíblica y de ahí mi hijo dijo que quería ir a la iglesia cada domingo. 
Y Dios f"&amp;"ue sanando su corazón y a mi darme sabiduría en nuestro caminar. Hace un año nos bautizamos, y nuestra vida ha cambiado. Este año ha sido de muchas bendiciones")</f>
        <v>Soy viuda desde hace 4 años y medio 
Mi hijo de 6 años en esos momentos pasó un proceso muy complicado, por la pérdida de su papá. Llegamos a Campamento de Dios por escuelita bíblica y de ahí mi hijo dijo que quería ir a la iglesia cada domingo. 
Y Dios fue sanando su corazón y a mi darme sabiduría en nuestro caminar. Hace un año nos bautizamos, y nuestra vida ha cambiado. Este año ha sido de muchas bendiciones</v>
      </c>
      <c r="Q105" s="1" t="str">
        <f ca="1">IFERROR(__xludf.DUMMYFUNCTION("""COMPUTED_VALUE"""),"Por que ya di servicio y es un momento de plenitud, enseñanza, y llevamos también más niños al campamento.")</f>
        <v>Por que ya di servicio y es un momento de plenitud, enseñanza, y llevamos también más niños al campamento.</v>
      </c>
      <c r="R105" s="1" t="str">
        <f ca="1">IFERROR(__xludf.DUMMYFUNCTION("""COMPUTED_VALUE"""),"Si")</f>
        <v>Si</v>
      </c>
      <c r="S105" s="1" t="str">
        <f ca="1">IFERROR(__xludf.DUMMYFUNCTION("""COMPUTED_VALUE"""),"Correr y Gimnasio")</f>
        <v>Correr y Gimnasio</v>
      </c>
      <c r="T105" s="1" t="str">
        <f ca="1">IFERROR(__xludf.DUMMYFUNCTION("""COMPUTED_VALUE"""),"No")</f>
        <v>No</v>
      </c>
      <c r="U105" s="1"/>
      <c r="V105" s="1" t="str">
        <f ca="1">IFERROR(__xludf.DUMMYFUNCTION("""COMPUTED_VALUE"""),"Soy ingeniero industrial y me dedico a ventas")</f>
        <v>Soy ingeniero industrial y me dedico a ventas</v>
      </c>
      <c r="W105" s="1" t="str">
        <f ca="1">IFERROR(__xludf.DUMMYFUNCTION("""COMPUTED_VALUE"""),"Administración de recursos, mejora de procesos, mejora continua, análisis de procesos, ventas y liderazgo de equipos")</f>
        <v>Administración de recursos, mejora de procesos, mejora continua, análisis de procesos, ventas y liderazgo de equipos</v>
      </c>
      <c r="X105" s="1" t="str">
        <f ca="1">IFERROR(__xludf.DUMMYFUNCTION("""COMPUTED_VALUE"""),"B. Me gusta animar a las personas, C. Suelo buscar que el trabajo se realice en equipo, E. Me gusta el trabajo con niños, H. Soy organizado (a), J. Me gusta la atención a las personas, K. Soy creativo (a), M. Soy bueno (a) con los números, N. Suelo llevar"&amp;" el liderazgo en un grupo, O. Puedo enseñar con facilidad")</f>
        <v>B. Me gusta animar a las personas, C. Suelo buscar que el trabajo se realice en equipo, E. Me gusta el trabajo con niños, H. Soy organizado (a), J. Me gusta la atención a las personas, K. Soy creativo (a), M. Soy bueno (a) con los números, N. Suelo llevar el liderazgo en un grupo, O. Puedo enseñar con facilidad</v>
      </c>
      <c r="Y105" s="1" t="str">
        <f ca="1">IFERROR(__xludf.DUMMYFUNCTION("""COMPUTED_VALUE"""),"No")</f>
        <v>No</v>
      </c>
      <c r="Z105" s="1"/>
    </row>
    <row r="106" spans="1:26" x14ac:dyDescent="0.35">
      <c r="A106" s="3">
        <f ca="1">IFERROR(__xludf.DUMMYFUNCTION("""COMPUTED_VALUE"""),45817.8083680555)</f>
        <v>45817.808368055499</v>
      </c>
      <c r="B106" s="1"/>
      <c r="C106" s="1" t="str">
        <f ca="1">IFERROR(__xludf.DUMMYFUNCTION("""COMPUTED_VALUE"""),"Jesus Rene, Aquino Perez")</f>
        <v>Jesus Rene, Aquino Perez</v>
      </c>
      <c r="D106" s="1">
        <f ca="1">IFERROR(__xludf.DUMMYFUNCTION("""COMPUTED_VALUE"""),50)</f>
        <v>50</v>
      </c>
      <c r="E106" s="1" t="str">
        <f ca="1">IFERROR(__xludf.DUMMYFUNCTION("""COMPUTED_VALUE"""),"Hombre")</f>
        <v>Hombre</v>
      </c>
      <c r="F106" s="1" t="str">
        <f ca="1">IFERROR(__xludf.DUMMYFUNCTION("""COMPUTED_VALUE"""),"Oaxaca, Mexico")</f>
        <v>Oaxaca, Mexico</v>
      </c>
      <c r="G106" s="1" t="str">
        <f ca="1">IFERROR(__xludf.DUMMYFUNCTION("""COMPUTED_VALUE"""),"jesusaquino@hotmail.com")</f>
        <v>jesusaquino@hotmail.com</v>
      </c>
      <c r="H106" s="1">
        <f ca="1">IFERROR(__xludf.DUMMYFUNCTION("""COMPUTED_VALUE"""),529511066703)</f>
        <v>529511066703</v>
      </c>
      <c r="I106" s="1" t="str">
        <f ca="1">IFERROR(__xludf.DUMMYFUNCTION("""COMPUTED_VALUE"""),"Semana de niños y niñas (21-25) Julio")</f>
        <v>Semana de niños y niñas (21-25) Julio</v>
      </c>
      <c r="J106" s="1" t="str">
        <f ca="1">IFERROR(__xludf.DUMMYFUNCTION("""COMPUTED_VALUE"""),"Lectura libre de la biblia")</f>
        <v>Lectura libre de la biblia</v>
      </c>
      <c r="K106" s="1" t="str">
        <f ca="1">IFERROR(__xludf.DUMMYFUNCTION("""COMPUTED_VALUE"""),"Campamento de Dios")</f>
        <v>Campamento de Dios</v>
      </c>
      <c r="L106" s="1" t="str">
        <f ca="1">IFERROR(__xludf.DUMMYFUNCTION("""COMPUTED_VALUE"""),"Jorge Carranza")</f>
        <v>Jorge Carranza</v>
      </c>
      <c r="M106" s="1">
        <f ca="1">IFERROR(__xludf.DUMMYFUNCTION("""COMPUTED_VALUE"""),529511066704)</f>
        <v>529511066704</v>
      </c>
      <c r="N106" s="1" t="str">
        <f ca="1">IFERROR(__xludf.DUMMYFUNCTION("""COMPUTED_VALUE"""),"Pastorjorgecarranza@hotmail.com")</f>
        <v>Pastorjorgecarranza@hotmail.com</v>
      </c>
      <c r="O106" s="1" t="str">
        <f ca="1">IFERROR(__xludf.DUMMYFUNCTION("""COMPUTED_VALUE"""),"Dirección de culto, líder de varones y asesor legal de la iglesia")</f>
        <v>Dirección de culto, líder de varones y asesor legal de la iglesia</v>
      </c>
      <c r="P106" s="1" t="str">
        <f ca="1">IFERROR(__xludf.DUMMYFUNCTION("""COMPUTED_VALUE"""),"Conocí del señor en un grupo de jóvenes a mis 30 y ahí tomé mi decisión por Cristo. Mi abuelo paterno siempre me habló de las cosas de Dios desde Niño.")</f>
        <v>Conocí del señor en un grupo de jóvenes a mis 30 y ahí tomé mi decisión por Cristo. Mi abuelo paterno siempre me habló de las cosas de Dios desde Niño.</v>
      </c>
      <c r="Q106" s="1" t="str">
        <f ca="1">IFERROR(__xludf.DUMMYFUNCTION("""COMPUTED_VALUE"""),"Porque estoy llevando un grupo de niños, a mi hija y mis sobrinos que no conocen de Cristo. Además de los demás chicos de mi iglesia y soy responsable de ellos.")</f>
        <v>Porque estoy llevando un grupo de niños, a mi hija y mis sobrinos que no conocen de Cristo. Además de los demás chicos de mi iglesia y soy responsable de ellos.</v>
      </c>
      <c r="R106" s="1" t="str">
        <f ca="1">IFERROR(__xludf.DUMMYFUNCTION("""COMPUTED_VALUE"""),"No")</f>
        <v>No</v>
      </c>
      <c r="S106" s="1"/>
      <c r="T106" s="1" t="str">
        <f ca="1">IFERROR(__xludf.DUMMYFUNCTION("""COMPUTED_VALUE"""),"No")</f>
        <v>No</v>
      </c>
      <c r="U106" s="1"/>
      <c r="V106" s="1" t="str">
        <f ca="1">IFERROR(__xludf.DUMMYFUNCTION("""COMPUTED_VALUE"""),"Soy abogado")</f>
        <v>Soy abogado</v>
      </c>
      <c r="W106" s="1" t="str">
        <f ca="1">IFERROR(__xludf.DUMMYFUNCTION("""COMPUTED_VALUE"""),"Abogado corporativo. He dado clases a jóvenes y adolescentes")</f>
        <v>Abogado corporativo. He dado clases a jóvenes y adolescentes</v>
      </c>
      <c r="X106" s="1" t="str">
        <f ca="1">IFERROR(__xludf.DUMMYFUNCTION("""COMPUTED_VALUE"""),"G. Soy más eficiente en el trabajo individual, J. Me gusta la atención a las personas, N. Suelo llevar el liderazgo en un grupo, O. Puedo enseñar con facilidad")</f>
        <v>G. Soy más eficiente en el trabajo individual, J. Me gusta la atención a las personas, N. Suelo llevar el liderazgo en un grupo, O. Puedo enseñar con facilidad</v>
      </c>
      <c r="Y106" s="1" t="str">
        <f ca="1">IFERROR(__xludf.DUMMYFUNCTION("""COMPUTED_VALUE"""),"No")</f>
        <v>No</v>
      </c>
      <c r="Z106" s="1"/>
    </row>
    <row r="107" spans="1:26" x14ac:dyDescent="0.35">
      <c r="A107" s="2">
        <f ca="1">IFERROR(__xludf.DUMMYFUNCTION("""COMPUTED_VALUE"""),45818.6952893518)</f>
        <v>45818.695289351803</v>
      </c>
      <c r="B107" s="1"/>
      <c r="C107" s="1" t="str">
        <f ca="1">IFERROR(__xludf.DUMMYFUNCTION("""COMPUTED_VALUE"""),"Marian, Santana Melo")</f>
        <v>Marian, Santana Melo</v>
      </c>
      <c r="D107" s="1">
        <f ca="1">IFERROR(__xludf.DUMMYFUNCTION("""COMPUTED_VALUE"""),23)</f>
        <v>23</v>
      </c>
      <c r="E107" s="1" t="str">
        <f ca="1">IFERROR(__xludf.DUMMYFUNCTION("""COMPUTED_VALUE"""),"Mujer")</f>
        <v>Mujer</v>
      </c>
      <c r="F107" s="1" t="str">
        <f ca="1">IFERROR(__xludf.DUMMYFUNCTION("""COMPUTED_VALUE"""),"Queretaro, Mexico")</f>
        <v>Queretaro, Mexico</v>
      </c>
      <c r="G107" s="1" t="str">
        <f ca="1">IFERROR(__xludf.DUMMYFUNCTION("""COMPUTED_VALUE"""),"m.santana.melo7@gmail.com")</f>
        <v>m.santana.melo7@gmail.com</v>
      </c>
      <c r="H107" s="1">
        <f ca="1">IFERROR(__xludf.DUMMYFUNCTION("""COMPUTED_VALUE"""),524421430047)</f>
        <v>524421430047</v>
      </c>
      <c r="I107" s="1" t="str">
        <f ca="1">IFERROR(__xludf.DUMMYFUNCTION("""COMPUTED_VALUE"""),"Semana de entrenamiento (07 - 13) Julio, Comunidad Jóvenes + 18 (14-19) Julio")</f>
        <v>Semana de entrenamiento (07 - 13) Julio, Comunidad Jóvenes + 18 (14-19) Julio</v>
      </c>
      <c r="J107" s="1" t="str">
        <f ca="1">IFERROR(__xludf.DUMMYFUNCTION("""COMPUTED_VALUE"""),"En Jesús yo Soy")</f>
        <v>En Jesús yo Soy</v>
      </c>
      <c r="K107" s="1" t="str">
        <f ca="1">IFERROR(__xludf.DUMMYFUNCTION("""COMPUTED_VALUE"""),"Iglesia Bíblica Juriquilla")</f>
        <v>Iglesia Bíblica Juriquilla</v>
      </c>
      <c r="L107" s="1" t="str">
        <f ca="1">IFERROR(__xludf.DUMMYFUNCTION("""COMPUTED_VALUE"""),"Pablo Ferrari")</f>
        <v>Pablo Ferrari</v>
      </c>
      <c r="M107" s="1">
        <f ca="1">IFERROR(__xludf.DUMMYFUNCTION("""COMPUTED_VALUE"""),524423303874)</f>
        <v>524423303874</v>
      </c>
      <c r="N107" s="1" t="str">
        <f ca="1">IFERROR(__xludf.DUMMYFUNCTION("""COMPUTED_VALUE"""),"pabloyfrine@gmail.com")</f>
        <v>pabloyfrine@gmail.com</v>
      </c>
      <c r="O107" s="1" t="str">
        <f ca="1">IFERROR(__xludf.DUMMYFUNCTION("""COMPUTED_VALUE"""),"Grupo de Jóvenes, Canasta de Amor.")</f>
        <v>Grupo de Jóvenes, Canasta de Amor.</v>
      </c>
      <c r="P107" s="1" t="str">
        <f ca="1">IFERROR(__xludf.DUMMYFUNCTION("""COMPUTED_VALUE"""),"Nací en una familia cristiana pero me fui dando cuenta que no solo era algo que se heredaba si no, que necesitaba de Dios en mi vida, lo acepté cuando tenía 8-9 años y desde ahí fui creciendo con una fe fuerte.")</f>
        <v>Nací en una familia cristiana pero me fui dando cuenta que no solo era algo que se heredaba si no, que necesitaba de Dios en mi vida, lo acepté cuando tenía 8-9 años y desde ahí fui creciendo con una fe fuerte.</v>
      </c>
      <c r="Q107" s="1" t="str">
        <f ca="1">IFERROR(__xludf.DUMMYFUNCTION("""COMPUTED_VALUE"""),"Me gusta servir y sería una experiencia buena.")</f>
        <v>Me gusta servir y sería una experiencia buena.</v>
      </c>
      <c r="R107" s="1" t="str">
        <f ca="1">IFERROR(__xludf.DUMMYFUNCTION("""COMPUTED_VALUE"""),"No")</f>
        <v>No</v>
      </c>
      <c r="S107" s="1"/>
      <c r="T107" s="1" t="str">
        <f ca="1">IFERROR(__xludf.DUMMYFUNCTION("""COMPUTED_VALUE"""),"No")</f>
        <v>No</v>
      </c>
      <c r="U107" s="1"/>
      <c r="V107" s="1" t="str">
        <f ca="1">IFERROR(__xludf.DUMMYFUNCTION("""COMPUTED_VALUE"""),"Idiomas")</f>
        <v>Idiomas</v>
      </c>
      <c r="W107" s="1" t="str">
        <f ca="1">IFERROR(__xludf.DUMMYFUNCTION("""COMPUTED_VALUE"""),"Repostería, maestra, liderazgo, responsable, entusiasta, iniciativa.")</f>
        <v>Repostería, maestra, liderazgo, responsable, entusiasta, iniciativa.</v>
      </c>
      <c r="X107" s="1" t="str">
        <f ca="1">IFERROR(__xludf.DUMMYFUNCTION("""COMPUTED_VALUE"""),"B. Me gusta animar a las personas, C. Suelo buscar que el trabajo se realice en equipo, H. Soy organizado (a), J. Me gusta la atención a las personas, K. Soy creativo (a), L. Soy bueno (a) en canto o algún instrumento, N. Suelo llevar el liderazgo en un g"&amp;"rupo, O. Puedo enseñar con facilidad")</f>
        <v>B. Me gusta animar a las personas, C. Suelo buscar que el trabajo se realice en equipo, H. Soy organizado (a), J. Me gusta la atención a las personas, K. Soy creativo (a), L. Soy bueno (a) en canto o algún instrumento, N. Suelo llevar el liderazgo en un grupo, O. Puedo enseñar con facilidad</v>
      </c>
      <c r="Y107" s="1" t="str">
        <f ca="1">IFERROR(__xludf.DUMMYFUNCTION("""COMPUTED_VALUE"""),"No")</f>
        <v>No</v>
      </c>
      <c r="Z107" s="1"/>
    </row>
    <row r="108" spans="1:26" x14ac:dyDescent="0.35">
      <c r="A108" s="2">
        <f ca="1">IFERROR(__xludf.DUMMYFUNCTION("""COMPUTED_VALUE"""),45818.7838541666)</f>
        <v>45818.783854166599</v>
      </c>
      <c r="B108" s="1"/>
      <c r="C108" s="1" t="str">
        <f ca="1">IFERROR(__xludf.DUMMYFUNCTION("""COMPUTED_VALUE"""),"Eric Gabriel, Sala Bernaldez")</f>
        <v>Eric Gabriel, Sala Bernaldez</v>
      </c>
      <c r="D108" s="1">
        <f ca="1">IFERROR(__xludf.DUMMYFUNCTION("""COMPUTED_VALUE"""),19)</f>
        <v>19</v>
      </c>
      <c r="E108" s="1" t="str">
        <f ca="1">IFERROR(__xludf.DUMMYFUNCTION("""COMPUTED_VALUE"""),"Hombre")</f>
        <v>Hombre</v>
      </c>
      <c r="F108" s="1" t="str">
        <f ca="1">IFERROR(__xludf.DUMMYFUNCTION("""COMPUTED_VALUE"""),"Mexico, Mexico")</f>
        <v>Mexico, Mexico</v>
      </c>
      <c r="G108" s="1" t="str">
        <f ca="1">IFERROR(__xludf.DUMMYFUNCTION("""COMPUTED_VALUE"""),"e.g.livingroom06@gmail.com")</f>
        <v>e.g.livingroom06@gmail.com</v>
      </c>
      <c r="H108" s="1">
        <f ca="1">IFERROR(__xludf.DUMMYFUNCTION("""COMPUTED_VALUE"""),528184614842)</f>
        <v>528184614842</v>
      </c>
      <c r="I108" s="1" t="str">
        <f ca="1">IFERROR(__xludf.DUMMYFUNCTION("""COMPUTED_VALUE"""),"Semana de entrenamiento (07 - 13) Julio, Semana de niños y niñas (21-25) Julio, Jóvenes de 13 – 17 años / SEM1/ (28 Julio a 02 de agosto), Jóvenes de 13 – 17 años / SEM2/ (4 - 09 agosto)")</f>
        <v>Semana de entrenamiento (07 - 13) Julio, Semana de niños y niñas (21-25) Julio, Jóvenes de 13 – 17 años / SEM1/ (28 Julio a 02 de agosto), Jóvenes de 13 – 17 años / SEM2/ (4 - 09 agosto)</v>
      </c>
      <c r="J108" s="1" t="str">
        <f ca="1">IFERROR(__xludf.DUMMYFUNCTION("""COMPUTED_VALUE"""),"La Belleza de La Cruz")</f>
        <v>La Belleza de La Cruz</v>
      </c>
      <c r="K108" s="1" t="str">
        <f ca="1">IFERROR(__xludf.DUMMYFUNCTION("""COMPUTED_VALUE"""),"Iglesia Bautista de La Capital")</f>
        <v>Iglesia Bautista de La Capital</v>
      </c>
      <c r="L108" s="1" t="str">
        <f ca="1">IFERROR(__xludf.DUMMYFUNCTION("""COMPUTED_VALUE"""),"Enio Jacintos Pineda")</f>
        <v>Enio Jacintos Pineda</v>
      </c>
      <c r="M108" s="1">
        <f ca="1">IFERROR(__xludf.DUMMYFUNCTION("""COMPUTED_VALUE"""),528717897929)</f>
        <v>528717897929</v>
      </c>
      <c r="N108" s="1" t="str">
        <f ca="1">IFERROR(__xludf.DUMMYFUNCTION("""COMPUTED_VALUE"""),"paspineda@gmail.com")</f>
        <v>paspineda@gmail.com</v>
      </c>
      <c r="O108" s="1" t="str">
        <f ca="1">IFERROR(__xludf.DUMMYFUNCTION("""COMPUTED_VALUE"""),"Limpieza de la Iglesia")</f>
        <v>Limpieza de la Iglesia</v>
      </c>
      <c r="P108" s="1" t="str">
        <f ca="1">IFERROR(__xludf.DUMMYFUNCTION("""COMPUTED_VALUE"""),"Nací en familia evangélica. Todos los días el Señor Jesucristo me recuerda el Gran Sacrificio que hizo por mí. Todos los días escojo seguirlo y tomar mi cruz. Él me salva y rescata todos los días de mi pecado, y está conmigo todos los días hasta que Él re"&amp;"grese; como Él lo prometió.")</f>
        <v>Nací en familia evangélica. Todos los días el Señor Jesucristo me recuerda el Gran Sacrificio que hizo por mí. Todos los días escojo seguirlo y tomar mi cruz. Él me salva y rescata todos los días de mi pecado, y está conmigo todos los días hasta que Él regrese; como Él lo prometió.</v>
      </c>
      <c r="Q108" s="1" t="str">
        <f ca="1">IFERROR(__xludf.DUMMYFUNCTION("""COMPUTED_VALUE"""),"He sido campista 2 años ya, conozco a algunas personas ahí y me han recomendado e instado a ser parte del equipo de Verano, espero este año poder estar allá y acompañarlos como equipante.")</f>
        <v>He sido campista 2 años ya, conozco a algunas personas ahí y me han recomendado e instado a ser parte del equipo de Verano, espero este año poder estar allá y acompañarlos como equipante.</v>
      </c>
      <c r="R108" s="1" t="str">
        <f ca="1">IFERROR(__xludf.DUMMYFUNCTION("""COMPUTED_VALUE"""),"Si")</f>
        <v>Si</v>
      </c>
      <c r="S108" s="1" t="str">
        <f ca="1">IFERROR(__xludf.DUMMYFUNCTION("""COMPUTED_VALUE"""),"Voleibol, pero no soy muy bueno")</f>
        <v>Voleibol, pero no soy muy bueno</v>
      </c>
      <c r="T108" s="1" t="str">
        <f ca="1">IFERROR(__xludf.DUMMYFUNCTION("""COMPUTED_VALUE"""),"Si")</f>
        <v>Si</v>
      </c>
      <c r="U108" s="1" t="str">
        <f ca="1">IFERROR(__xludf.DUMMYFUNCTION("""COMPUTED_VALUE"""),"Guitarra")</f>
        <v>Guitarra</v>
      </c>
      <c r="V108" s="1" t="str">
        <f ca="1">IFERROR(__xludf.DUMMYFUNCTION("""COMPUTED_VALUE"""),"Diseño gráfico y Lenguajes")</f>
        <v>Diseño gráfico y Lenguajes</v>
      </c>
      <c r="W108" s="1" t="str">
        <f ca="1">IFERROR(__xludf.DUMMYFUNCTION("""COMPUTED_VALUE"""),"Me gusta limpiar y crear conexiones con las personas")</f>
        <v>Me gusta limpiar y crear conexiones con las personas</v>
      </c>
      <c r="X108" s="1" t="str">
        <f ca="1">IFERROR(__xludf.DUMMYFUNCTION("""COMPUTED_VALUE"""),"B. Me gusta animar a las personas, J. Me gusta la atención a las personas, K. Soy creativo (a), L. Soy bueno (a) en canto o algún instrumento, O. Puedo enseñar con facilidad")</f>
        <v>B. Me gusta animar a las personas, J. Me gusta la atención a las personas, K. Soy creativo (a), L. Soy bueno (a) en canto o algún instrumento, O. Puedo enseñar con facilidad</v>
      </c>
      <c r="Y108" s="1" t="str">
        <f ca="1">IFERROR(__xludf.DUMMYFUNCTION("""COMPUTED_VALUE"""),"Sí, 2022 y 2024")</f>
        <v>Sí, 2022 y 2024</v>
      </c>
      <c r="Z108" s="1"/>
    </row>
    <row r="109" spans="1:26" x14ac:dyDescent="0.35">
      <c r="A109" s="2">
        <f ca="1">IFERROR(__xludf.DUMMYFUNCTION("""COMPUTED_VALUE"""),45818.9375462963)</f>
        <v>45818.9375462963</v>
      </c>
      <c r="B109" s="1"/>
      <c r="C109" s="1" t="str">
        <f ca="1">IFERROR(__xludf.DUMMYFUNCTION("""COMPUTED_VALUE"""),"Elián, Hernández Macías")</f>
        <v>Elián, Hernández Macías</v>
      </c>
      <c r="D109" s="1">
        <f ca="1">IFERROR(__xludf.DUMMYFUNCTION("""COMPUTED_VALUE"""),17)</f>
        <v>17</v>
      </c>
      <c r="E109" s="1" t="str">
        <f ca="1">IFERROR(__xludf.DUMMYFUNCTION("""COMPUTED_VALUE"""),"Hombre")</f>
        <v>Hombre</v>
      </c>
      <c r="F109" s="1" t="str">
        <f ca="1">IFERROR(__xludf.DUMMYFUNCTION("""COMPUTED_VALUE"""),"Queretaro, Mexico")</f>
        <v>Queretaro, Mexico</v>
      </c>
      <c r="G109" s="1" t="str">
        <f ca="1">IFERROR(__xludf.DUMMYFUNCTION("""COMPUTED_VALUE"""),"cimc.elian.hernandez@gmail.com")</f>
        <v>cimc.elian.hernandez@gmail.com</v>
      </c>
      <c r="H109" s="1">
        <f ca="1">IFERROR(__xludf.DUMMYFUNCTION("""COMPUTED_VALUE"""),524421587273)</f>
        <v>524421587273</v>
      </c>
      <c r="I109" s="1" t="str">
        <f ca="1">IFERROR(__xludf.DUMMYFUNCTION("""COMPUTED_VALUE"""),"Comunidad Jóvenes + 18 (14-19) Julio, Jóvenes de 13 – 17 años / SEM2/ (4 - 09 agosto), Jóvenes de 13 – 17 años / SEM3/ (11 - 16 agosto)")</f>
        <v>Comunidad Jóvenes + 18 (14-19) Julio, Jóvenes de 13 – 17 años / SEM2/ (4 - 09 agosto), Jóvenes de 13 – 17 años / SEM3/ (11 - 16 agosto)</v>
      </c>
      <c r="J109" s="1" t="str">
        <f ca="1">IFERROR(__xludf.DUMMYFUNCTION("""COMPUTED_VALUE"""),"Diario Devocional de un año (Hora Silenciosa)")</f>
        <v>Diario Devocional de un año (Hora Silenciosa)</v>
      </c>
      <c r="K109" s="1" t="str">
        <f ca="1">IFERROR(__xludf.DUMMYFUNCTION("""COMPUTED_VALUE"""),"Conexión Vertical")</f>
        <v>Conexión Vertical</v>
      </c>
      <c r="L109" s="1" t="str">
        <f ca="1">IFERROR(__xludf.DUMMYFUNCTION("""COMPUTED_VALUE"""),"Marcelo Jorquera")</f>
        <v>Marcelo Jorquera</v>
      </c>
      <c r="M109" s="1">
        <f ca="1">IFERROR(__xludf.DUMMYFUNCTION("""COMPUTED_VALUE"""),524411000876)</f>
        <v>524411000876</v>
      </c>
      <c r="N109" s="1" t="str">
        <f ca="1">IFERROR(__xludf.DUMMYFUNCTION("""COMPUTED_VALUE"""),"mdjorquerap@gmail.com")</f>
        <v>mdjorquerap@gmail.com</v>
      </c>
      <c r="O109" s="1" t="str">
        <f ca="1">IFERROR(__xludf.DUMMYFUNCTION("""COMPUTED_VALUE"""),"Cafetería, Anfitriones, Líder de Jovenes")</f>
        <v>Cafetería, Anfitriones, Líder de Jovenes</v>
      </c>
      <c r="P109" s="1" t="str">
        <f ca="1">IFERROR(__xludf.DUMMYFUNCTION("""COMPUTED_VALUE"""),"Yo entendí el evangelio muy chico. Racionalmente, sabía que Cristo había venido para darnos salvación, pero no dimensionaba lo que eso significaba para mi vida. Vivía una fé prestada, y en el momento que empecé a buscar independencia, esa fe empezó a flaq"&amp;"uear. Fue cuando me invitaron a esta iglesia que una luz brillo al fondo del túnel. Una noche agosto de 2023, mientras meditaba en mi semana de campamento, decidí finalmente entregar mi vida a Cristo. Decidí dejar de luchar solo contra mi pecado, pues mi "&amp;"necesidad de autosuficiencia me había vuelto renuente a aceptar involucrarme en el plan que Dios estaba ejecutando a mi alrededor. Gracias a esa invitación, no tengo que imaginarme como sería mi vida sin Cristo. Y ni siquiera puedo decir que ha sido el ca"&amp;"mbio más grande o maravilloso de mi vida, porque en ese momento comenzó una nueva vida. Y estoy agradecido por quienes se involucraron y oraron por mi, por que no puedo pensar en una sola cosa que yo haya hecho para merecer ayuda, y si en varias que ameri"&amp;"tarían lo contrario. Por eso concluyo que esto no ha sido más que un regalo de pura gracia. Y estoy eternamente agradecido por que Dios me ha provisto de una comunidad con la que compartir esto.")</f>
        <v>Yo entendí el evangelio muy chico. Racionalmente, sabía que Cristo había venido para darnos salvación, pero no dimensionaba lo que eso significaba para mi vida. Vivía una fé prestada, y en el momento que empecé a buscar independencia, esa fe empezó a flaquear. Fue cuando me invitaron a esta iglesia que una luz brillo al fondo del túnel. Una noche agosto de 2023, mientras meditaba en mi semana de campamento, decidí finalmente entregar mi vida a Cristo. Decidí dejar de luchar solo contra mi pecado, pues mi necesidad de autosuficiencia me había vuelto renuente a aceptar involucrarme en el plan que Dios estaba ejecutando a mi alrededor. Gracias a esa invitación, no tengo que imaginarme como sería mi vida sin Cristo. Y ni siquiera puedo decir que ha sido el cambio más grande o maravilloso de mi vida, porque en ese momento comenzó una nueva vida. Y estoy agradecido por quienes se involucraron y oraron por mi, por que no puedo pensar en una sola cosa que yo haya hecho para merecer ayuda, y si en varias que ameritarían lo contrario. Por eso concluyo que esto no ha sido más que un regalo de pura gracia. Y estoy eternamente agradecido por que Dios me ha provisto de una comunidad con la que compartir esto.</v>
      </c>
      <c r="Q109" s="1" t="str">
        <f ca="1">IFERROR(__xludf.DUMMYFUNCTION("""COMPUTED_VALUE"""),"Dios está trabajando en las vidas de los chicos que llegan a campamento y quiero ser parte de algo que fue tan importante para mi testimonio como lo podría ser para el de ellos")</f>
        <v>Dios está trabajando en las vidas de los chicos que llegan a campamento y quiero ser parte de algo que fue tan importante para mi testimonio como lo podría ser para el de ellos</v>
      </c>
      <c r="R109" s="1" t="str">
        <f ca="1">IFERROR(__xludf.DUMMYFUNCTION("""COMPUTED_VALUE"""),"Si")</f>
        <v>Si</v>
      </c>
      <c r="S109" s="1" t="str">
        <f ca="1">IFERROR(__xludf.DUMMYFUNCTION("""COMPUTED_VALUE"""),"Atletismo y tennis")</f>
        <v>Atletismo y tennis</v>
      </c>
      <c r="T109" s="1" t="str">
        <f ca="1">IFERROR(__xludf.DUMMYFUNCTION("""COMPUTED_VALUE"""),"Si")</f>
        <v>Si</v>
      </c>
      <c r="U109" s="1" t="str">
        <f ca="1">IFERROR(__xludf.DUMMYFUNCTION("""COMPUTED_VALUE"""),"Canto")</f>
        <v>Canto</v>
      </c>
      <c r="V109" s="1" t="str">
        <f ca="1">IFERROR(__xludf.DUMMYFUNCTION("""COMPUTED_VALUE"""),"Preparatoria A.C.E.")</f>
        <v>Preparatoria A.C.E.</v>
      </c>
      <c r="W109" s="1" t="str">
        <f ca="1">IFERROR(__xludf.DUMMYFUNCTION("""COMPUTED_VALUE"""),"He trabajado como cajero y técnico en modelado 3d dental")</f>
        <v>He trabajado como cajero y técnico en modelado 3d dental</v>
      </c>
      <c r="X109" s="1" t="str">
        <f ca="1">IFERROR(__xludf.DUMMYFUNCTION("""COMPUTED_VALUE"""),"B. Me gusta animar a las personas, C. Suelo buscar que el trabajo se realice en equipo, D. Me gustan los deportes, F. Soy eficiente en el trabajo con herramientas, equipos y maquinarias, G. Soy más eficiente en el trabajo individual, H. Soy organizado (a)"&amp;", I. Se me facilita el trabajo físico, K. Soy creativo (a), L. Soy bueno (a) en canto o algún instrumento, M. Soy bueno (a) con los números")</f>
        <v>B. Me gusta animar a las personas, C. Suelo buscar que el trabajo se realice en equipo, D. Me gustan los deportes, F. Soy eficiente en el trabajo con herramientas, equipos y maquinarias, G. Soy más eficiente en el trabajo individual, H. Soy organizado (a), I. Se me facilita el trabajo físico, K. Soy creativo (a), L. Soy bueno (a) en canto o algún instrumento, M. Soy bueno (a) con los números</v>
      </c>
      <c r="Y109" s="1" t="str">
        <f ca="1">IFERROR(__xludf.DUMMYFUNCTION("""COMPUTED_VALUE"""),"Si, 2019, 2022, 2023 como campero y 2024 como equipante en lavado y programa")</f>
        <v>Si, 2019, 2022, 2023 como campero y 2024 como equipante en lavado y programa</v>
      </c>
      <c r="Z109" s="1"/>
    </row>
    <row r="110" spans="1:26" x14ac:dyDescent="0.35">
      <c r="A110" s="2">
        <f ca="1">IFERROR(__xludf.DUMMYFUNCTION("""COMPUTED_VALUE"""),45818.9723148148)</f>
        <v>45818.972314814797</v>
      </c>
      <c r="B110" s="1"/>
      <c r="C110" s="1" t="str">
        <f ca="1">IFERROR(__xludf.DUMMYFUNCTION("""COMPUTED_VALUE"""),"Jason Noe, Rodriguez")</f>
        <v>Jason Noe, Rodriguez</v>
      </c>
      <c r="D110" s="1">
        <f ca="1">IFERROR(__xludf.DUMMYFUNCTION("""COMPUTED_VALUE"""),21)</f>
        <v>21</v>
      </c>
      <c r="E110" s="1" t="str">
        <f ca="1">IFERROR(__xludf.DUMMYFUNCTION("""COMPUTED_VALUE"""),"Hombre")</f>
        <v>Hombre</v>
      </c>
      <c r="F110" s="1" t="str">
        <f ca="1">IFERROR(__xludf.DUMMYFUNCTION("""COMPUTED_VALUE"""),"Jalisco, Mexico")</f>
        <v>Jalisco, Mexico</v>
      </c>
      <c r="G110" s="1" t="str">
        <f ca="1">IFERROR(__xludf.DUMMYFUNCTION("""COMPUTED_VALUE"""),"noe321236@gmail.com")</f>
        <v>noe321236@gmail.com</v>
      </c>
      <c r="H110" s="1">
        <f ca="1">IFERROR(__xludf.DUMMYFUNCTION("""COMPUTED_VALUE"""),523313851587)</f>
        <v>523313851587</v>
      </c>
      <c r="I110" s="1" t="str">
        <f ca="1">IFERROR(__xludf.DUMMYFUNCTION("""COMPUTED_VALUE"""),"Semana de niños y niñas (21-25) Julio, Jóvenes de 13 – 17 años / SEM1/ (28 Julio a 02 de agosto)")</f>
        <v>Semana de niños y niñas (21-25) Julio, Jóvenes de 13 – 17 años / SEM1/ (28 Julio a 02 de agosto)</v>
      </c>
      <c r="J110" s="1" t="str">
        <f ca="1">IFERROR(__xludf.DUMMYFUNCTION("""COMPUTED_VALUE"""),"Hora silenciosa")</f>
        <v>Hora silenciosa</v>
      </c>
      <c r="K110" s="1" t="str">
        <f ca="1">IFERROR(__xludf.DUMMYFUNCTION("""COMPUTED_VALUE"""),"Iglesia Vida")</f>
        <v>Iglesia Vida</v>
      </c>
      <c r="L110" s="1" t="str">
        <f ca="1">IFERROR(__xludf.DUMMYFUNCTION("""COMPUTED_VALUE"""),"Neftalí Rubio")</f>
        <v>Neftalí Rubio</v>
      </c>
      <c r="M110" s="1">
        <f ca="1">IFERROR(__xludf.DUMMYFUNCTION("""COMPUTED_VALUE"""),524411036024)</f>
        <v>524411036024</v>
      </c>
      <c r="N110" s="1" t="str">
        <f ca="1">IFERROR(__xludf.DUMMYFUNCTION("""COMPUTED_VALUE"""),"nefaly10@gmail.com")</f>
        <v>nefaly10@gmail.com</v>
      </c>
      <c r="O110" s="1" t="str">
        <f ca="1">IFERROR(__xludf.DUMMYFUNCTION("""COMPUTED_VALUE"""),"Lider de adolescentes")</f>
        <v>Lider de adolescentes</v>
      </c>
      <c r="P110" s="1" t="str">
        <f ca="1">IFERROR(__xludf.DUMMYFUNCTION("""COMPUTED_VALUE"""),"En un campamento de mi ciudad me compartieron")</f>
        <v>En un campamento de mi ciudad me compartieron</v>
      </c>
      <c r="Q110" s="1" t="str">
        <f ca="1">IFERROR(__xludf.DUMMYFUNCTION("""COMPUTED_VALUE"""),"Ya he ido varias veces")</f>
        <v>Ya he ido varias veces</v>
      </c>
      <c r="R110" s="1" t="str">
        <f ca="1">IFERROR(__xludf.DUMMYFUNCTION("""COMPUTED_VALUE"""),"Si")</f>
        <v>Si</v>
      </c>
      <c r="S110" s="1" t="str">
        <f ca="1">IFERROR(__xludf.DUMMYFUNCTION("""COMPUTED_VALUE"""),"Futbol y atletismo")</f>
        <v>Futbol y atletismo</v>
      </c>
      <c r="T110" s="1" t="str">
        <f ca="1">IFERROR(__xludf.DUMMYFUNCTION("""COMPUTED_VALUE"""),"No")</f>
        <v>No</v>
      </c>
      <c r="U110" s="1"/>
      <c r="V110" s="1" t="str">
        <f ca="1">IFERROR(__xludf.DUMMYFUNCTION("""COMPUTED_VALUE"""),"Trabajo")</f>
        <v>Trabajo</v>
      </c>
      <c r="W110" s="1" t="str">
        <f ca="1">IFERROR(__xludf.DUMMYFUNCTION("""COMPUTED_VALUE"""),"Soy muy agil")</f>
        <v>Soy muy agil</v>
      </c>
      <c r="X110" s="1" t="str">
        <f ca="1">IFERROR(__xludf.DUMMYFUNCTION("""COMPUTED_VALUE"""),"C. Suelo buscar que el trabajo se realice en equipo, D. Me gustan los deportes, J. Me gusta la atención a las personas, K. Soy creativo (a), M. Soy bueno (a) con los números")</f>
        <v>C. Suelo buscar que el trabajo se realice en equipo, D. Me gustan los deportes, J. Me gusta la atención a las personas, K. Soy creativo (a), M. Soy bueno (a) con los números</v>
      </c>
      <c r="Y110" s="1" t="str">
        <f ca="1">IFERROR(__xludf.DUMMYFUNCTION("""COMPUTED_VALUE"""),"2019, 2022 y 2023")</f>
        <v>2019, 2022 y 2023</v>
      </c>
      <c r="Z110" s="1"/>
    </row>
    <row r="111" spans="1:26" x14ac:dyDescent="0.35">
      <c r="A111" s="2">
        <f ca="1">IFERROR(__xludf.DUMMYFUNCTION("""COMPUTED_VALUE"""),45819.8058912037)</f>
        <v>45819.805891203701</v>
      </c>
      <c r="B111" s="1"/>
      <c r="C111" s="1" t="str">
        <f ca="1">IFERROR(__xludf.DUMMYFUNCTION("""COMPUTED_VALUE"""),"Abigail, Mundo Gopar")</f>
        <v>Abigail, Mundo Gopar</v>
      </c>
      <c r="D111" s="1">
        <f ca="1">IFERROR(__xludf.DUMMYFUNCTION("""COMPUTED_VALUE"""),28)</f>
        <v>28</v>
      </c>
      <c r="E111" s="1" t="str">
        <f ca="1">IFERROR(__xludf.DUMMYFUNCTION("""COMPUTED_VALUE"""),"Mujer")</f>
        <v>Mujer</v>
      </c>
      <c r="F111" s="1" t="str">
        <f ca="1">IFERROR(__xludf.DUMMYFUNCTION("""COMPUTED_VALUE"""),"Morelos, Mexico")</f>
        <v>Morelos, Mexico</v>
      </c>
      <c r="G111" s="1" t="str">
        <f ca="1">IFERROR(__xludf.DUMMYFUNCTION("""COMPUTED_VALUE"""),"abimugo14@gmail.com")</f>
        <v>abimugo14@gmail.com</v>
      </c>
      <c r="H111" s="1">
        <f ca="1">IFERROR(__xludf.DUMMYFUNCTION("""COMPUTED_VALUE"""),527777878571)</f>
        <v>527777878571</v>
      </c>
      <c r="I111" s="1" t="str">
        <f ca="1">IFERROR(__xludf.DUMMYFUNCTION("""COMPUTED_VALUE"""),"Semana de entrenamiento (07 - 13) Julio, Comunidad Jóvenes + 18 (14-19) Julio")</f>
        <v>Semana de entrenamiento (07 - 13) Julio, Comunidad Jóvenes + 18 (14-19) Julio</v>
      </c>
      <c r="J111" s="1" t="str">
        <f ca="1">IFERROR(__xludf.DUMMYFUNCTION("""COMPUTED_VALUE"""),"Bible in 52 weeks")</f>
        <v>Bible in 52 weeks</v>
      </c>
      <c r="K111" s="1" t="str">
        <f ca="1">IFERROR(__xludf.DUMMYFUNCTION("""COMPUTED_VALUE"""),"Rey de Reyes Cuernavaca")</f>
        <v>Rey de Reyes Cuernavaca</v>
      </c>
      <c r="L111" s="1" t="str">
        <f ca="1">IFERROR(__xludf.DUMMYFUNCTION("""COMPUTED_VALUE"""),"Luis Mundo")</f>
        <v>Luis Mundo</v>
      </c>
      <c r="M111" s="1">
        <f ca="1">IFERROR(__xludf.DUMMYFUNCTION("""COMPUTED_VALUE"""),527771611124)</f>
        <v>527771611124</v>
      </c>
      <c r="N111" s="1" t="str">
        <f ca="1">IFERROR(__xludf.DUMMYFUNCTION("""COMPUTED_VALUE"""),"luismundo61@gmail.com")</f>
        <v>luismundo61@gmail.com</v>
      </c>
      <c r="O111" s="1" t="str">
        <f ca="1">IFERROR(__xludf.DUMMYFUNCTION("""COMPUTED_VALUE"""),"Líder de alabanza")</f>
        <v>Líder de alabanza</v>
      </c>
      <c r="P111" s="1" t="str">
        <f ca="1">IFERROR(__xludf.DUMMYFUNCTION("""COMPUTED_VALUE"""),"Nací en hogar cristiano y siempre estuve envuelta en actividades de la iglesia, a los 8 años en un congreso recibí a Jesús en mi corazon y a los 19 un llamado específico para servir a Dios de manera especial")</f>
        <v>Nací en hogar cristiano y siempre estuve envuelta en actividades de la iglesia, a los 8 años en un congreso recibí a Jesús en mi corazon y a los 19 un llamado específico para servir a Dios de manera especial</v>
      </c>
      <c r="Q111" s="1" t="str">
        <f ca="1">IFERROR(__xludf.DUMMYFUNCTION("""COMPUTED_VALUE"""),"Me encantan los campamentos y siempre he querido estar en uno de los suyos, por la edad creo que puedo aportar algo en el área que me pidan (:")</f>
        <v>Me encantan los campamentos y siempre he querido estar en uno de los suyos, por la edad creo que puedo aportar algo en el área que me pidan (:</v>
      </c>
      <c r="R111" s="1" t="str">
        <f ca="1">IFERROR(__xludf.DUMMYFUNCTION("""COMPUTED_VALUE"""),"Si")</f>
        <v>Si</v>
      </c>
      <c r="S111" s="1" t="str">
        <f ca="1">IFERROR(__xludf.DUMMYFUNCTION("""COMPUTED_VALUE"""),"He jugado fútbol y bádminton")</f>
        <v>He jugado fútbol y bádminton</v>
      </c>
      <c r="T111" s="1" t="str">
        <f ca="1">IFERROR(__xludf.DUMMYFUNCTION("""COMPUTED_VALUE"""),"Si")</f>
        <v>Si</v>
      </c>
      <c r="U111" s="1" t="str">
        <f ca="1">IFERROR(__xludf.DUMMYFUNCTION("""COMPUTED_VALUE"""),"Guitarra y básico de teclado y batería")</f>
        <v>Guitarra y básico de teclado y batería</v>
      </c>
      <c r="V111" s="1" t="str">
        <f ca="1">IFERROR(__xludf.DUMMYFUNCTION("""COMPUTED_VALUE"""),"Soy maestra de Inglés")</f>
        <v>Soy maestra de Inglés</v>
      </c>
      <c r="W111" s="1" t="str">
        <f ca="1">IFERROR(__xludf.DUMMYFUNCTION("""COMPUTED_VALUE"""),"Soy licenciada en la enseñanza del inglés y estudié teología en un seminario cristiano")</f>
        <v>Soy licenciada en la enseñanza del inglés y estudié teología en un seminario cristiano</v>
      </c>
      <c r="X111" s="1" t="str">
        <f ca="1">IFERROR(__xludf.DUMMYFUNCTION("""COMPUTED_VALUE"""),"B. Me gusta animar a las personas, C. Suelo buscar que el trabajo se realice en equipo, D. Me gustan los deportes, H. Soy organizado (a), J. Me gusta la atención a las personas, L. Soy bueno (a) en canto o algún instrumento, N. Suelo llevar el liderazgo e"&amp;"n un grupo, O. Puedo enseñar con facilidad")</f>
        <v>B. Me gusta animar a las personas, C. Suelo buscar que el trabajo se realice en equipo, D. Me gustan los deportes, H. Soy organizado (a), J. Me gusta la atención a las personas, L. Soy bueno (a) en canto o algún instrumento, N. Suelo llevar el liderazgo en un grupo, O. Puedo enseñar con facilidad</v>
      </c>
      <c r="Y111" s="1" t="str">
        <f ca="1">IFERROR(__xludf.DUMMYFUNCTION("""COMPUTED_VALUE"""),"No, nunca :(")</f>
        <v>No, nunca :(</v>
      </c>
      <c r="Z111" s="1"/>
    </row>
    <row r="112" spans="1:26" x14ac:dyDescent="0.35">
      <c r="A112" s="2">
        <f ca="1">IFERROR(__xludf.DUMMYFUNCTION("""COMPUTED_VALUE"""),45819.8854861111)</f>
        <v>45819.885486111103</v>
      </c>
      <c r="B112" s="1"/>
      <c r="C112" s="1" t="str">
        <f ca="1">IFERROR(__xludf.DUMMYFUNCTION("""COMPUTED_VALUE"""),"Fabiola del Rocío, Carrasco Hernández")</f>
        <v>Fabiola del Rocío, Carrasco Hernández</v>
      </c>
      <c r="D112" s="1">
        <f ca="1">IFERROR(__xludf.DUMMYFUNCTION("""COMPUTED_VALUE"""),31)</f>
        <v>31</v>
      </c>
      <c r="E112" s="1" t="str">
        <f ca="1">IFERROR(__xludf.DUMMYFUNCTION("""COMPUTED_VALUE"""),"Mujer")</f>
        <v>Mujer</v>
      </c>
      <c r="F112" s="1" t="str">
        <f ca="1">IFERROR(__xludf.DUMMYFUNCTION("""COMPUTED_VALUE"""),"Chiapas, Mexico")</f>
        <v>Chiapas, Mexico</v>
      </c>
      <c r="G112" s="1" t="str">
        <f ca="1">IFERROR(__xludf.DUMMYFUNCTION("""COMPUTED_VALUE"""),"snabsion@hotmail.com")</f>
        <v>snabsion@hotmail.com</v>
      </c>
      <c r="H112" s="1">
        <f ca="1">IFERROR(__xludf.DUMMYFUNCTION("""COMPUTED_VALUE"""),529611110281)</f>
        <v>529611110281</v>
      </c>
      <c r="I112" s="1" t="str">
        <f ca="1">IFERROR(__xludf.DUMMYFUNCTION("""COMPUTED_VALUE"""),"Semana de entrenamiento (07 - 13) Julio, Semana de niños y niñas (21-25) Julio, Jóvenes de 13 – 17 años / SEM1/ (28 Julio a 02 de agosto)")</f>
        <v>Semana de entrenamiento (07 - 13) Julio, Semana de niños y niñas (21-25) Julio, Jóvenes de 13 – 17 años / SEM1/ (28 Julio a 02 de agosto)</v>
      </c>
      <c r="J112" s="1" t="str">
        <f ca="1">IFERROR(__xludf.DUMMYFUNCTION("""COMPUTED_VALUE"""),"Tiempo con Dios es vida viva")</f>
        <v>Tiempo con Dios es vida viva</v>
      </c>
      <c r="K112" s="1" t="str">
        <f ca="1">IFERROR(__xludf.DUMMYFUNCTION("""COMPUTED_VALUE"""),"Comunidad viña de Dios")</f>
        <v>Comunidad viña de Dios</v>
      </c>
      <c r="L112" s="1" t="str">
        <f ca="1">IFERROR(__xludf.DUMMYFUNCTION("""COMPUTED_VALUE"""),"Pedro Pablo Alfaro Gónzalez")</f>
        <v>Pedro Pablo Alfaro Gónzalez</v>
      </c>
      <c r="M112" s="1">
        <f ca="1">IFERROR(__xludf.DUMMYFUNCTION("""COMPUTED_VALUE"""),529613644869)</f>
        <v>529613644869</v>
      </c>
      <c r="N112" s="1" t="str">
        <f ca="1">IFERROR(__xludf.DUMMYFUNCTION("""COMPUTED_VALUE"""),"ppalfaro_g@hotmail.com")</f>
        <v>ppalfaro_g@hotmail.com</v>
      </c>
      <c r="O112" s="1" t="str">
        <f ca="1">IFERROR(__xludf.DUMMYFUNCTION("""COMPUTED_VALUE"""),"Maestra de niños")</f>
        <v>Maestra de niños</v>
      </c>
      <c r="P112" s="1" t="str">
        <f ca="1">IFERROR(__xludf.DUMMYFUNCTION("""COMPUTED_VALUE"""),"A la edad de 13 años comencé a llegar a una iglesia cristiana donde empecé a conocer de Dios y comprendo el gran amor que Èl me tiene, que mando a su hijo para darme perdón y vida eterna")</f>
        <v>A la edad de 13 años comencé a llegar a una iglesia cristiana donde empecé a conocer de Dios y comprendo el gran amor que Èl me tiene, que mando a su hijo para darme perdón y vida eterna</v>
      </c>
      <c r="Q112" s="1" t="str">
        <f ca="1">IFERROR(__xludf.DUMMYFUNCTION("""COMPUTED_VALUE"""),"Me gustaría formar parte del equipo de verano ya que sería una nueva experiencia que tendría en servir a Dios")</f>
        <v>Me gustaría formar parte del equipo de verano ya que sería una nueva experiencia que tendría en servir a Dios</v>
      </c>
      <c r="R112" s="1" t="str">
        <f ca="1">IFERROR(__xludf.DUMMYFUNCTION("""COMPUTED_VALUE"""),"Si")</f>
        <v>Si</v>
      </c>
      <c r="S112" s="1" t="str">
        <f ca="1">IFERROR(__xludf.DUMMYFUNCTION("""COMPUTED_VALUE"""),"Natación")</f>
        <v>Natación</v>
      </c>
      <c r="T112" s="1" t="str">
        <f ca="1">IFERROR(__xludf.DUMMYFUNCTION("""COMPUTED_VALUE"""),"No")</f>
        <v>No</v>
      </c>
      <c r="U112" s="1"/>
      <c r="V112" s="1" t="str">
        <f ca="1">IFERROR(__xludf.DUMMYFUNCTION("""COMPUTED_VALUE"""),"Estudie psicología")</f>
        <v>Estudie psicología</v>
      </c>
      <c r="W112" s="1" t="str">
        <f ca="1">IFERROR(__xludf.DUMMYFUNCTION("""COMPUTED_VALUE"""),"Soy psicóloga")</f>
        <v>Soy psicóloga</v>
      </c>
      <c r="X112" s="1" t="str">
        <f ca="1">IFERROR(__xludf.DUMMYFUNCTION("""COMPUTED_VALUE"""),"C. Suelo buscar que el trabajo se realice en equipo, D. Me gustan los deportes, E. Me gusta el trabajo con niños, H. Soy organizado (a), I. Se me facilita el trabajo físico, J. Me gusta la atención a las personas, O. Puedo enseñar con facilidad")</f>
        <v>C. Suelo buscar que el trabajo se realice en equipo, D. Me gustan los deportes, E. Me gusta el trabajo con niños, H. Soy organizado (a), I. Se me facilita el trabajo físico, J. Me gusta la atención a las personas, O. Puedo enseñar con facilidad</v>
      </c>
      <c r="Y112" s="1" t="str">
        <f ca="1">IFERROR(__xludf.DUMMYFUNCTION("""COMPUTED_VALUE"""),"Si , authentic en el 2023")</f>
        <v>Si , authentic en el 2023</v>
      </c>
      <c r="Z112" s="1"/>
    </row>
    <row r="113" spans="1:26" x14ac:dyDescent="0.35">
      <c r="A113" s="2">
        <f ca="1">IFERROR(__xludf.DUMMYFUNCTION("""COMPUTED_VALUE"""),45820.8442129629)</f>
        <v>45820.844212962897</v>
      </c>
      <c r="B113" s="1"/>
      <c r="C113" s="1" t="str">
        <f ca="1">IFERROR(__xludf.DUMMYFUNCTION("""COMPUTED_VALUE"""),"Gustavo, Alcantara")</f>
        <v>Gustavo, Alcantara</v>
      </c>
      <c r="D113" s="1">
        <f ca="1">IFERROR(__xludf.DUMMYFUNCTION("""COMPUTED_VALUE"""),20)</f>
        <v>20</v>
      </c>
      <c r="E113" s="1" t="str">
        <f ca="1">IFERROR(__xludf.DUMMYFUNCTION("""COMPUTED_VALUE"""),"Hombre")</f>
        <v>Hombre</v>
      </c>
      <c r="F113" s="1" t="str">
        <f ca="1">IFERROR(__xludf.DUMMYFUNCTION("""COMPUTED_VALUE"""),"Mexico City, Mexico")</f>
        <v>Mexico City, Mexico</v>
      </c>
      <c r="G113" s="1" t="str">
        <f ca="1">IFERROR(__xludf.DUMMYFUNCTION("""COMPUTED_VALUE"""),"galcantara701@gmail.com")</f>
        <v>galcantara701@gmail.com</v>
      </c>
      <c r="H113" s="1">
        <f ca="1">IFERROR(__xludf.DUMMYFUNCTION("""COMPUTED_VALUE"""),527291067771)</f>
        <v>527291067771</v>
      </c>
      <c r="I113" s="1" t="str">
        <f ca="1">IFERROR(__xludf.DUMMYFUNCTION("""COMPUTED_VALUE"""),"Semana de entrenamiento (07 - 13) Julio, Comunidad Jóvenes + 18 (14-19) Julio, Semana de niños y niñas (21-25) Julio, Jóvenes de 13 – 17 años / SEM1/ (28 Julio a 02 de agosto)")</f>
        <v>Semana de entrenamiento (07 - 13) Julio, Comunidad Jóvenes + 18 (14-19) Julio, Semana de niños y niñas (21-25) Julio, Jóvenes de 13 – 17 años / SEM1/ (28 Julio a 02 de agosto)</v>
      </c>
      <c r="J113" s="1" t="str">
        <f ca="1">IFERROR(__xludf.DUMMYFUNCTION("""COMPUTED_VALUE"""),"San Juan")</f>
        <v>San Juan</v>
      </c>
      <c r="K113" s="1" t="str">
        <f ca="1">IFERROR(__xludf.DUMMYFUNCTION("""COMPUTED_VALUE"""),"El Divino Salvador")</f>
        <v>El Divino Salvador</v>
      </c>
      <c r="L113" s="1" t="str">
        <f ca="1">IFERROR(__xludf.DUMMYFUNCTION("""COMPUTED_VALUE"""),"David Velázquez")</f>
        <v>David Velázquez</v>
      </c>
      <c r="M113" s="1">
        <f ca="1">IFERROR(__xludf.DUMMYFUNCTION("""COMPUTED_VALUE"""),527224605980)</f>
        <v>527224605980</v>
      </c>
      <c r="N113" s="1" t="str">
        <f ca="1">IFERROR(__xludf.DUMMYFUNCTION("""COMPUTED_VALUE"""),"davelaz4444@yahoo.com.mx")</f>
        <v>davelaz4444@yahoo.com.mx</v>
      </c>
      <c r="O113" s="1" t="str">
        <f ca="1">IFERROR(__xludf.DUMMYFUNCTION("""COMPUTED_VALUE"""),"David Velázquez")</f>
        <v>David Velázquez</v>
      </c>
      <c r="P113" s="1" t="str">
        <f ca="1">IFERROR(__xludf.DUMMYFUNCTION("""COMPUTED_VALUE"""),"Siempre e ido a la iglesia desde que nací voy al templo los domingos o luego asisto a eventos que hace la iglesia pero me gustaría poder compartir de la palabra de Dios a más gente poder estar más cerca de Dios como tal no tengo un testimonio pero me gust"&amp;"aría poder compartir la palabra de Dios")</f>
        <v>Siempre e ido a la iglesia desde que nací voy al templo los domingos o luego asisto a eventos que hace la iglesia pero me gustaría poder compartir de la palabra de Dios a más gente poder estar más cerca de Dios como tal no tengo un testimonio pero me gustaría poder compartir la palabra de Dios</v>
      </c>
      <c r="Q113" s="1" t="str">
        <f ca="1">IFERROR(__xludf.DUMMYFUNCTION("""COMPUTED_VALUE"""),"Tiene ya varios años que voy al campamento y me gusta mucho pero siento que ya es tiempo de poder ayudarle en algo o poder compartir a los que van la palabra como algunas vez a mi me la compartieron")</f>
        <v>Tiene ya varios años que voy al campamento y me gusta mucho pero siento que ya es tiempo de poder ayudarle en algo o poder compartir a los que van la palabra como algunas vez a mi me la compartieron</v>
      </c>
      <c r="R113" s="1" t="str">
        <f ca="1">IFERROR(__xludf.DUMMYFUNCTION("""COMPUTED_VALUE"""),"Si")</f>
        <v>Si</v>
      </c>
      <c r="S113" s="1" t="str">
        <f ca="1">IFERROR(__xludf.DUMMYFUNCTION("""COMPUTED_VALUE"""),"Bici de montaña")</f>
        <v>Bici de montaña</v>
      </c>
      <c r="T113" s="1" t="str">
        <f ca="1">IFERROR(__xludf.DUMMYFUNCTION("""COMPUTED_VALUE"""),"No")</f>
        <v>No</v>
      </c>
      <c r="U113" s="1"/>
      <c r="V113" s="1" t="str">
        <f ca="1">IFERROR(__xludf.DUMMYFUNCTION("""COMPUTED_VALUE"""),"No estudio")</f>
        <v>No estudio</v>
      </c>
      <c r="W113" s="1" t="str">
        <f ca="1">IFERROR(__xludf.DUMMYFUNCTION("""COMPUTED_VALUE"""),"Trabajo")</f>
        <v>Trabajo</v>
      </c>
      <c r="X113" s="1" t="str">
        <f ca="1">IFERROR(__xludf.DUMMYFUNCTION("""COMPUTED_VALUE"""),"B. Me gusta animar a las personas, D. Me gustan los deportes, E. Me gusta el trabajo con niños, N. Suelo llevar el liderazgo en un grupo, O. Puedo enseñar con facilidad")</f>
        <v>B. Me gusta animar a las personas, D. Me gustan los deportes, E. Me gusta el trabajo con niños, N. Suelo llevar el liderazgo en un grupo, O. Puedo enseñar con facilidad</v>
      </c>
      <c r="Y113" s="1" t="str">
        <f ca="1">IFERROR(__xludf.DUMMYFUNCTION("""COMPUTED_VALUE"""),"Del 2020 al 2024")</f>
        <v>Del 2020 al 2024</v>
      </c>
      <c r="Z113" s="1"/>
    </row>
    <row r="114" spans="1:26" x14ac:dyDescent="0.35">
      <c r="A114" s="2">
        <f ca="1">IFERROR(__xludf.DUMMYFUNCTION("""COMPUTED_VALUE"""),45821.5244907407)</f>
        <v>45821.524490740703</v>
      </c>
      <c r="B114" s="1"/>
      <c r="C114" s="1" t="str">
        <f ca="1">IFERROR(__xludf.DUMMYFUNCTION("""COMPUTED_VALUE"""),"Carlos Efrain, Muñoz Rivera")</f>
        <v>Carlos Efrain, Muñoz Rivera</v>
      </c>
      <c r="D114" s="1">
        <f ca="1">IFERROR(__xludf.DUMMYFUNCTION("""COMPUTED_VALUE"""),28)</f>
        <v>28</v>
      </c>
      <c r="E114" s="1" t="str">
        <f ca="1">IFERROR(__xludf.DUMMYFUNCTION("""COMPUTED_VALUE"""),"Hombre")</f>
        <v>Hombre</v>
      </c>
      <c r="F114" s="1" t="str">
        <f ca="1">IFERROR(__xludf.DUMMYFUNCTION("""COMPUTED_VALUE"""),"Mexico City, Mexico")</f>
        <v>Mexico City, Mexico</v>
      </c>
      <c r="G114" s="1" t="str">
        <f ca="1">IFERROR(__xludf.DUMMYFUNCTION("""COMPUTED_VALUE"""),"efrainmurivera96@gmail.com")</f>
        <v>efrainmurivera96@gmail.com</v>
      </c>
      <c r="H114" s="1">
        <f ca="1">IFERROR(__xludf.DUMMYFUNCTION("""COMPUTED_VALUE"""),525580202488)</f>
        <v>525580202488</v>
      </c>
      <c r="I114" s="1" t="str">
        <f ca="1">IFERROR(__xludf.DUMMYFUNCTION("""COMPUTED_VALUE"""),"Semana de entrenamiento (07 - 13) Julio, Comunidad Jóvenes + 18 (14-19) Julio, Jóvenes de 13 – 17 años / SEM1/ (28 Julio a 02 de agosto), Jóvenes de 13 – 17 años / SEM2/ (4 - 09 agosto)")</f>
        <v>Semana de entrenamiento (07 - 13) Julio, Comunidad Jóvenes + 18 (14-19) Julio, Jóvenes de 13 – 17 años / SEM1/ (28 Julio a 02 de agosto), Jóvenes de 13 – 17 años / SEM2/ (4 - 09 agosto)</v>
      </c>
      <c r="J114" s="1" t="str">
        <f ca="1">IFERROR(__xludf.DUMMYFUNCTION("""COMPUTED_VALUE"""),"Ebenezer")</f>
        <v>Ebenezer</v>
      </c>
      <c r="K114" s="1" t="str">
        <f ca="1">IFERROR(__xludf.DUMMYFUNCTION("""COMPUTED_VALUE"""),"Dunamis")</f>
        <v>Dunamis</v>
      </c>
      <c r="L114" s="1" t="str">
        <f ca="1">IFERROR(__xludf.DUMMYFUNCTION("""COMPUTED_VALUE"""),"Emanuel Lopez chaparro")</f>
        <v>Emanuel Lopez chaparro</v>
      </c>
      <c r="M114" s="1">
        <f ca="1">IFERROR(__xludf.DUMMYFUNCTION("""COMPUTED_VALUE"""),525528054570)</f>
        <v>525528054570</v>
      </c>
      <c r="N114" s="1" t="str">
        <f ca="1">IFERROR(__xludf.DUMMYFUNCTION("""COMPUTED_VALUE"""),"luisemmanuellopez@yahoo.com.mx")</f>
        <v>luisemmanuellopez@yahoo.com.mx</v>
      </c>
      <c r="O114" s="1" t="str">
        <f ca="1">IFERROR(__xludf.DUMMYFUNCTION("""COMPUTED_VALUE"""),"Producción, devocional , coro , anfitriones")</f>
        <v>Producción, devocional , coro , anfitriones</v>
      </c>
      <c r="P114" s="1" t="str">
        <f ca="1">IFERROR(__xludf.DUMMYFUNCTION("""COMPUTED_VALUE"""),"Hace 7 años está en un punto de mi vida donde estaba apartado del Señor y mi vida corría peligro pero el Señor me dio otra oportunidad y desde ese día he trabajado para que mi vida lo glorifique")</f>
        <v>Hace 7 años está en un punto de mi vida donde estaba apartado del Señor y mi vida corría peligro pero el Señor me dio otra oportunidad y desde ese día he trabajado para que mi vida lo glorifique</v>
      </c>
      <c r="Q114" s="1" t="str">
        <f ca="1">IFERROR(__xludf.DUMMYFUNCTION("""COMPUTED_VALUE"""),"Estoy llamado a servir al Señor y a mi iglesia sea en el área quw sea")</f>
        <v>Estoy llamado a servir al Señor y a mi iglesia sea en el área quw sea</v>
      </c>
      <c r="R114" s="1" t="str">
        <f ca="1">IFERROR(__xludf.DUMMYFUNCTION("""COMPUTED_VALUE"""),"No")</f>
        <v>No</v>
      </c>
      <c r="S114" s="1"/>
      <c r="T114" s="1" t="str">
        <f ca="1">IFERROR(__xludf.DUMMYFUNCTION("""COMPUTED_VALUE"""),"Si")</f>
        <v>Si</v>
      </c>
      <c r="U114" s="1" t="str">
        <f ca="1">IFERROR(__xludf.DUMMYFUNCTION("""COMPUTED_VALUE"""),"Teclado")</f>
        <v>Teclado</v>
      </c>
      <c r="V114" s="1" t="str">
        <f ca="1">IFERROR(__xludf.DUMMYFUNCTION("""COMPUTED_VALUE"""),"Instituto bíblico de Querétaro")</f>
        <v>Instituto bíblico de Querétaro</v>
      </c>
      <c r="W114" s="1" t="str">
        <f ca="1">IFERROR(__xludf.DUMMYFUNCTION("""COMPUTED_VALUE"""),"Contador , finanzas , servicio")</f>
        <v>Contador , finanzas , servicio</v>
      </c>
      <c r="X114" s="1" t="str">
        <f ca="1">IFERROR(__xludf.DUMMYFUNCTION("""COMPUTED_VALUE"""),"B. Me gusta animar a las personas, C. Suelo buscar que el trabajo se realice en equipo, D. Me gustan los deportes, I. Se me facilita el trabajo físico, K. Soy creativo (a), M. Soy bueno (a) con los números, N. Suelo llevar el liderazgo en un grupo")</f>
        <v>B. Me gusta animar a las personas, C. Suelo buscar que el trabajo se realice en equipo, D. Me gustan los deportes, I. Se me facilita el trabajo físico, K. Soy creativo (a), M. Soy bueno (a) con los números, N. Suelo llevar el liderazgo en un grupo</v>
      </c>
      <c r="Y114" s="1" t="str">
        <f ca="1">IFERROR(__xludf.DUMMYFUNCTION("""COMPUTED_VALUE"""),"Temporada 2024 y equipante en la misma 2024")</f>
        <v>Temporada 2024 y equipante en la misma 2024</v>
      </c>
      <c r="Z114" s="1"/>
    </row>
    <row r="115" spans="1:26" x14ac:dyDescent="0.35">
      <c r="A115" s="2">
        <f ca="1">IFERROR(__xludf.DUMMYFUNCTION("""COMPUTED_VALUE"""),45821.5398148148)</f>
        <v>45821.539814814802</v>
      </c>
      <c r="B115" s="1"/>
      <c r="C115" s="1" t="str">
        <f ca="1">IFERROR(__xludf.DUMMYFUNCTION("""COMPUTED_VALUE"""),"Josiah Daniel, Wolff Aguilar")</f>
        <v>Josiah Daniel, Wolff Aguilar</v>
      </c>
      <c r="D115" s="1">
        <f ca="1">IFERROR(__xludf.DUMMYFUNCTION("""COMPUTED_VALUE"""),17)</f>
        <v>17</v>
      </c>
      <c r="E115" s="1" t="str">
        <f ca="1">IFERROR(__xludf.DUMMYFUNCTION("""COMPUTED_VALUE"""),"Hombre")</f>
        <v>Hombre</v>
      </c>
      <c r="F115" s="1" t="str">
        <f ca="1">IFERROR(__xludf.DUMMYFUNCTION("""COMPUTED_VALUE"""),"Sinaloa, Mexico")</f>
        <v>Sinaloa, Mexico</v>
      </c>
      <c r="G115" s="1" t="str">
        <f ca="1">IFERROR(__xludf.DUMMYFUNCTION("""COMPUTED_VALUE"""),"jdwolffa@gmail.com")</f>
        <v>jdwolffa@gmail.com</v>
      </c>
      <c r="H115" s="1">
        <f ca="1">IFERROR(__xludf.DUMMYFUNCTION("""COMPUTED_VALUE"""),526692653343)</f>
        <v>526692653343</v>
      </c>
      <c r="I115" s="1" t="str">
        <f ca="1">IFERROR(__xludf.DUMMYFUNCTION("""COMPUTED_VALUE"""),"Semana de niños y niñas (21-25) Julio, Jóvenes de 13 – 17 años / SEM1/ (28 Julio a 02 de agosto)")</f>
        <v>Semana de niños y niñas (21-25) Julio, Jóvenes de 13 – 17 años / SEM1/ (28 Julio a 02 de agosto)</v>
      </c>
      <c r="J115" s="1" t="str">
        <f ca="1">IFERROR(__xludf.DUMMYFUNCTION("""COMPUTED_VALUE"""),"Understanding Job")</f>
        <v>Understanding Job</v>
      </c>
      <c r="K115" s="1" t="str">
        <f ca="1">IFERROR(__xludf.DUMMYFUNCTION("""COMPUTED_VALUE"""),"Vida")</f>
        <v>Vida</v>
      </c>
      <c r="L115" s="1" t="str">
        <f ca="1">IFERROR(__xludf.DUMMYFUNCTION("""COMPUTED_VALUE"""),"Neftali Rubio")</f>
        <v>Neftali Rubio</v>
      </c>
      <c r="M115" s="1">
        <f ca="1">IFERROR(__xludf.DUMMYFUNCTION("""COMPUTED_VALUE"""),524411036024)</f>
        <v>524411036024</v>
      </c>
      <c r="N115" s="1" t="str">
        <f ca="1">IFERROR(__xludf.DUMMYFUNCTION("""COMPUTED_VALUE"""),"nefaly@gmail.com")</f>
        <v>nefaly@gmail.com</v>
      </c>
      <c r="O115" s="1" t="str">
        <f ca="1">IFERROR(__xludf.DUMMYFUNCTION("""COMPUTED_VALUE"""),"Lider de jovenes, Bateria, multimedia")</f>
        <v>Lider de jovenes, Bateria, multimedia</v>
      </c>
      <c r="P115" s="1" t="str">
        <f ca="1">IFERROR(__xludf.DUMMYFUNCTION("""COMPUTED_VALUE"""),"Nacido en familia tipo misionera, he estado ayudando en ministerios toda mi vida pero nocreia en si, en un momento de mi vida me estaba desviando mucho hacia al ateismo y en ese tiempo me meti mucho en el tema de apologetica y empece a leer C.S Lewis y me"&amp;" pego una frase de el que dice ""si el cristianismo el falso no tiene importancia, pero si es verdadero es lo mas importante del mundo"" en un momento de quebrantamiento pude rendir mi vida verdaderamente a Cristo y lo he estado siguiendo desde ese dia en"&amp;" adelante, con pruebas y todo, no siendo un seguidor de Cristo perfecto pero intentando rendirme a su voluntad cada dia en ves de la mia.")</f>
        <v>Nacido en familia tipo misionera, he estado ayudando en ministerios toda mi vida pero nocreia en si, en un momento de mi vida me estaba desviando mucho hacia al ateismo y en ese tiempo me meti mucho en el tema de apologetica y empece a leer C.S Lewis y me pego una frase de el que dice "si el cristianismo el falso no tiene importancia, pero si es verdadero es lo mas importante del mundo" en un momento de quebrantamiento pude rendir mi vida verdaderamente a Cristo y lo he estado siguiendo desde ese dia en adelante, con pruebas y todo, no siendo un seguidor de Cristo perfecto pero intentando rendirme a su voluntad cada dia en ves de la mia.</v>
      </c>
      <c r="Q115" s="1" t="str">
        <f ca="1">IFERROR(__xludf.DUMMYFUNCTION("""COMPUTED_VALUE"""),"Me gusto la experiencia de estar sirviendo el año pasado y las personas que pude conocer y quisiera vivirlo otra vez")</f>
        <v>Me gusto la experiencia de estar sirviendo el año pasado y las personas que pude conocer y quisiera vivirlo otra vez</v>
      </c>
      <c r="R115" s="1" t="str">
        <f ca="1">IFERROR(__xludf.DUMMYFUNCTION("""COMPUTED_VALUE"""),"Si")</f>
        <v>Si</v>
      </c>
      <c r="S115" s="1" t="str">
        <f ca="1">IFERROR(__xludf.DUMMYFUNCTION("""COMPUTED_VALUE"""),"Basquet")</f>
        <v>Basquet</v>
      </c>
      <c r="T115" s="1" t="str">
        <f ca="1">IFERROR(__xludf.DUMMYFUNCTION("""COMPUTED_VALUE"""),"Si")</f>
        <v>Si</v>
      </c>
      <c r="U115" s="1" t="str">
        <f ca="1">IFERROR(__xludf.DUMMYFUNCTION("""COMPUTED_VALUE"""),"Bateria")</f>
        <v>Bateria</v>
      </c>
      <c r="V115" s="1" t="str">
        <f ca="1">IFERROR(__xludf.DUMMYFUNCTION("""COMPUTED_VALUE"""),"Bachillerato con carrera tecnica en programacion")</f>
        <v>Bachillerato con carrera tecnica en programacion</v>
      </c>
      <c r="W115" s="1" t="str">
        <f ca="1">IFERROR(__xludf.DUMMYFUNCTION("""COMPUTED_VALUE"""),"Programacion, manejo de herramientas, construccion, etc")</f>
        <v>Programacion, manejo de herramientas, construccion, etc</v>
      </c>
      <c r="X115" s="1" t="str">
        <f ca="1">IFERROR(__xludf.DUMMYFUNCTION("""COMPUTED_VALUE"""),"A. Soy un discipulador activo, B. Me gusta animar a las personas, C. Suelo buscar que el trabajo se realice en equipo, D. Me gustan los deportes, G. Soy más eficiente en el trabajo individual, H. Soy organizado (a), I. Se me facilita el trabajo físico, L."&amp;" Soy bueno (a) en canto o algún instrumento, M. Soy bueno (a) con los números, N. Suelo llevar el liderazgo en un grupo, O. Puedo enseñar con facilidad")</f>
        <v>A. Soy un discipulador activo, B. Me gusta animar a las personas, C. Suelo buscar que el trabajo se realice en equipo, D. Me gustan los deportes, G. Soy más eficiente en el trabajo individual, H. Soy organizado (a), I. Se me facilita el trabajo físico, L. Soy bueno (a) en canto o algún instrumento, M. Soy bueno (a) con los números, N. Suelo llevar el liderazgo en un grupo, O. Puedo enseñar con facilidad</v>
      </c>
      <c r="Y115" s="1" t="str">
        <f ca="1">IFERROR(__xludf.DUMMYFUNCTION("""COMPUTED_VALUE"""),"No, pero si he servido")</f>
        <v>No, pero si he servido</v>
      </c>
      <c r="Z115" s="1"/>
    </row>
    <row r="116" spans="1:26" x14ac:dyDescent="0.35">
      <c r="A116" s="2">
        <f ca="1">IFERROR(__xludf.DUMMYFUNCTION("""COMPUTED_VALUE"""),45821.6551273148)</f>
        <v>45821.6551273148</v>
      </c>
      <c r="B116" s="1"/>
      <c r="C116" s="1" t="str">
        <f ca="1">IFERROR(__xludf.DUMMYFUNCTION("""COMPUTED_VALUE"""),"Estéfani, Albarran")</f>
        <v>Estéfani, Albarran</v>
      </c>
      <c r="D116" s="1">
        <f ca="1">IFERROR(__xludf.DUMMYFUNCTION("""COMPUTED_VALUE"""),23)</f>
        <v>23</v>
      </c>
      <c r="E116" s="1" t="str">
        <f ca="1">IFERROR(__xludf.DUMMYFUNCTION("""COMPUTED_VALUE"""),"Mujer")</f>
        <v>Mujer</v>
      </c>
      <c r="F116" s="1" t="str">
        <f ca="1">IFERROR(__xludf.DUMMYFUNCTION("""COMPUTED_VALUE"""),"Guanajuato, Mexico")</f>
        <v>Guanajuato, Mexico</v>
      </c>
      <c r="G116" s="1" t="str">
        <f ca="1">IFERROR(__xludf.DUMMYFUNCTION("""COMPUTED_VALUE"""),"estafanialba8@gmail.com")</f>
        <v>estafanialba8@gmail.com</v>
      </c>
      <c r="H116" s="1">
        <f ca="1">IFERROR(__xludf.DUMMYFUNCTION("""COMPUTED_VALUE"""),524611159933)</f>
        <v>524611159933</v>
      </c>
      <c r="I116" s="1" t="str">
        <f ca="1">IFERROR(__xludf.DUMMYFUNCTION("""COMPUTED_VALUE"""),"Semana de entrenamiento (07 - 13) Julio, Comunidad Jóvenes + 18 (14-19) Julio")</f>
        <v>Semana de entrenamiento (07 - 13) Julio, Comunidad Jóvenes + 18 (14-19) Julio</v>
      </c>
      <c r="J116" s="1" t="str">
        <f ca="1">IFERROR(__xludf.DUMMYFUNCTION("""COMPUTED_VALUE"""),"Biblia")</f>
        <v>Biblia</v>
      </c>
      <c r="K116" s="1" t="str">
        <f ca="1">IFERROR(__xludf.DUMMYFUNCTION("""COMPUTED_VALUE"""),"Abba Padre")</f>
        <v>Abba Padre</v>
      </c>
      <c r="L116" s="1" t="str">
        <f ca="1">IFERROR(__xludf.DUMMYFUNCTION("""COMPUTED_VALUE"""),"Ignacio Martinez")</f>
        <v>Ignacio Martinez</v>
      </c>
      <c r="M116" s="1">
        <f ca="1">IFERROR(__xludf.DUMMYFUNCTION("""COMPUTED_VALUE"""),524611848834)</f>
        <v>524611848834</v>
      </c>
      <c r="N116" s="1" t="str">
        <f ca="1">IFERROR(__xludf.DUMMYFUNCTION("""COMPUTED_VALUE"""),"abbaimigrantes@gmail.com")</f>
        <v>abbaimigrantes@gmail.com</v>
      </c>
      <c r="O116" s="1" t="str">
        <f ca="1">IFERROR(__xludf.DUMMYFUNCTION("""COMPUTED_VALUE"""),"maestra en la escuela dominical")</f>
        <v>maestra en la escuela dominical</v>
      </c>
      <c r="P116" s="1" t="str">
        <f ca="1">IFERROR(__xludf.DUMMYFUNCTION("""COMPUTED_VALUE"""),"Soy cristiana de cuna, pero empecé a tener una verdadera relación con Dios, hace algunos 2 años.")</f>
        <v>Soy cristiana de cuna, pero empecé a tener una verdadera relación con Dios, hace algunos 2 años.</v>
      </c>
      <c r="Q116" s="1" t="str">
        <f ca="1">IFERROR(__xludf.DUMMYFUNCTION("""COMPUTED_VALUE"""),"Porque desde pequeña asistí a los campamentos, y me encantaría poder reforzar mi relación.")</f>
        <v>Porque desde pequeña asistí a los campamentos, y me encantaría poder reforzar mi relación.</v>
      </c>
      <c r="R116" s="1" t="str">
        <f ca="1">IFERROR(__xludf.DUMMYFUNCTION("""COMPUTED_VALUE"""),"Si")</f>
        <v>Si</v>
      </c>
      <c r="S116" s="1" t="str">
        <f ca="1">IFERROR(__xludf.DUMMYFUNCTION("""COMPUTED_VALUE"""),"Gym, runner.")</f>
        <v>Gym, runner.</v>
      </c>
      <c r="T116" s="1" t="str">
        <f ca="1">IFERROR(__xludf.DUMMYFUNCTION("""COMPUTED_VALUE"""),"No")</f>
        <v>No</v>
      </c>
      <c r="U116" s="1"/>
      <c r="V116" s="1" t="str">
        <f ca="1">IFERROR(__xludf.DUMMYFUNCTION("""COMPUTED_VALUE"""),"Ya terminé mi carrera soy arquitecta")</f>
        <v>Ya terminé mi carrera soy arquitecta</v>
      </c>
      <c r="W116" s="1" t="str">
        <f ca="1">IFERROR(__xludf.DUMMYFUNCTION("""COMPUTED_VALUE"""),"Soy Arquitecta")</f>
        <v>Soy Arquitecta</v>
      </c>
      <c r="X116" s="1" t="str">
        <f ca="1">IFERROR(__xludf.DUMMYFUNCTION("""COMPUTED_VALUE"""),"A. Soy un discipulador activo, B. Me gusta animar a las personas, C. Suelo buscar que el trabajo se realice en equipo, E. Me gusta el trabajo con niños, H. Soy organizado (a), K. Soy creativo (a), N. Suelo llevar el liderazgo en un grupo, O. Puedo enseñar"&amp;" con facilidad")</f>
        <v>A. Soy un discipulador activo, B. Me gusta animar a las personas, C. Suelo buscar que el trabajo se realice en equipo, E. Me gusta el trabajo con niños, H. Soy organizado (a), K. Soy creativo (a), N. Suelo llevar el liderazgo en un grupo, O. Puedo enseñar con facilidad</v>
      </c>
      <c r="Y116" s="1" t="str">
        <f ca="1">IFERROR(__xludf.DUMMYFUNCTION("""COMPUTED_VALUE"""),"2012, 2013, ….. 2023")</f>
        <v>2012, 2013, ….. 2023</v>
      </c>
      <c r="Z116" s="1"/>
    </row>
    <row r="117" spans="1:26" x14ac:dyDescent="0.35">
      <c r="A117" s="2">
        <f ca="1">IFERROR(__xludf.DUMMYFUNCTION("""COMPUTED_VALUE"""),45821.826574074)</f>
        <v>45821.826574074003</v>
      </c>
      <c r="B117" s="1"/>
      <c r="C117" s="1" t="str">
        <f ca="1">IFERROR(__xludf.DUMMYFUNCTION("""COMPUTED_VALUE"""),"Catherine Aline, Castillo Rodríguez")</f>
        <v>Catherine Aline, Castillo Rodríguez</v>
      </c>
      <c r="D117" s="1">
        <f ca="1">IFERROR(__xludf.DUMMYFUNCTION("""COMPUTED_VALUE"""),16)</f>
        <v>16</v>
      </c>
      <c r="E117" s="1" t="str">
        <f ca="1">IFERROR(__xludf.DUMMYFUNCTION("""COMPUTED_VALUE"""),"Mujer")</f>
        <v>Mujer</v>
      </c>
      <c r="F117" s="1" t="str">
        <f ca="1">IFERROR(__xludf.DUMMYFUNCTION("""COMPUTED_VALUE"""),"Mexico City, Mexico")</f>
        <v>Mexico City, Mexico</v>
      </c>
      <c r="G117" s="1" t="str">
        <f ca="1">IFERROR(__xludf.DUMMYFUNCTION("""COMPUTED_VALUE"""),"alinr2776@gmail.com")</f>
        <v>alinr2776@gmail.com</v>
      </c>
      <c r="H117" s="1">
        <f ca="1">IFERROR(__xludf.DUMMYFUNCTION("""COMPUTED_VALUE"""),525578467207)</f>
        <v>525578467207</v>
      </c>
      <c r="I117" s="1" t="str">
        <f ca="1">IFERROR(__xludf.DUMMYFUNCTION("""COMPUTED_VALUE"""),"Semana de niños y niñas (21-25) Julio")</f>
        <v>Semana de niños y niñas (21-25) Julio</v>
      </c>
      <c r="J117" s="1" t="str">
        <f ca="1">IFERROR(__xludf.DUMMYFUNCTION("""COMPUTED_VALUE"""),"Gloryfi")</f>
        <v>Gloryfi</v>
      </c>
      <c r="K117" s="1" t="str">
        <f ca="1">IFERROR(__xludf.DUMMYFUNCTION("""COMPUTED_VALUE"""),"Iglesia bautista Bethel")</f>
        <v>Iglesia bautista Bethel</v>
      </c>
      <c r="L117" s="1" t="str">
        <f ca="1">IFERROR(__xludf.DUMMYFUNCTION("""COMPUTED_VALUE"""),"Jose Luis sosa")</f>
        <v>Jose Luis sosa</v>
      </c>
      <c r="M117" s="1">
        <f ca="1">IFERROR(__xludf.DUMMYFUNCTION("""COMPUTED_VALUE"""),525555603677)</f>
        <v>525555603677</v>
      </c>
      <c r="N117" s="1" t="str">
        <f ca="1">IFERROR(__xludf.DUMMYFUNCTION("""COMPUTED_VALUE"""),"jlsosag@bethel.org.mx")</f>
        <v>jlsosag@bethel.org.mx</v>
      </c>
      <c r="O117" s="1" t="str">
        <f ca="1">IFERROR(__xludf.DUMMYFUNCTION("""COMPUTED_VALUE"""),"Ministerio de enseñanza en niñez")</f>
        <v>Ministerio de enseñanza en niñez</v>
      </c>
      <c r="P117" s="1" t="str">
        <f ca="1">IFERROR(__xludf.DUMMYFUNCTION("""COMPUTED_VALUE"""),"Antes de aceptar a cristo era una persona enojona no me importaba la palabra de dios le faltaba al respeto a mi madre como es mi vida ahora deje de enojarme por cualquier cosa ya no le faltó el respeto a mi mamá leo la palabra de dios y trabajo en  la hij"&amp;"a que Dios quiere que sea  y trato de cuidar mi testimonio")</f>
        <v>Antes de aceptar a cristo era una persona enojona no me importaba la palabra de dios le faltaba al respeto a mi madre como es mi vida ahora deje de enojarme por cualquier cosa ya no le faltó el respeto a mi mamá leo la palabra de dios y trabajo en  la hija que Dios quiere que sea  y trato de cuidar mi testimonio</v>
      </c>
      <c r="Q117" s="1" t="str">
        <f ca="1">IFERROR(__xludf.DUMMYFUNCTION("""COMPUTED_VALUE"""),"Por qué quiero aprender nuevas cosas en este curso de verano y por qué me gusta interactuar con niños")</f>
        <v>Por qué quiero aprender nuevas cosas en este curso de verano y por qué me gusta interactuar con niños</v>
      </c>
      <c r="R117" s="1" t="str">
        <f ca="1">IFERROR(__xludf.DUMMYFUNCTION("""COMPUTED_VALUE"""),"Si")</f>
        <v>Si</v>
      </c>
      <c r="S117" s="1" t="str">
        <f ca="1">IFERROR(__xludf.DUMMYFUNCTION("""COMPUTED_VALUE"""),"Softball")</f>
        <v>Softball</v>
      </c>
      <c r="T117" s="1" t="str">
        <f ca="1">IFERROR(__xludf.DUMMYFUNCTION("""COMPUTED_VALUE"""),"No")</f>
        <v>No</v>
      </c>
      <c r="U117" s="1"/>
      <c r="V117" s="1" t="str">
        <f ca="1">IFERROR(__xludf.DUMMYFUNCTION("""COMPUTED_VALUE"""),"Preparatoria")</f>
        <v>Preparatoria</v>
      </c>
      <c r="W117" s="1" t="str">
        <f ca="1">IFERROR(__xludf.DUMMYFUNCTION("""COMPUTED_VALUE"""),"Bailar, cantar, soy social, liderazgo, iniciativa, trabajo en equipo,se poner uñas y pestañas")</f>
        <v>Bailar, cantar, soy social, liderazgo, iniciativa, trabajo en equipo,se poner uñas y pestañas</v>
      </c>
      <c r="X117" s="1" t="str">
        <f ca="1">IFERROR(__xludf.DUMMYFUNCTION("""COMPUTED_VALUE"""),"A. Soy un discipulador activo, B. Me gusta animar a las personas, C. Suelo buscar que el trabajo se realice en equipo, E. Me gusta el trabajo con niños, J. Me gusta la atención a las personas, K. Soy creativo (a), L. Soy bueno (a) en canto o algún instrum"&amp;"ento, N. Suelo llevar el liderazgo en un grupo, O. Puedo enseñar con facilidad")</f>
        <v>A. Soy un discipulador activo, B. Me gusta animar a las personas, C. Suelo buscar que el trabajo se realice en equipo, E. Me gusta el trabajo con niños, J. Me gusta la atención a las personas, K. Soy creativo (a), L. Soy bueno (a) en canto o algún instrumento, N. Suelo llevar el liderazgo en un grupo, O. Puedo enseñar con facilidad</v>
      </c>
      <c r="Y117" s="1" t="str">
        <f ca="1">IFERROR(__xludf.DUMMYFUNCTION("""COMPUTED_VALUE"""),"Si 2023")</f>
        <v>Si 2023</v>
      </c>
      <c r="Z117" s="1"/>
    </row>
    <row r="118" spans="1:26" x14ac:dyDescent="0.35">
      <c r="A118" s="2">
        <f ca="1">IFERROR(__xludf.DUMMYFUNCTION("""COMPUTED_VALUE"""),45823.4054513888)</f>
        <v>45823.405451388797</v>
      </c>
      <c r="B118" s="1"/>
      <c r="C118" s="1" t="str">
        <f ca="1">IFERROR(__xludf.DUMMYFUNCTION("""COMPUTED_VALUE"""),"DALAI, TAPIA TAPIA")</f>
        <v>DALAI, TAPIA TAPIA</v>
      </c>
      <c r="D118" s="1">
        <f ca="1">IFERROR(__xludf.DUMMYFUNCTION("""COMPUTED_VALUE"""),20)</f>
        <v>20</v>
      </c>
      <c r="E118" s="1" t="str">
        <f ca="1">IFERROR(__xludf.DUMMYFUNCTION("""COMPUTED_VALUE"""),"Hombre")</f>
        <v>Hombre</v>
      </c>
      <c r="F118" s="1" t="str">
        <f ca="1">IFERROR(__xludf.DUMMYFUNCTION("""COMPUTED_VALUE"""),"Mexico City, Mexico")</f>
        <v>Mexico City, Mexico</v>
      </c>
      <c r="G118" s="1" t="str">
        <f ca="1">IFERROR(__xludf.DUMMYFUNCTION("""COMPUTED_VALUE"""),"dalaitapia27@gmail.com")</f>
        <v>dalaitapia27@gmail.com</v>
      </c>
      <c r="H118" s="1">
        <f ca="1">IFERROR(__xludf.DUMMYFUNCTION("""COMPUTED_VALUE"""),525529044109)</f>
        <v>525529044109</v>
      </c>
      <c r="I118" s="1" t="str">
        <f ca="1">IFERROR(__xludf.DUMMYFUNCTION("""COMPUTED_VALUE"""),"Jóvenes de 13 – 17 años / SEM1/ (28 Julio a 02 de agosto)")</f>
        <v>Jóvenes de 13 – 17 años / SEM1/ (28 Julio a 02 de agosto)</v>
      </c>
      <c r="J118" s="1" t="str">
        <f ca="1">IFERROR(__xludf.DUMMYFUNCTION("""COMPUTED_VALUE"""),"No llevo un devocional en especial pero estudio un pasaje de la biblia y anoto mis obsevaciones")</f>
        <v>No llevo un devocional en especial pero estudio un pasaje de la biblia y anoto mis obsevaciones</v>
      </c>
      <c r="K118" s="1" t="str">
        <f ca="1">IFERROR(__xludf.DUMMYFUNCTION("""COMPUTED_VALUE"""),"Iglesia Cristiana Bautista San Juan Ixtayopan")</f>
        <v>Iglesia Cristiana Bautista San Juan Ixtayopan</v>
      </c>
      <c r="L118" s="1" t="str">
        <f ca="1">IFERROR(__xludf.DUMMYFUNCTION("""COMPUTED_VALUE"""),"Pedro Ramirez Perez")</f>
        <v>Pedro Ramirez Perez</v>
      </c>
      <c r="M118" s="1">
        <f ca="1">IFERROR(__xludf.DUMMYFUNCTION("""COMPUTED_VALUE"""),525535075750)</f>
        <v>525535075750</v>
      </c>
      <c r="N118" s="1" t="str">
        <f ca="1">IFERROR(__xludf.DUMMYFUNCTION("""COMPUTED_VALUE"""),"Pedroclasic@gmail.com")</f>
        <v>Pedroclasic@gmail.com</v>
      </c>
      <c r="O118" s="1" t="str">
        <f ca="1">IFERROR(__xludf.DUMMYFUNCTION("""COMPUTED_VALUE"""),"Servidor")</f>
        <v>Servidor</v>
      </c>
      <c r="P118" s="1" t="str">
        <f ca="1">IFERROR(__xludf.DUMMYFUNCTION("""COMPUTED_VALUE"""),"Desde muy pequeño fui parte de la Iglesia pero conforme fui creciendo deje de mostrar que conocía Dios y comencé a comportarme como cualquier otra persona y también había un pecado que no dejaba lo cual me llevo a ir a la iglesia mas como rutina que por g"&amp;"usto propio.
No fue hasta que me sentí harto de mi forma de vida que comencé realmente a interesarme en agradar a Dios que volví a sentir tranquilidad y volví a tener gusto de hacer cosas nuevamente.")</f>
        <v>Desde muy pequeño fui parte de la Iglesia pero conforme fui creciendo deje de mostrar que conocía Dios y comencé a comportarme como cualquier otra persona y también había un pecado que no dejaba lo cual me llevo a ir a la iglesia mas como rutina que por gusto propio.
No fue hasta que me sentí harto de mi forma de vida que comencé realmente a interesarme en agradar a Dios que volví a sentir tranquilidad y volví a tener gusto de hacer cosas nuevamente.</v>
      </c>
      <c r="Q118" s="1" t="str">
        <f ca="1">IFERROR(__xludf.DUMMYFUNCTION("""COMPUTED_VALUE"""),"He ido muchos años al campamento y creo que es hora de que también pueda ayudar con mi servicio a muchos niños que es la primera vez que van.")</f>
        <v>He ido muchos años al campamento y creo que es hora de que también pueda ayudar con mi servicio a muchos niños que es la primera vez que van.</v>
      </c>
      <c r="R118" s="1" t="str">
        <f ca="1">IFERROR(__xludf.DUMMYFUNCTION("""COMPUTED_VALUE"""),"Si")</f>
        <v>Si</v>
      </c>
      <c r="S118" s="1" t="str">
        <f ca="1">IFERROR(__xludf.DUMMYFUNCTION("""COMPUTED_VALUE"""),"Represento a mi universidad en Atletismo y aparte practico ciclismo y natación de forma recreativa")</f>
        <v>Represento a mi universidad en Atletismo y aparte practico ciclismo y natación de forma recreativa</v>
      </c>
      <c r="T118" s="1" t="str">
        <f ca="1">IFERROR(__xludf.DUMMYFUNCTION("""COMPUTED_VALUE"""),"No")</f>
        <v>No</v>
      </c>
      <c r="U118" s="1"/>
      <c r="V118" s="1" t="str">
        <f ca="1">IFERROR(__xludf.DUMMYFUNCTION("""COMPUTED_VALUE"""),"Estudio Ingeniería Petrolera en UNAM")</f>
        <v>Estudio Ingeniería Petrolera en UNAM</v>
      </c>
      <c r="W118" s="1" t="str">
        <f ca="1">IFERROR(__xludf.DUMMYFUNCTION("""COMPUTED_VALUE"""),"En vacaciones trabajo con mi papá en su carnicería")</f>
        <v>En vacaciones trabajo con mi papá en su carnicería</v>
      </c>
      <c r="X118" s="1" t="str">
        <f ca="1">IFERROR(__xludf.DUMMYFUNCTION("""COMPUTED_VALUE"""),"B. Me gusta animar a las personas, C. Suelo buscar que el trabajo se realice en equipo, D. Me gustan los deportes, F. Soy eficiente en el trabajo con herramientas, equipos y maquinarias, I. Se me facilita el trabajo físico, K. Soy creativo (a), M. Soy bue"&amp;"no (a) con los números, O. Puedo enseñar con facilidad")</f>
        <v>B. Me gusta animar a las personas, C. Suelo buscar que el trabajo se realice en equipo, D. Me gustan los deportes, F. Soy eficiente en el trabajo con herramientas, equipos y maquinarias, I. Se me facilita el trabajo físico, K. Soy creativo (a), M. Soy bueno (a) con los números, O. Puedo enseñar con facilidad</v>
      </c>
      <c r="Y118" s="1" t="str">
        <f ca="1">IFERROR(__xludf.DUMMYFUNCTION("""COMPUTED_VALUE"""),"No recuerdo, pero he ido 5 años y la ultima vez fue en el 2023")</f>
        <v>No recuerdo, pero he ido 5 años y la ultima vez fue en el 2023</v>
      </c>
      <c r="Z118" s="1"/>
    </row>
    <row r="119" spans="1:26" x14ac:dyDescent="0.35">
      <c r="A119" s="2">
        <f ca="1">IFERROR(__xludf.DUMMYFUNCTION("""COMPUTED_VALUE"""),45823.8344212963)</f>
        <v>45823.834421296298</v>
      </c>
      <c r="B119" s="1"/>
      <c r="C119" s="1" t="str">
        <f ca="1">IFERROR(__xludf.DUMMYFUNCTION("""COMPUTED_VALUE"""),"Francisco, Bocanegra Jiménez")</f>
        <v>Francisco, Bocanegra Jiménez</v>
      </c>
      <c r="D119" s="1">
        <f ca="1">IFERROR(__xludf.DUMMYFUNCTION("""COMPUTED_VALUE"""),18)</f>
        <v>18</v>
      </c>
      <c r="E119" s="1" t="str">
        <f ca="1">IFERROR(__xludf.DUMMYFUNCTION("""COMPUTED_VALUE"""),"Hombre")</f>
        <v>Hombre</v>
      </c>
      <c r="F119" s="1" t="str">
        <f ca="1">IFERROR(__xludf.DUMMYFUNCTION("""COMPUTED_VALUE"""),"Veracruz, Mexico")</f>
        <v>Veracruz, Mexico</v>
      </c>
      <c r="G119" s="1" t="str">
        <f ca="1">IFERROR(__xludf.DUMMYFUNCTION("""COMPUTED_VALUE"""),"bocanegrafrancisco13@gmail.com")</f>
        <v>bocanegrafrancisco13@gmail.com</v>
      </c>
      <c r="H119" s="1">
        <f ca="1">IFERROR(__xludf.DUMMYFUNCTION("""COMPUTED_VALUE"""),522722265025)</f>
        <v>522722265025</v>
      </c>
      <c r="I119" s="1" t="str">
        <f ca="1">IFERROR(__xludf.DUMMYFUNCTION("""COMPUTED_VALUE"""),"Semana de entrenamiento (07 - 13) Julio, Comunidad Jóvenes + 18 (14-19) Julio")</f>
        <v>Semana de entrenamiento (07 - 13) Julio, Comunidad Jóvenes + 18 (14-19) Julio</v>
      </c>
      <c r="J119" s="1" t="str">
        <f ca="1">IFERROR(__xludf.DUMMYFUNCTION("""COMPUTED_VALUE"""),"La Bliblia")</f>
        <v>La Bliblia</v>
      </c>
      <c r="K119" s="1" t="str">
        <f ca="1">IFERROR(__xludf.DUMMYFUNCTION("""COMPUTED_VALUE"""),"Gracias Sublime")</f>
        <v>Gracias Sublime</v>
      </c>
      <c r="L119" s="1" t="str">
        <f ca="1">IFERROR(__xludf.DUMMYFUNCTION("""COMPUTED_VALUE"""),"Francisco Bocanegra")</f>
        <v>Francisco Bocanegra</v>
      </c>
      <c r="M119" s="1">
        <f ca="1">IFERROR(__xludf.DUMMYFUNCTION("""COMPUTED_VALUE"""),522722265025)</f>
        <v>522722265025</v>
      </c>
      <c r="N119" s="1" t="str">
        <f ca="1">IFERROR(__xludf.DUMMYFUNCTION("""COMPUTED_VALUE"""),"franciscobocanegra13@gmail.com")</f>
        <v>franciscobocanegra13@gmail.com</v>
      </c>
      <c r="O119" s="1" t="str">
        <f ca="1">IFERROR(__xludf.DUMMYFUNCTION("""COMPUTED_VALUE"""),"Alabanza")</f>
        <v>Alabanza</v>
      </c>
      <c r="P119" s="1" t="str">
        <f ca="1">IFERROR(__xludf.DUMMYFUNCTION("""COMPUTED_VALUE"""),"Tenía siete años, y mi mamá me explicó el mensaje de salvación, y ese día lo acepté")</f>
        <v>Tenía siete años, y mi mamá me explicó el mensaje de salvación, y ese día lo acepté</v>
      </c>
      <c r="Q119" s="1" t="str">
        <f ca="1">IFERROR(__xludf.DUMMYFUNCTION("""COMPUTED_VALUE"""),"Porque quiero obedecer a Dios y poner mi vida a su disposición, y esta manera de hacerlo en palabra de vida, me gusta mucho")</f>
        <v>Porque quiero obedecer a Dios y poner mi vida a su disposición, y esta manera de hacerlo en palabra de vida, me gusta mucho</v>
      </c>
      <c r="R119" s="1" t="str">
        <f ca="1">IFERROR(__xludf.DUMMYFUNCTION("""COMPUTED_VALUE"""),"Si")</f>
        <v>Si</v>
      </c>
      <c r="S119" s="1" t="str">
        <f ca="1">IFERROR(__xludf.DUMMYFUNCTION("""COMPUTED_VALUE"""),"Basquetbol")</f>
        <v>Basquetbol</v>
      </c>
      <c r="T119" s="1" t="str">
        <f ca="1">IFERROR(__xludf.DUMMYFUNCTION("""COMPUTED_VALUE"""),"Si")</f>
        <v>Si</v>
      </c>
      <c r="U119" s="1" t="str">
        <f ca="1">IFERROR(__xludf.DUMMYFUNCTION("""COMPUTED_VALUE"""),"Piano")</f>
        <v>Piano</v>
      </c>
      <c r="V119" s="1" t="str">
        <f ca="1">IFERROR(__xludf.DUMMYFUNCTION("""COMPUTED_VALUE"""),"La prepa")</f>
        <v>La prepa</v>
      </c>
      <c r="W119" s="1" t="str">
        <f ca="1">IFERROR(__xludf.DUMMYFUNCTION("""COMPUTED_VALUE"""),"Tocar piano")</f>
        <v>Tocar piano</v>
      </c>
      <c r="X119" s="1" t="str">
        <f ca="1">IFERROR(__xludf.DUMMYFUNCTION("""COMPUTED_VALUE"""),"B. Me gusta animar a las personas, C. Suelo buscar que el trabajo se realice en equipo, D. Me gustan los deportes, E. Me gusta el trabajo con niños, F. Soy eficiente en el trabajo con herramientas, equipos y maquinarias, I. Se me facilita el trabajo físic"&amp;"o, J. Me gusta la atención a las personas, K. Soy creativo (a), L. Soy bueno (a) en canto o algún instrumento")</f>
        <v>B. Me gusta animar a las personas, C. Suelo buscar que el trabajo se realice en equipo, D. Me gustan los deportes, E. Me gusta el trabajo con niños, F. Soy eficiente en el trabajo con herramientas, equipos y maquinarias, I. Se me facilita el trabajo físico, J. Me gusta la atención a las personas, K. Soy creativo (a), L. Soy bueno (a) en canto o algún instrumento</v>
      </c>
      <c r="Y119" s="1" t="str">
        <f ca="1">IFERROR(__xludf.DUMMYFUNCTION("""COMPUTED_VALUE"""),"Si, dos veces")</f>
        <v>Si, dos veces</v>
      </c>
      <c r="Z119" s="1"/>
    </row>
    <row r="120" spans="1:26" x14ac:dyDescent="0.35">
      <c r="A120" s="2">
        <f ca="1">IFERROR(__xludf.DUMMYFUNCTION("""COMPUTED_VALUE"""),45824.7390046296)</f>
        <v>45824.739004629599</v>
      </c>
      <c r="B120" s="1"/>
      <c r="C120" s="1" t="str">
        <f ca="1">IFERROR(__xludf.DUMMYFUNCTION("""COMPUTED_VALUE"""),"Alexa, Valle Alducin")</f>
        <v>Alexa, Valle Alducin</v>
      </c>
      <c r="D120" s="1">
        <f ca="1">IFERROR(__xludf.DUMMYFUNCTION("""COMPUTED_VALUE"""),150)</f>
        <v>150</v>
      </c>
      <c r="E120" s="1" t="str">
        <f ca="1">IFERROR(__xludf.DUMMYFUNCTION("""COMPUTED_VALUE"""),"Mujer")</f>
        <v>Mujer</v>
      </c>
      <c r="F120" s="1" t="str">
        <f ca="1">IFERROR(__xludf.DUMMYFUNCTION("""COMPUTED_VALUE"""),"Queretaro, Mexico")</f>
        <v>Queretaro, Mexico</v>
      </c>
      <c r="G120" s="1" t="str">
        <f ca="1">IFERROR(__xludf.DUMMYFUNCTION("""COMPUTED_VALUE"""),"alexa.vallerca@gmail.com")</f>
        <v>alexa.vallerca@gmail.com</v>
      </c>
      <c r="H120" s="1">
        <f ca="1">IFERROR(__xludf.DUMMYFUNCTION("""COMPUTED_VALUE"""),527778541446)</f>
        <v>527778541446</v>
      </c>
      <c r="I120" s="1" t="str">
        <f ca="1">IFERROR(__xludf.DUMMYFUNCTION("""COMPUTED_VALUE"""),"Semana de entrenamiento (07 - 13) Julio, Jóvenes de 13 – 17 años / SEM2/ (4 - 09 agosto)")</f>
        <v>Semana de entrenamiento (07 - 13) Julio, Jóvenes de 13 – 17 años / SEM2/ (4 - 09 agosto)</v>
      </c>
      <c r="J120" s="1" t="str">
        <f ca="1">IFERROR(__xludf.DUMMYFUNCTION("""COMPUTED_VALUE"""),"Nuevas misericordias cada mañana")</f>
        <v>Nuevas misericordias cada mañana</v>
      </c>
      <c r="K120" s="1" t="str">
        <f ca="1">IFERROR(__xludf.DUMMYFUNCTION("""COMPUTED_VALUE"""),"Vida nueva para el mundo qro")</f>
        <v>Vida nueva para el mundo qro</v>
      </c>
      <c r="L120" s="1" t="str">
        <f ca="1">IFERROR(__xludf.DUMMYFUNCTION("""COMPUTED_VALUE"""),"David Alducin")</f>
        <v>David Alducin</v>
      </c>
      <c r="M120" s="1">
        <f ca="1">IFERROR(__xludf.DUMMYFUNCTION("""COMPUTED_VALUE"""),527729808024)</f>
        <v>527729808024</v>
      </c>
      <c r="N120" s="1" t="str">
        <f ca="1">IFERROR(__xludf.DUMMYFUNCTION("""COMPUTED_VALUE"""),"iti_@live.com.mx")</f>
        <v>iti_@live.com.mx</v>
      </c>
      <c r="O120" s="1" t="str">
        <f ca="1">IFERROR(__xludf.DUMMYFUNCTION("""COMPUTED_VALUE"""),"Fotografía")</f>
        <v>Fotografía</v>
      </c>
      <c r="P120" s="1" t="str">
        <f ca="1">IFERROR(__xludf.DUMMYFUNCTION("""COMPUTED_VALUE"""),"Recibí a Jesús en un campamento de PV cuando tenía 13 años, toda mi vida he escuchado del evangelio pero mi corazón nunca se había quebrantado, lo recibí con mi consejera")</f>
        <v>Recibí a Jesús en un campamento de PV cuando tenía 13 años, toda mi vida he escuchado del evangelio pero mi corazón nunca se había quebrantado, lo recibí con mi consejera</v>
      </c>
      <c r="Q120" s="1" t="str">
        <f ca="1">IFERROR(__xludf.DUMMYFUNCTION("""COMPUTED_VALUE"""),"Pues me gustaría vivir la experiencia ya de el lado de los equipantes porque llevo muchos años llendo como campera y me encanta lo que el campa hace en la vida de la gente y me gustaría alcanzar más vidas de una manera diferente")</f>
        <v>Pues me gustaría vivir la experiencia ya de el lado de los equipantes porque llevo muchos años llendo como campera y me encanta lo que el campa hace en la vida de la gente y me gustaría alcanzar más vidas de una manera diferente</v>
      </c>
      <c r="R120" s="1" t="str">
        <f ca="1">IFERROR(__xludf.DUMMYFUNCTION("""COMPUTED_VALUE"""),"Si")</f>
        <v>Si</v>
      </c>
      <c r="S120" s="1" t="str">
        <f ca="1">IFERROR(__xludf.DUMMYFUNCTION("""COMPUTED_VALUE"""),"Basketball")</f>
        <v>Basketball</v>
      </c>
      <c r="T120" s="1" t="str">
        <f ca="1">IFERROR(__xludf.DUMMYFUNCTION("""COMPUTED_VALUE"""),"No")</f>
        <v>No</v>
      </c>
      <c r="U120" s="1"/>
      <c r="V120" s="1" t="str">
        <f ca="1">IFERROR(__xludf.DUMMYFUNCTION("""COMPUTED_VALUE"""),"La escuela")</f>
        <v>La escuela</v>
      </c>
      <c r="W120" s="1" t="str">
        <f ca="1">IFERROR(__xludf.DUMMYFUNCTION("""COMPUTED_VALUE"""),"Me gusta tomar fotos y llevo 4 años jugando mi deporte")</f>
        <v>Me gusta tomar fotos y llevo 4 años jugando mi deporte</v>
      </c>
      <c r="X120" s="1" t="str">
        <f ca="1">IFERROR(__xludf.DUMMYFUNCTION("""COMPUTED_VALUE"""),"B. Me gusta animar a las personas, C. Suelo buscar que el trabajo se realice en equipo, D. Me gustan los deportes, H. Soy organizado (a), K. Soy creativo (a), N. Suelo llevar el liderazgo en un grupo, O. Puedo enseñar con facilidad")</f>
        <v>B. Me gusta animar a las personas, C. Suelo buscar que el trabajo se realice en equipo, D. Me gustan los deportes, H. Soy organizado (a), K. Soy creativo (a), N. Suelo llevar el liderazgo en un grupo, O. Puedo enseñar con facilidad</v>
      </c>
      <c r="Y120" s="1" t="str">
        <f ca="1">IFERROR(__xludf.DUMMYFUNCTION("""COMPUTED_VALUE"""),"En la semana de jóvenes")</f>
        <v>En la semana de jóvenes</v>
      </c>
      <c r="Z120" s="1"/>
    </row>
    <row r="121" spans="1:26" x14ac:dyDescent="0.35">
      <c r="A121" s="2">
        <f ca="1">IFERROR(__xludf.DUMMYFUNCTION("""COMPUTED_VALUE"""),45824.7786574074)</f>
        <v>45824.778657407398</v>
      </c>
      <c r="B121" s="1"/>
      <c r="C121" s="1" t="str">
        <f ca="1">IFERROR(__xludf.DUMMYFUNCTION("""COMPUTED_VALUE"""),"Lya, Esparza Tapia")</f>
        <v>Lya, Esparza Tapia</v>
      </c>
      <c r="D121" s="1">
        <f ca="1">IFERROR(__xludf.DUMMYFUNCTION("""COMPUTED_VALUE"""),18)</f>
        <v>18</v>
      </c>
      <c r="E121" s="1" t="str">
        <f ca="1">IFERROR(__xludf.DUMMYFUNCTION("""COMPUTED_VALUE"""),"Mujer")</f>
        <v>Mujer</v>
      </c>
      <c r="F121" s="1" t="str">
        <f ca="1">IFERROR(__xludf.DUMMYFUNCTION("""COMPUTED_VALUE"""),"Mexico City, Mexico")</f>
        <v>Mexico City, Mexico</v>
      </c>
      <c r="G121" s="1" t="str">
        <f ca="1">IFERROR(__xludf.DUMMYFUNCTION("""COMPUTED_VALUE"""),"lyaesparza290607@gmail.com")</f>
        <v>lyaesparza290607@gmail.com</v>
      </c>
      <c r="H121" s="1">
        <f ca="1">IFERROR(__xludf.DUMMYFUNCTION("""COMPUTED_VALUE"""),525613670649)</f>
        <v>525613670649</v>
      </c>
      <c r="I121" s="1" t="str">
        <f ca="1">IFERROR(__xludf.DUMMYFUNCTION("""COMPUTED_VALUE"""),"Jóvenes de 13 – 17 años / SEM1/ (28 Julio a 02 de agosto)")</f>
        <v>Jóvenes de 13 – 17 años / SEM1/ (28 Julio a 02 de agosto)</v>
      </c>
      <c r="J121" s="1" t="str">
        <f ca="1">IFERROR(__xludf.DUMMYFUNCTION("""COMPUTED_VALUE"""),"No llevo un devocional específico")</f>
        <v>No llevo un devocional específico</v>
      </c>
      <c r="K121" s="1" t="str">
        <f ca="1">IFERROR(__xludf.DUMMYFUNCTION("""COMPUTED_VALUE"""),"Iglesia Cristiana Bautista de San Juan Ixtayopan")</f>
        <v>Iglesia Cristiana Bautista de San Juan Ixtayopan</v>
      </c>
      <c r="L121" s="1" t="str">
        <f ca="1">IFERROR(__xludf.DUMMYFUNCTION("""COMPUTED_VALUE"""),"Pedro Ramírez Pérez")</f>
        <v>Pedro Ramírez Pérez</v>
      </c>
      <c r="M121" s="1">
        <f ca="1">IFERROR(__xludf.DUMMYFUNCTION("""COMPUTED_VALUE"""),525535075750)</f>
        <v>525535075750</v>
      </c>
      <c r="N121" s="1" t="str">
        <f ca="1">IFERROR(__xludf.DUMMYFUNCTION("""COMPUTED_VALUE"""),"pedro.clasic@gmail.com")</f>
        <v>pedro.clasic@gmail.com</v>
      </c>
      <c r="O121" s="1" t="str">
        <f ca="1">IFERROR(__xludf.DUMMYFUNCTION("""COMPUTED_VALUE"""),"Multimedia")</f>
        <v>Multimedia</v>
      </c>
      <c r="P121" s="1" t="str">
        <f ca="1">IFERROR(__xludf.DUMMYFUNCTION("""COMPUTED_VALUE"""),"Desde pequeña eh asistido a la iglesia, siendo una niña destacada en todo, pero algo en mi estaba mal, no sentía ese amor por el servicio ni por Dios, conocí personas que hicieron que me alejara más de Dios de lo que ya estaba, por lo cual tomé muchas dec"&amp;"isiones incorrectas por bastante tiempo, en ese momento no lo sabía pero me estaba arruinando completamente, hasta que llegó un momento en el cual yo ya no quería nada de todo lo que estaba teniendo en mi vida, pero no sabía cómo salir de ahí, llegué a ca"&amp;"mpamento y conocí a una consejera la cual me hizo sentir en confianza inmediatamente, me escuchó y volvió a compartirme el mensaje de salvación pero en esta ocasión Dios tocó mi corazón, habló a mi vida y tuve ese momento de quebrantamiento que necesitaba"&amp;", finalmente acepté a Dios en mi corazón y comencé a servir en mi iglesia con amor hacia el Señor.")</f>
        <v>Desde pequeña eh asistido a la iglesia, siendo una niña destacada en todo, pero algo en mi estaba mal, no sentía ese amor por el servicio ni por Dios, conocí personas que hicieron que me alejara más de Dios de lo que ya estaba, por lo cual tomé muchas decisiones incorrectas por bastante tiempo, en ese momento no lo sabía pero me estaba arruinando completamente, hasta que llegó un momento en el cual yo ya no quería nada de todo lo que estaba teniendo en mi vida, pero no sabía cómo salir de ahí, llegué a campamento y conocí a una consejera la cual me hizo sentir en confianza inmediatamente, me escuchó y volvió a compartirme el mensaje de salvación pero en esta ocasión Dios tocó mi corazón, habló a mi vida y tuve ese momento de quebrantamiento que necesitaba, finalmente acepté a Dios en mi corazón y comencé a servir en mi iglesia con amor hacia el Señor.</v>
      </c>
      <c r="Q121" s="1" t="str">
        <f ca="1">IFERROR(__xludf.DUMMYFUNCTION("""COMPUTED_VALUE"""),"Quiero poder ser parte del equipo para poder servir a Dios y ser testigo de como el Señor cambia la vida de muchos jóvenes durante campamento")</f>
        <v>Quiero poder ser parte del equipo para poder servir a Dios y ser testigo de como el Señor cambia la vida de muchos jóvenes durante campamento</v>
      </c>
      <c r="R121" s="1" t="str">
        <f ca="1">IFERROR(__xludf.DUMMYFUNCTION("""COMPUTED_VALUE"""),"No")</f>
        <v>No</v>
      </c>
      <c r="S121" s="1"/>
      <c r="T121" s="1" t="str">
        <f ca="1">IFERROR(__xludf.DUMMYFUNCTION("""COMPUTED_VALUE"""),"Si")</f>
        <v>Si</v>
      </c>
      <c r="U121" s="1" t="str">
        <f ca="1">IFERROR(__xludf.DUMMYFUNCTION("""COMPUTED_VALUE"""),"estoy aprendiendo a tocar el piano")</f>
        <v>estoy aprendiendo a tocar el piano</v>
      </c>
      <c r="V121" s="1" t="str">
        <f ca="1">IFERROR(__xludf.DUMMYFUNCTION("""COMPUTED_VALUE"""),"Estudio en la preparatoria")</f>
        <v>Estudio en la preparatoria</v>
      </c>
      <c r="W121" s="1" t="str">
        <f ca="1">IFERROR(__xludf.DUMMYFUNCTION("""COMPUTED_VALUE"""),"me gusta animar a la gente, soy creativa y me gusta estar con los niños")</f>
        <v>me gusta animar a la gente, soy creativa y me gusta estar con los niños</v>
      </c>
      <c r="X121" s="1" t="str">
        <f ca="1">IFERROR(__xludf.DUMMYFUNCTION("""COMPUTED_VALUE"""),"B. Me gusta animar a las personas, C. Suelo buscar que el trabajo se realice en equipo, D. Me gustan los deportes, E. Me gusta el trabajo con niños, H. Soy organizado (a), K. Soy creativo (a), O. Puedo enseñar con facilidad")</f>
        <v>B. Me gusta animar a las personas, C. Suelo buscar que el trabajo se realice en equipo, D. Me gustan los deportes, E. Me gusta el trabajo con niños, H. Soy organizado (a), K. Soy creativo (a), O. Puedo enseñar con facilidad</v>
      </c>
      <c r="Y121" s="1" t="str">
        <f ca="1">IFERROR(__xludf.DUMMYFUNCTION("""COMPUTED_VALUE"""),"Si, desde 2022 eh asistido a todos los campamentos")</f>
        <v>Si, desde 2022 eh asistido a todos los campamentos</v>
      </c>
      <c r="Z121" s="1"/>
    </row>
    <row r="122" spans="1:26" x14ac:dyDescent="0.35">
      <c r="A122" s="2">
        <f ca="1">IFERROR(__xludf.DUMMYFUNCTION("""COMPUTED_VALUE"""),45825.0161574074)</f>
        <v>45825.016157407401</v>
      </c>
      <c r="B122" s="1"/>
      <c r="C122" s="1" t="str">
        <f ca="1">IFERROR(__xludf.DUMMYFUNCTION("""COMPUTED_VALUE"""),"Ricardo Aziel, Sala Bernáldez")</f>
        <v>Ricardo Aziel, Sala Bernáldez</v>
      </c>
      <c r="D122" s="1">
        <f ca="1">IFERROR(__xludf.DUMMYFUNCTION("""COMPUTED_VALUE"""),23)</f>
        <v>23</v>
      </c>
      <c r="E122" s="1" t="str">
        <f ca="1">IFERROR(__xludf.DUMMYFUNCTION("""COMPUTED_VALUE"""),"Hombre")</f>
        <v>Hombre</v>
      </c>
      <c r="F122" s="1" t="str">
        <f ca="1">IFERROR(__xludf.DUMMYFUNCTION("""COMPUTED_VALUE"""),"Chihuahua, Mexico")</f>
        <v>Chihuahua, Mexico</v>
      </c>
      <c r="G122" s="1" t="str">
        <f ca="1">IFERROR(__xludf.DUMMYFUNCTION("""COMPUTED_VALUE"""),"azielr2002@hotmail.com")</f>
        <v>azielr2002@hotmail.com</v>
      </c>
      <c r="H122" s="1">
        <f ca="1">IFERROR(__xludf.DUMMYFUNCTION("""COMPUTED_VALUE"""),528443577939)</f>
        <v>528443577939</v>
      </c>
      <c r="I122" s="1" t="str">
        <f ca="1">IFERROR(__xludf.DUMMYFUNCTION("""COMPUTED_VALUE"""),"Semana de entrenamiento (07 - 13) Julio, Comunidad Jóvenes + 18 (14-19) Julio, Semana de niños y niñas (21-25) Julio, Jóvenes de 13 – 17 años / SEM1/ (28 Julio a 02 de agosto), Jóvenes de 13 – 17 años / SEM2/ (4 - 09 agosto)")</f>
        <v>Semana de entrenamiento (07 - 13) Julio, Comunidad Jóvenes + 18 (14-19) Julio, Semana de niños y niñas (21-25) Julio, Jóvenes de 13 – 17 años / SEM1/ (28 Julio a 02 de agosto), Jóvenes de 13 – 17 años / SEM2/ (4 - 09 agosto)</v>
      </c>
      <c r="J122" s="1" t="str">
        <f ca="1">IFERROR(__xludf.DUMMYFUNCTION("""COMPUTED_VALUE"""),"Mentiras que los hombres creen de Robert Wolgemuth")</f>
        <v>Mentiras que los hombres creen de Robert Wolgemuth</v>
      </c>
      <c r="K122" s="1" t="str">
        <f ca="1">IFERROR(__xludf.DUMMYFUNCTION("""COMPUTED_VALUE"""),"Iglesia Bautista de la Capital.")</f>
        <v>Iglesia Bautista de la Capital.</v>
      </c>
      <c r="L122" s="1" t="str">
        <f ca="1">IFERROR(__xludf.DUMMYFUNCTION("""COMPUTED_VALUE"""),"Enio Jacintos Pineda.")</f>
        <v>Enio Jacintos Pineda.</v>
      </c>
      <c r="M122" s="1">
        <f ca="1">IFERROR(__xludf.DUMMYFUNCTION("""COMPUTED_VALUE"""),528443577939)</f>
        <v>528443577939</v>
      </c>
      <c r="N122" s="1" t="str">
        <f ca="1">IFERROR(__xludf.DUMMYFUNCTION("""COMPUTED_VALUE"""),"paspineda@gmail.com")</f>
        <v>paspineda@gmail.com</v>
      </c>
      <c r="O122" s="1" t="str">
        <f ca="1">IFERROR(__xludf.DUMMYFUNCTION("""COMPUTED_VALUE"""),"Ministerio de alabanza.")</f>
        <v>Ministerio de alabanza.</v>
      </c>
      <c r="P122" s="1" t="str">
        <f ca="1">IFERROR(__xludf.DUMMYFUNCTION("""COMPUTED_VALUE"""),"Yo nací cuando mis padres ya eran cristianos. Sin embargo, no fue hasta los 17 que realmente comprendí el evangelio y la importancia de una vida integra y consagrada a Dios.")</f>
        <v>Yo nací cuando mis padres ya eran cristianos. Sin embargo, no fue hasta los 17 que realmente comprendí el evangelio y la importancia de una vida integra y consagrada a Dios.</v>
      </c>
      <c r="Q122" s="1" t="str">
        <f ca="1">IFERROR(__xludf.DUMMYFUNCTION("""COMPUTED_VALUE"""),"He asistido como campista años anteriores. Admiro la organización y el trabajo y esfuerzo que realizan para compartir del evangelio a los jóvenes de Latinoamérica y me gustaría aportar mi granito de arena en esta temporada.")</f>
        <v>He asistido como campista años anteriores. Admiro la organización y el trabajo y esfuerzo que realizan para compartir del evangelio a los jóvenes de Latinoamérica y me gustaría aportar mi granito de arena en esta temporada.</v>
      </c>
      <c r="R122" s="1" t="str">
        <f ca="1">IFERROR(__xludf.DUMMYFUNCTION("""COMPUTED_VALUE"""),"No")</f>
        <v>No</v>
      </c>
      <c r="S122" s="1"/>
      <c r="T122" s="1" t="str">
        <f ca="1">IFERROR(__xludf.DUMMYFUNCTION("""COMPUTED_VALUE"""),"Si")</f>
        <v>Si</v>
      </c>
      <c r="U122" s="1" t="str">
        <f ca="1">IFERROR(__xludf.DUMMYFUNCTION("""COMPUTED_VALUE"""),"Piano")</f>
        <v>Piano</v>
      </c>
      <c r="V122" s="1" t="str">
        <f ca="1">IFERROR(__xludf.DUMMYFUNCTION("""COMPUTED_VALUE"""),"Maestría en Administración de empresas y mercadotecnia")</f>
        <v>Maestría en Administración de empresas y mercadotecnia</v>
      </c>
      <c r="W122" s="1" t="str">
        <f ca="1">IFERROR(__xludf.DUMMYFUNCTION("""COMPUTED_VALUE"""),"Doscente")</f>
        <v>Doscente</v>
      </c>
      <c r="X122" s="1" t="str">
        <f ca="1">IFERROR(__xludf.DUMMYFUNCTION("""COMPUTED_VALUE"""),"B. Me gusta animar a las personas, G. Soy más eficiente en el trabajo individual, K. Soy creativo (a), L. Soy bueno (a) en canto o algún instrumento, M. Soy bueno (a) con los números, O. Puedo enseñar con facilidad")</f>
        <v>B. Me gusta animar a las personas, G. Soy más eficiente en el trabajo individual, K. Soy creativo (a), L. Soy bueno (a) en canto o algún instrumento, M. Soy bueno (a) con los números, O. Puedo enseñar con facilidad</v>
      </c>
      <c r="Y122" s="1" t="str">
        <f ca="1">IFERROR(__xludf.DUMMYFUNCTION("""COMPUTED_VALUE"""),"Vuelve(2022) y Reinos(2024)")</f>
        <v>Vuelve(2022) y Reinos(2024)</v>
      </c>
      <c r="Z122" s="1"/>
    </row>
    <row r="123" spans="1:26" x14ac:dyDescent="0.35">
      <c r="A123" s="2">
        <f ca="1">IFERROR(__xludf.DUMMYFUNCTION("""COMPUTED_VALUE"""),45825.5558912037)</f>
        <v>45825.555891203701</v>
      </c>
      <c r="B123" s="1"/>
      <c r="C123" s="1" t="str">
        <f ca="1">IFERROR(__xludf.DUMMYFUNCTION("""COMPUTED_VALUE"""),"Isaac Mateo, Gómez Adame")</f>
        <v>Isaac Mateo, Gómez Adame</v>
      </c>
      <c r="D123" s="1">
        <f ca="1">IFERROR(__xludf.DUMMYFUNCTION("""COMPUTED_VALUE"""),16)</f>
        <v>16</v>
      </c>
      <c r="E123" s="1" t="str">
        <f ca="1">IFERROR(__xludf.DUMMYFUNCTION("""COMPUTED_VALUE"""),"Hombre")</f>
        <v>Hombre</v>
      </c>
      <c r="F123" s="1" t="str">
        <f ca="1">IFERROR(__xludf.DUMMYFUNCTION("""COMPUTED_VALUE"""),"Coahuila, Mexico")</f>
        <v>Coahuila, Mexico</v>
      </c>
      <c r="G123" s="1" t="str">
        <f ca="1">IFERROR(__xludf.DUMMYFUNCTION("""COMPUTED_VALUE"""),"imateogomeza@gmail.com")</f>
        <v>imateogomeza@gmail.com</v>
      </c>
      <c r="H123" s="1">
        <f ca="1">IFERROR(__xludf.DUMMYFUNCTION("""COMPUTED_VALUE"""),528443718905)</f>
        <v>528443718905</v>
      </c>
      <c r="I123" s="1" t="str">
        <f ca="1">IFERROR(__xludf.DUMMYFUNCTION("""COMPUTED_VALUE"""),"Semana de entrenamiento (07 - 13) Julio, Comunidad Jóvenes + 18 (14-19) Julio, Semana de niños y niñas (21-25) Julio, Jóvenes de 13 – 17 años / SEM1/ (28 Julio a 02 de agosto), Jóvenes de 13 – 17 años / SEM2/ (4 - 09 agosto)")</f>
        <v>Semana de entrenamiento (07 - 13) Julio, Comunidad Jóvenes + 18 (14-19) Julio, Semana de niños y niñas (21-25) Julio, Jóvenes de 13 – 17 años / SEM1/ (28 Julio a 02 de agosto), Jóvenes de 13 – 17 años / SEM2/ (4 - 09 agosto)</v>
      </c>
      <c r="J123" s="1" t="str">
        <f ca="1">IFERROR(__xludf.DUMMYFUNCTION("""COMPUTED_VALUE"""),"La Belleza de la Cruz")</f>
        <v>La Belleza de la Cruz</v>
      </c>
      <c r="K123" s="1" t="str">
        <f ca="1">IFERROR(__xludf.DUMMYFUNCTION("""COMPUTED_VALUE"""),"Iglesia Bautista La Capital")</f>
        <v>Iglesia Bautista La Capital</v>
      </c>
      <c r="L123" s="1" t="str">
        <f ca="1">IFERROR(__xludf.DUMMYFUNCTION("""COMPUTED_VALUE"""),"Enio Jacintos Pineda")</f>
        <v>Enio Jacintos Pineda</v>
      </c>
      <c r="M123" s="1">
        <f ca="1">IFERROR(__xludf.DUMMYFUNCTION("""COMPUTED_VALUE"""),528717897929)</f>
        <v>528717897929</v>
      </c>
      <c r="N123" s="1" t="str">
        <f ca="1">IFERROR(__xludf.DUMMYFUNCTION("""COMPUTED_VALUE"""),"paspineda@gmail.com")</f>
        <v>paspineda@gmail.com</v>
      </c>
      <c r="O123" s="1" t="str">
        <f ca="1">IFERROR(__xludf.DUMMYFUNCTION("""COMPUTED_VALUE"""),"En si no estoy directamente a cargo de ninguno, pero mis papas estan encargados de los jovenes y siempre los apoyo en lo que me piden y en lo que pueda.")</f>
        <v>En si no estoy directamente a cargo de ninguno, pero mis papas estan encargados de los jovenes y siempre los apoyo en lo que me piden y en lo que pueda.</v>
      </c>
      <c r="P123" s="1" t="str">
        <f ca="1">IFERROR(__xludf.DUMMYFUNCTION("""COMPUTED_VALUE"""),"Yo nací en una familia cristiana, siempre fui a clases de la escuelita dominical, a las clases de jovenes y reuniones de jovenes, yo sabia que no era salvo pero queria serlo solo que no sabia como, un dia en una reunion de jovenes empecé a hablar con mi p"&amp;"astor sobre el tema y mientras ibamos camino a mi casa el y yo decidi aceptar a Jesús como Mi Señor y salvador, luego empecé a ir a unas reuniones especiales para los que se querian bautizar en la iglesia y un mes después me bautize.")</f>
        <v>Yo nací en una familia cristiana, siempre fui a clases de la escuelita dominical, a las clases de jovenes y reuniones de jovenes, yo sabia que no era salvo pero queria serlo solo que no sabia como, un dia en una reunion de jovenes empecé a hablar con mi pastor sobre el tema y mientras ibamos camino a mi casa el y yo decidi aceptar a Jesús como Mi Señor y salvador, luego empecé a ir a unas reuniones especiales para los que se querian bautizar en la iglesia y un mes después me bautize.</v>
      </c>
      <c r="Q123" s="1" t="str">
        <f ca="1">IFERROR(__xludf.DUMMYFUNCTION("""COMPUTED_VALUE"""),"A mi iglesia vinieron unos chavos del instituto biblico, yo tenia la idea de ir de equipante pero estaba dudoso asi que hable con todos los chavos, los acompañe a todas las actividades que pude y todos me motivaron a ir al campamento.")</f>
        <v>A mi iglesia vinieron unos chavos del instituto biblico, yo tenia la idea de ir de equipante pero estaba dudoso asi que hable con todos los chavos, los acompañe a todas las actividades que pude y todos me motivaron a ir al campamento.</v>
      </c>
      <c r="R123" s="1" t="str">
        <f ca="1">IFERROR(__xludf.DUMMYFUNCTION("""COMPUTED_VALUE"""),"Si")</f>
        <v>Si</v>
      </c>
      <c r="S123" s="1" t="str">
        <f ca="1">IFERROR(__xludf.DUMMYFUNCTION("""COMPUTED_VALUE"""),"Fútbol y artes marciales")</f>
        <v>Fútbol y artes marciales</v>
      </c>
      <c r="T123" s="1" t="str">
        <f ca="1">IFERROR(__xludf.DUMMYFUNCTION("""COMPUTED_VALUE"""),"Si")</f>
        <v>Si</v>
      </c>
      <c r="U123" s="1" t="str">
        <f ca="1">IFERROR(__xludf.DUMMYFUNCTION("""COMPUTED_VALUE"""),"Bateria")</f>
        <v>Bateria</v>
      </c>
      <c r="V123" s="1" t="str">
        <f ca="1">IFERROR(__xludf.DUMMYFUNCTION("""COMPUTED_VALUE"""),"Estudio actualmente la preparatoria, en Agosto entraré a mi ultimo año si Dios quiere y planeo estudiar medicina acabando.")</f>
        <v>Estudio actualmente la preparatoria, en Agosto entraré a mi ultimo año si Dios quiere y planeo estudiar medicina acabando.</v>
      </c>
      <c r="W123" s="1" t="str">
        <f ca="1">IFERROR(__xludf.DUMMYFUNCTION("""COMPUTED_VALUE"""),"Yo creo que soy bueno hablando, improvisando, cuidando niños, cargando cosas, se usar varias cosas de computadoras como word,excel,powerpoint, se 2 lenguajes de programacion, halo 3 idiomas.")</f>
        <v>Yo creo que soy bueno hablando, improvisando, cuidando niños, cargando cosas, se usar varias cosas de computadoras como word,excel,powerpoint, se 2 lenguajes de programacion, halo 3 idiomas.</v>
      </c>
      <c r="X123" s="1" t="str">
        <f ca="1">IFERROR(__xludf.DUMMYFUNCTION("""COMPUTED_VALUE"""),"B. Me gusta animar a las personas, D. Me gustan los deportes, E. Me gusta el trabajo con niños, G. Soy más eficiente en el trabajo individual, I. Se me facilita el trabajo físico, K. Soy creativo (a), M. Soy bueno (a) con los números, N. Suelo llevar el l"&amp;"iderazgo en un grupo, O. Puedo enseñar con facilidad")</f>
        <v>B. Me gusta animar a las personas, D. Me gustan los deportes, E. Me gusta el trabajo con niños, G. Soy más eficiente en el trabajo individual, I. Se me facilita el trabajo físico, K. Soy creativo (a), M. Soy bueno (a) con los números, N. Suelo llevar el liderazgo en un grupo, O. Puedo enseñar con facilidad</v>
      </c>
      <c r="Y123" s="1" t="str">
        <f ca="1">IFERROR(__xludf.DUMMYFUNCTION("""COMPUTED_VALUE"""),"Fui los ultimos dos años, osea verano de 2023 y 2024")</f>
        <v>Fui los ultimos dos años, osea verano de 2023 y 2024</v>
      </c>
      <c r="Z123" s="1"/>
    </row>
    <row r="124" spans="1:26" x14ac:dyDescent="0.35">
      <c r="A124" s="2">
        <f ca="1">IFERROR(__xludf.DUMMYFUNCTION("""COMPUTED_VALUE"""),45825.612511574)</f>
        <v>45825.612511574</v>
      </c>
      <c r="B124" s="1"/>
      <c r="C124" s="1" t="str">
        <f ca="1">IFERROR(__xludf.DUMMYFUNCTION("""COMPUTED_VALUE"""),"Regina, Aquino Molina")</f>
        <v>Regina, Aquino Molina</v>
      </c>
      <c r="D124" s="1">
        <f ca="1">IFERROR(__xludf.DUMMYFUNCTION("""COMPUTED_VALUE"""),15)</f>
        <v>15</v>
      </c>
      <c r="E124" s="1" t="str">
        <f ca="1">IFERROR(__xludf.DUMMYFUNCTION("""COMPUTED_VALUE"""),"Mujer")</f>
        <v>Mujer</v>
      </c>
      <c r="F124" s="1" t="str">
        <f ca="1">IFERROR(__xludf.DUMMYFUNCTION("""COMPUTED_VALUE"""),"Oaxaca, Mexico")</f>
        <v>Oaxaca, Mexico</v>
      </c>
      <c r="G124" s="1" t="str">
        <f ca="1">IFERROR(__xludf.DUMMYFUNCTION("""COMPUTED_VALUE"""),"regina.aquino.molina@gmail.com")</f>
        <v>regina.aquino.molina@gmail.com</v>
      </c>
      <c r="H124" s="1">
        <f ca="1">IFERROR(__xludf.DUMMYFUNCTION("""COMPUTED_VALUE"""),524434111029)</f>
        <v>524434111029</v>
      </c>
      <c r="I124" s="1" t="str">
        <f ca="1">IFERROR(__xludf.DUMMYFUNCTION("""COMPUTED_VALUE"""),"Semana de niños y niñas (21-25) Julio")</f>
        <v>Semana de niños y niñas (21-25) Julio</v>
      </c>
      <c r="J124" s="1" t="str">
        <f ca="1">IFERROR(__xludf.DUMMYFUNCTION("""COMPUTED_VALUE"""),"Ninguno")</f>
        <v>Ninguno</v>
      </c>
      <c r="K124" s="1" t="str">
        <f ca="1">IFERROR(__xludf.DUMMYFUNCTION("""COMPUTED_VALUE"""),"Campamento de Dios")</f>
        <v>Campamento de Dios</v>
      </c>
      <c r="L124" s="1" t="str">
        <f ca="1">IFERROR(__xludf.DUMMYFUNCTION("""COMPUTED_VALUE"""),"Jorge Carranza")</f>
        <v>Jorge Carranza</v>
      </c>
      <c r="M124" s="1">
        <f ca="1">IFERROR(__xludf.DUMMYFUNCTION("""COMPUTED_VALUE"""),52755572728)</f>
        <v>52755572728</v>
      </c>
      <c r="N124" s="1" t="str">
        <f ca="1">IFERROR(__xludf.DUMMYFUNCTION("""COMPUTED_VALUE"""),"pastorjorgecarranza@hotmail.com")</f>
        <v>pastorjorgecarranza@hotmail.com</v>
      </c>
      <c r="O124" s="1" t="str">
        <f ca="1">IFERROR(__xludf.DUMMYFUNCTION("""COMPUTED_VALUE"""),"Ayudante de maestra de niños")</f>
        <v>Ayudante de maestra de niños</v>
      </c>
      <c r="P124" s="1" t="str">
        <f ca="1">IFERROR(__xludf.DUMMYFUNCTION("""COMPUTED_VALUE"""),"Estaba pequeña jugando con mi hermana mayor y me comenzó a explicar sobre cómo Dios había salvado a todos de nuestros pecados con ayuda de Jesús entonces ahí decidí aceptar a cristo en mi corazón")</f>
        <v>Estaba pequeña jugando con mi hermana mayor y me comenzó a explicar sobre cómo Dios había salvado a todos de nuestros pecados con ayuda de Jesús entonces ahí decidí aceptar a cristo en mi corazón</v>
      </c>
      <c r="Q124" s="1" t="str">
        <f ca="1">IFERROR(__xludf.DUMMYFUNCTION("""COMPUTED_VALUE"""),"Porque mi mami quiere que aprenda a servir")</f>
        <v>Porque mi mami quiere que aprenda a servir</v>
      </c>
      <c r="R124" s="1" t="str">
        <f ca="1">IFERROR(__xludf.DUMMYFUNCTION("""COMPUTED_VALUE"""),"No")</f>
        <v>No</v>
      </c>
      <c r="S124" s="1"/>
      <c r="T124" s="1" t="str">
        <f ca="1">IFERROR(__xludf.DUMMYFUNCTION("""COMPUTED_VALUE"""),"No")</f>
        <v>No</v>
      </c>
      <c r="U124" s="1"/>
      <c r="V124" s="1" t="str">
        <f ca="1">IFERROR(__xludf.DUMMYFUNCTION("""COMPUTED_VALUE"""),"Preparatoria")</f>
        <v>Preparatoria</v>
      </c>
      <c r="W124" s="1" t="str">
        <f ca="1">IFERROR(__xludf.DUMMYFUNCTION("""COMPUTED_VALUE"""),"Canto, soy creativa sé escuchar")</f>
        <v>Canto, soy creativa sé escuchar</v>
      </c>
      <c r="X124" s="1" t="str">
        <f ca="1">IFERROR(__xludf.DUMMYFUNCTION("""COMPUTED_VALUE"""),"B. Me gusta animar a las personas, C. Suelo buscar que el trabajo se realice en equipo, D. Me gustan los deportes, E. Me gusta el trabajo con niños, H. Soy organizado (a), I. Se me facilita el trabajo físico, K. Soy creativo (a), L. Soy bueno (a) en canto"&amp;" o algún instrumento, N. Suelo llevar el liderazgo en un grupo")</f>
        <v>B. Me gusta animar a las personas, C. Suelo buscar que el trabajo se realice en equipo, D. Me gustan los deportes, E. Me gusta el trabajo con niños, H. Soy organizado (a), I. Se me facilita el trabajo físico, K. Soy creativo (a), L. Soy bueno (a) en canto o algún instrumento, N. Suelo llevar el liderazgo en un grupo</v>
      </c>
      <c r="Y124" s="1" t="str">
        <f ca="1">IFERROR(__xludf.DUMMYFUNCTION("""COMPUTED_VALUE"""),"Si, en la temporada 2018 niños y 2024")</f>
        <v>Si, en la temporada 2018 niños y 2024</v>
      </c>
      <c r="Z124" s="1"/>
    </row>
    <row r="125" spans="1:26" x14ac:dyDescent="0.35">
      <c r="A125" s="2">
        <f ca="1">IFERROR(__xludf.DUMMYFUNCTION("""COMPUTED_VALUE"""),45825.6221527777)</f>
        <v>45825.622152777702</v>
      </c>
      <c r="B125" s="1"/>
      <c r="C125" s="1" t="str">
        <f ca="1">IFERROR(__xludf.DUMMYFUNCTION("""COMPUTED_VALUE"""),"Zoe Abigail, Campis Román")</f>
        <v>Zoe Abigail, Campis Román</v>
      </c>
      <c r="D125" s="1">
        <f ca="1">IFERROR(__xludf.DUMMYFUNCTION("""COMPUTED_VALUE"""),14)</f>
        <v>14</v>
      </c>
      <c r="E125" s="1" t="str">
        <f ca="1">IFERROR(__xludf.DUMMYFUNCTION("""COMPUTED_VALUE"""),"Mujer")</f>
        <v>Mujer</v>
      </c>
      <c r="F125" s="1" t="str">
        <f ca="1">IFERROR(__xludf.DUMMYFUNCTION("""COMPUTED_VALUE"""),"Queretaro, Mexico")</f>
        <v>Queretaro, Mexico</v>
      </c>
      <c r="G125" s="1" t="str">
        <f ca="1">IFERROR(__xludf.DUMMYFUNCTION("""COMPUTED_VALUE"""),"zoeabigailcampis@gmail.com")</f>
        <v>zoeabigailcampis@gmail.com</v>
      </c>
      <c r="H125" s="1">
        <f ca="1">IFERROR(__xludf.DUMMYFUNCTION("""COMPUTED_VALUE"""),524411298718)</f>
        <v>524411298718</v>
      </c>
      <c r="I125" s="1" t="str">
        <f ca="1">IFERROR(__xludf.DUMMYFUNCTION("""COMPUTED_VALUE"""),"Semana de niños y niñas (21-25) Julio, Jóvenes de 13 – 17 años / SEM1/ (28 Julio a 02 de agosto), Jóvenes de 13 – 17 años / SEM2/ (4 - 09 agosto), Jóvenes de 13 – 17 años / SEM3/ (11 - 16 agosto)")</f>
        <v>Semana de niños y niñas (21-25) Julio, Jóvenes de 13 – 17 años / SEM1/ (28 Julio a 02 de agosto), Jóvenes de 13 – 17 años / SEM2/ (4 - 09 agosto), Jóvenes de 13 – 17 años / SEM3/ (11 - 16 agosto)</v>
      </c>
      <c r="J125" s="1" t="str">
        <f ca="1">IFERROR(__xludf.DUMMYFUNCTION("""COMPUTED_VALUE"""),"Quiet time")</f>
        <v>Quiet time</v>
      </c>
      <c r="K125" s="1" t="str">
        <f ca="1">IFERROR(__xludf.DUMMYFUNCTION("""COMPUTED_VALUE"""),"Iglesia Bíblica Misionera Tequisquiapan")</f>
        <v>Iglesia Bíblica Misionera Tequisquiapan</v>
      </c>
      <c r="L125" s="1" t="str">
        <f ca="1">IFERROR(__xludf.DUMMYFUNCTION("""COMPUTED_VALUE"""),"Coleman Priske Bond")</f>
        <v>Coleman Priske Bond</v>
      </c>
      <c r="M125" s="1">
        <f ca="1">IFERROR(__xludf.DUMMYFUNCTION("""COMPUTED_VALUE"""),524141017265)</f>
        <v>524141017265</v>
      </c>
      <c r="N125" s="1" t="str">
        <f ca="1">IFERROR(__xludf.DUMMYFUNCTION("""COMPUTED_VALUE"""),"colemanpriske@gmail.com")</f>
        <v>colemanpriske@gmail.com</v>
      </c>
      <c r="O125" s="1" t="str">
        <f ca="1">IFERROR(__xludf.DUMMYFUNCTION("""COMPUTED_VALUE"""),"Ninguno")</f>
        <v>Ninguno</v>
      </c>
      <c r="P125" s="1" t="str">
        <f ca="1">IFERROR(__xludf.DUMMYFUNCTION("""COMPUTED_VALUE"""),"Desde que era pequeña mis papás me criaron en la palabra, pero fue en un campamento a los 8 años que el señor habló a mi vida porque tenía mucha culpa por mis pecados y por cosas que había mantenido ocultas, y en ese campamento acepté a Cristo.")</f>
        <v>Desde que era pequeña mis papás me criaron en la palabra, pero fue en un campamento a los 8 años que el señor habló a mi vida porque tenía mucha culpa por mis pecados y por cosas que había mantenido ocultas, y en ese campamento acepté a Cristo.</v>
      </c>
      <c r="Q125" s="1" t="str">
        <f ca="1">IFERROR(__xludf.DUMMYFUNCTION("""COMPUTED_VALUE"""),"Creo que es una buena oportunidad de servir a Dios y de descubrir en qué soy buena para servir en algún ministerio en mi iglesia.")</f>
        <v>Creo que es una buena oportunidad de servir a Dios y de descubrir en qué soy buena para servir en algún ministerio en mi iglesia.</v>
      </c>
      <c r="R125" s="1" t="str">
        <f ca="1">IFERROR(__xludf.DUMMYFUNCTION("""COMPUTED_VALUE"""),"Si")</f>
        <v>Si</v>
      </c>
      <c r="S125" s="1" t="str">
        <f ca="1">IFERROR(__xludf.DUMMYFUNCTION("""COMPUTED_VALUE"""),"Boxeo")</f>
        <v>Boxeo</v>
      </c>
      <c r="T125" s="1" t="str">
        <f ca="1">IFERROR(__xludf.DUMMYFUNCTION("""COMPUTED_VALUE"""),"No")</f>
        <v>No</v>
      </c>
      <c r="U125" s="1"/>
      <c r="V125" s="1" t="str">
        <f ca="1">IFERROR(__xludf.DUMMYFUNCTION("""COMPUTED_VALUE"""),"Preparatoria")</f>
        <v>Preparatoria</v>
      </c>
      <c r="W125" s="1" t="str">
        <f ca="1">IFERROR(__xludf.DUMMYFUNCTION("""COMPUTED_VALUE"""),"Me gusta pintar, soy organizada.")</f>
        <v>Me gusta pintar, soy organizada.</v>
      </c>
      <c r="X125" s="1" t="str">
        <f ca="1">IFERROR(__xludf.DUMMYFUNCTION("""COMPUTED_VALUE"""),"D. Me gustan los deportes, G. Soy más eficiente en el trabajo individual, H. Soy organizado (a), J. Me gusta la atención a las personas, K. Soy creativo (a)")</f>
        <v>D. Me gustan los deportes, G. Soy más eficiente en el trabajo individual, H. Soy organizado (a), J. Me gusta la atención a las personas, K. Soy creativo (a)</v>
      </c>
      <c r="Y125" s="1" t="str">
        <f ca="1">IFERROR(__xludf.DUMMYFUNCTION("""COMPUTED_VALUE"""),"En todas las temporadas desde el 2016")</f>
        <v>En todas las temporadas desde el 2016</v>
      </c>
      <c r="Z125" s="1"/>
    </row>
    <row r="126" spans="1:26" x14ac:dyDescent="0.35">
      <c r="A126" s="2">
        <f ca="1">IFERROR(__xludf.DUMMYFUNCTION("""COMPUTED_VALUE"""),45826.2616666666)</f>
        <v>45826.2616666666</v>
      </c>
      <c r="B126" s="1"/>
      <c r="C126" s="1" t="str">
        <f ca="1">IFERROR(__xludf.DUMMYFUNCTION("""COMPUTED_VALUE"""),"Valeria Yomal, Alvarez Avila")</f>
        <v>Valeria Yomal, Alvarez Avila</v>
      </c>
      <c r="D126" s="1">
        <f ca="1">IFERROR(__xludf.DUMMYFUNCTION("""COMPUTED_VALUE"""),20)</f>
        <v>20</v>
      </c>
      <c r="E126" s="1" t="str">
        <f ca="1">IFERROR(__xludf.DUMMYFUNCTION("""COMPUTED_VALUE"""),"Mujer")</f>
        <v>Mujer</v>
      </c>
      <c r="F126" s="1" t="str">
        <f ca="1">IFERROR(__xludf.DUMMYFUNCTION("""COMPUTED_VALUE"""),"Queretaro, Mexico")</f>
        <v>Queretaro, Mexico</v>
      </c>
      <c r="G126" s="1" t="str">
        <f ca="1">IFERROR(__xludf.DUMMYFUNCTION("""COMPUTED_VALUE"""),"valeyomyalvarezavila@gmail.com")</f>
        <v>valeyomyalvarezavila@gmail.com</v>
      </c>
      <c r="H126" s="1">
        <f ca="1">IFERROR(__xludf.DUMMYFUNCTION("""COMPUTED_VALUE"""),524427474080)</f>
        <v>524427474080</v>
      </c>
      <c r="I126" s="1" t="str">
        <f ca="1">IFERROR(__xludf.DUMMYFUNCTION("""COMPUTED_VALUE"""),"Semana de entrenamiento (07 - 13) Julio, Comunidad Jóvenes + 18 (14-19) Julio, Semana de niños y niñas (21-25) Julio, Jóvenes de 13 – 17 años / SEM1/ (28 Julio a 02 de agosto)")</f>
        <v>Semana de entrenamiento (07 - 13) Julio, Comunidad Jóvenes + 18 (14-19) Julio, Semana de niños y niñas (21-25) Julio, Jóvenes de 13 – 17 años / SEM1/ (28 Julio a 02 de agosto)</v>
      </c>
      <c r="J126" s="1" t="str">
        <f ca="1">IFERROR(__xludf.DUMMYFUNCTION("""COMPUTED_VALUE"""),"Quiet time")</f>
        <v>Quiet time</v>
      </c>
      <c r="K126" s="1" t="str">
        <f ca="1">IFERROR(__xludf.DUMMYFUNCTION("""COMPUTED_VALUE"""),"Vida nueva para el mundo Querétaro")</f>
        <v>Vida nueva para el mundo Querétaro</v>
      </c>
      <c r="L126" s="1" t="str">
        <f ca="1">IFERROR(__xludf.DUMMYFUNCTION("""COMPUTED_VALUE"""),"David Alducin")</f>
        <v>David Alducin</v>
      </c>
      <c r="M126" s="1">
        <f ca="1">IFERROR(__xludf.DUMMYFUNCTION("""COMPUTED_VALUE"""),527229808024)</f>
        <v>527229808024</v>
      </c>
      <c r="N126" s="1" t="str">
        <f ca="1">IFERROR(__xludf.DUMMYFUNCTION("""COMPUTED_VALUE"""),"davealducin@gmail.com")</f>
        <v>davealducin@gmail.com</v>
      </c>
      <c r="O126" s="1" t="str">
        <f ca="1">IFERROR(__xludf.DUMMYFUNCTION("""COMPUTED_VALUE"""),"Escuela dominical y grupo de jóvenes")</f>
        <v>Escuela dominical y grupo de jóvenes</v>
      </c>
      <c r="P126" s="1" t="str">
        <f ca="1">IFERROR(__xludf.DUMMYFUNCTION("""COMPUTED_VALUE"""),"Mi abuelita materna ella nos hablaba de Jesús y nos mantenía en oración a toda mi familia, nos hablaba de una promesa “ Cree en el Señor Jesucristo, y serás salvo, tú y tu casa”.
Por un tiempo mi abue estuvo viviendo con nosotros y justo por esas fechas r"&amp;"ecién abrieron vnpq ella al enterarse de esto nos pidió si las podíamos llevar a un servicio dominical, ya estando ahí nos extendió una invitación a toda mi familia, mi papá en ese entonces un poco escéptico decidió quedarse, por lo tanto toda mi fam se q"&amp;"uedó (al principio fue por compromiso, casi obligación), pero justo ese día toda mi familia y yo escuchamos un mensaje que tocó lo más profundo de nuestro ser: que Dios nos ama y él tiene un plan en nuestra vida para mí, pero que somos pecadores y el peca"&amp;"do nos separaba de Dios, pero que también había una solución y es Jesús; nuestro pecado había sido perdonado porque él murió en la cruz para perdonarnos, no porque lo mereciéramos sino por gracia y amor.  Ese día no entregué mi vida a Cristo, pero ayudo a"&amp;" que fuéramos más constantes en las reuniones de la iglesia y en buscarlo, al pasar un par de meses decidí entregar mi vida a Cristo al igual que toda mi familia.")</f>
        <v>Mi abuelita materna ella nos hablaba de Jesús y nos mantenía en oración a toda mi familia, nos hablaba de una promesa “ Cree en el Señor Jesucristo, y serás salvo, tú y tu casa”.
Por un tiempo mi abue estuvo viviendo con nosotros y justo por esas fechas recién abrieron vnpq ella al enterarse de esto nos pidió si las podíamos llevar a un servicio dominical, ya estando ahí nos extendió una invitación a toda mi familia, mi papá en ese entonces un poco escéptico decidió quedarse, por lo tanto toda mi fam se quedó (al principio fue por compromiso, casi obligación), pero justo ese día toda mi familia y yo escuchamos un mensaje que tocó lo más profundo de nuestro ser: que Dios nos ama y él tiene un plan en nuestra vida para mí, pero que somos pecadores y el pecado nos separaba de Dios, pero que también había una solución y es Jesús; nuestro pecado había sido perdonado porque él murió en la cruz para perdonarnos, no porque lo mereciéramos sino por gracia y amor.  Ese día no entregué mi vida a Cristo, pero ayudo a que fuéramos más constantes en las reuniones de la iglesia y en buscarlo, al pasar un par de meses decidí entregar mi vida a Cristo al igual que toda mi familia.</v>
      </c>
      <c r="Q126" s="1" t="str">
        <f ca="1">IFERROR(__xludf.DUMMYFUNCTION("""COMPUTED_VALUE"""),"Deseo ser equipante voluntario nuevamente porque he experimentado de primera mano cómo Dios usa estos espacios para transformar vidas, no solo de los campistas, sino también de los que servimos. En mi experiencia anterior, tuve el privilegio de compartir "&amp;"el evangelio con varios jóvenes y ver cómo algunos tomaban decisiones por Cristo. Esa vivencia marcó mi corazón y me recordó que no hay mayor gozo que servir a Dios y ver Su obra en acción.
Volver a servir como equipante no es solo una responsabilidad, s"&amp;"ino un honor. Anhelo seguir creciendo como sierva de Cristo, ser parte de un equipo que refleja el amor de Dios, y aprovechar cada oportunidad para sembrar la Palabra en corazones que quizás nunca la han escuchado antes.
Estoy convencida de que Dios sigu"&amp;"e llamando obreros a Su mies, y quiero responder a ese llamado con disposición, amor y obediencia. Mi oración es ser útil en sus manos, acompañar espiritualmente a los campistas, y seguir compartiendo el mensaje de salvación que cambió mi vida.")</f>
        <v>Deseo ser equipante voluntario nuevamente porque he experimentado de primera mano cómo Dios usa estos espacios para transformar vidas, no solo de los campistas, sino también de los que servimos. En mi experiencia anterior, tuve el privilegio de compartir el evangelio con varios jóvenes y ver cómo algunos tomaban decisiones por Cristo. Esa vivencia marcó mi corazón y me recordó que no hay mayor gozo que servir a Dios y ver Su obra en acción.
Volver a servir como equipante no es solo una responsabilidad, sino un honor. Anhelo seguir creciendo como sierva de Cristo, ser parte de un equipo que refleja el amor de Dios, y aprovechar cada oportunidad para sembrar la Palabra en corazones que quizás nunca la han escuchado antes.
Estoy convencida de que Dios sigue llamando obreros a Su mies, y quiero responder a ese llamado con disposición, amor y obediencia. Mi oración es ser útil en sus manos, acompañar espiritualmente a los campistas, y seguir compartiendo el mensaje de salvación que cambió mi vida.</v>
      </c>
      <c r="R126" s="1" t="str">
        <f ca="1">IFERROR(__xludf.DUMMYFUNCTION("""COMPUTED_VALUE"""),"Si")</f>
        <v>Si</v>
      </c>
      <c r="S126" s="1" t="str">
        <f ca="1">IFERROR(__xludf.DUMMYFUNCTION("""COMPUTED_VALUE"""),"Esgrima")</f>
        <v>Esgrima</v>
      </c>
      <c r="T126" s="1" t="str">
        <f ca="1">IFERROR(__xludf.DUMMYFUNCTION("""COMPUTED_VALUE"""),"No")</f>
        <v>No</v>
      </c>
      <c r="U126" s="1"/>
      <c r="V126" s="1" t="str">
        <f ca="1">IFERROR(__xludf.DUMMYFUNCTION("""COMPUTED_VALUE"""),"Medicina")</f>
        <v>Medicina</v>
      </c>
      <c r="W126" s="1" t="str">
        <f ca="1">IFERROR(__xludf.DUMMYFUNCTION("""COMPUTED_VALUE"""),"Tengo un curso básico y cuento con el conocimiento necesario para dar primeros auxilios y de manera interpersonal tengo buena comunicación afectiva, liderazgo, empatía, paciencia y actitud")</f>
        <v>Tengo un curso básico y cuento con el conocimiento necesario para dar primeros auxilios y de manera interpersonal tengo buena comunicación afectiva, liderazgo, empatía, paciencia y actitud</v>
      </c>
      <c r="X126" s="1" t="str">
        <f ca="1">IFERROR(__xludf.DUMMYFUNCTION("""COMPUTED_VALUE"""),"B. Me gusta animar a las personas, C. Suelo buscar que el trabajo se realice en equipo, D. Me gustan los deportes, E. Me gusta el trabajo con niños, F. Soy eficiente en el trabajo con herramientas, equipos y maquinarias, G. Soy más eficiente en el trabajo"&amp;" individual, I. Se me facilita el trabajo físico, J. Me gusta la atención a las personas, M. Soy bueno (a) con los números, N. Suelo llevar el liderazgo en un grupo, O. Puedo enseñar con facilidad")</f>
        <v>B. Me gusta animar a las personas, C. Suelo buscar que el trabajo se realice en equipo, D. Me gustan los deportes, E. Me gusta el trabajo con niños, F. Soy eficiente en el trabajo con herramientas, equipos y maquinarias, G. Soy más eficiente en el trabajo individual, I. Se me facilita el trabajo físico, J. Me gusta la atención a las personas, M. Soy bueno (a) con los números, N. Suelo llevar el liderazgo en un grupo, O. Puedo enseñar con facilidad</v>
      </c>
      <c r="Y126" s="1" t="str">
        <f ca="1">IFERROR(__xludf.DUMMYFUNCTION("""COMPUTED_VALUE"""),"Si  2019, 2022, 2023")</f>
        <v>Si  2019, 2022, 2023</v>
      </c>
      <c r="Z126" s="1"/>
    </row>
    <row r="127" spans="1:26" x14ac:dyDescent="0.35">
      <c r="A127" s="2">
        <f ca="1">IFERROR(__xludf.DUMMYFUNCTION("""COMPUTED_VALUE"""),45826.9543981481)</f>
        <v>45826.954398148097</v>
      </c>
      <c r="B127" s="1"/>
      <c r="C127" s="1" t="str">
        <f ca="1">IFERROR(__xludf.DUMMYFUNCTION("""COMPUTED_VALUE"""),"Edith, Monroy Palomo")</f>
        <v>Edith, Monroy Palomo</v>
      </c>
      <c r="D127" s="1">
        <f ca="1">IFERROR(__xludf.DUMMYFUNCTION("""COMPUTED_VALUE"""),19)</f>
        <v>19</v>
      </c>
      <c r="E127" s="1" t="str">
        <f ca="1">IFERROR(__xludf.DUMMYFUNCTION("""COMPUTED_VALUE"""),"Mujer")</f>
        <v>Mujer</v>
      </c>
      <c r="F127" s="1" t="str">
        <f ca="1">IFERROR(__xludf.DUMMYFUNCTION("""COMPUTED_VALUE"""),"San Luis Potosi, Mexico")</f>
        <v>San Luis Potosi, Mexico</v>
      </c>
      <c r="G127" s="1" t="str">
        <f ca="1">IFERROR(__xludf.DUMMYFUNCTION("""COMPUTED_VALUE"""),"monroy.palomo.edith@gmail.com")</f>
        <v>monroy.palomo.edith@gmail.com</v>
      </c>
      <c r="H127" s="1" t="str">
        <f ca="1">IFERROR(__xludf.DUMMYFUNCTION("""COMPUTED_VALUE"""),"#ERROR!")</f>
        <v>#ERROR!</v>
      </c>
      <c r="I127" s="1" t="str">
        <f ca="1">IFERROR(__xludf.DUMMYFUNCTION("""COMPUTED_VALUE"""),"Semana de entrenamiento (07 - 13) Julio, Comunidad Jóvenes + 18 (14-19) Julio, Semana de niños y niñas (21-25) Julio, Jóvenes de 13 – 17 años / SEM1/ (28 Julio a 02 de agosto)")</f>
        <v>Semana de entrenamiento (07 - 13) Julio, Comunidad Jóvenes + 18 (14-19) Julio, Semana de niños y niñas (21-25) Julio, Jóvenes de 13 – 17 años / SEM1/ (28 Julio a 02 de agosto)</v>
      </c>
      <c r="J127" s="1" t="str">
        <f ca="1">IFERROR(__xludf.DUMMYFUNCTION("""COMPUTED_VALUE"""),"HS y personal")</f>
        <v>HS y personal</v>
      </c>
      <c r="K127" s="1" t="str">
        <f ca="1">IFERROR(__xludf.DUMMYFUNCTION("""COMPUTED_VALUE"""),"Iglesia Bíblica Bautista de San Luis Potosí")</f>
        <v>Iglesia Bíblica Bautista de San Luis Potosí</v>
      </c>
      <c r="L127" s="1" t="str">
        <f ca="1">IFERROR(__xludf.DUMMYFUNCTION("""COMPUTED_VALUE"""),"Pastor Luis Ramos")</f>
        <v>Pastor Luis Ramos</v>
      </c>
      <c r="M127" s="1">
        <f ca="1">IFERROR(__xludf.DUMMYFUNCTION("""COMPUTED_VALUE"""),524441306627)</f>
        <v>524441306627</v>
      </c>
      <c r="N127" s="1" t="str">
        <f ca="1">IFERROR(__xludf.DUMMYFUNCTION("""COMPUTED_VALUE"""),"Ibb_pastor@yahoo.com.mx")</f>
        <v>Ibb_pastor@yahoo.com.mx</v>
      </c>
      <c r="O127" s="1" t="str">
        <f ca="1">IFERROR(__xludf.DUMMYFUNCTION("""COMPUTED_VALUE"""),"Cuidado de bebés y Coro Juvenil")</f>
        <v>Cuidado de bebés y Coro Juvenil</v>
      </c>
      <c r="P127" s="1" t="str">
        <f ca="1">IFERROR(__xludf.DUMMYFUNCTION("""COMPUTED_VALUE"""),"Enpecé a asistir a la iglesia a los 4 años pero no experimenté un verdadero encuentro con Dios hasta un campamento de PV a mis 14 años. Todo cambió 🫶🏻")</f>
        <v>Enpecé a asistir a la iglesia a los 4 años pero no experimenté un verdadero encuentro con Dios hasta un campamento de PV a mis 14 años. Todo cambió 🫶🏻</v>
      </c>
      <c r="Q127" s="1" t="str">
        <f ca="1">IFERROR(__xludf.DUMMYFUNCTION("""COMPUTED_VALUE"""),"Me encantaaa. He disfrutado mucho servir, el año pasado Dios me concedió ser consejera y amé el estar cerca de las camperas y compartir sus cargas. Ver a Dios obrar en todo momentos es muy grato!")</f>
        <v>Me encantaaa. He disfrutado mucho servir, el año pasado Dios me concedió ser consejera y amé el estar cerca de las camperas y compartir sus cargas. Ver a Dios obrar en todo momentos es muy grato!</v>
      </c>
      <c r="R127" s="1" t="str">
        <f ca="1">IFERROR(__xludf.DUMMYFUNCTION("""COMPUTED_VALUE"""),"Si")</f>
        <v>Si</v>
      </c>
      <c r="S127" s="1" t="str">
        <f ca="1">IFERROR(__xludf.DUMMYFUNCTION("""COMPUTED_VALUE"""),"Volley")</f>
        <v>Volley</v>
      </c>
      <c r="T127" s="1" t="str">
        <f ca="1">IFERROR(__xludf.DUMMYFUNCTION("""COMPUTED_VALUE"""),"Si")</f>
        <v>Si</v>
      </c>
      <c r="U127" s="1" t="str">
        <f ca="1">IFERROR(__xludf.DUMMYFUNCTION("""COMPUTED_VALUE"""),"Canto")</f>
        <v>Canto</v>
      </c>
      <c r="V127" s="1" t="str">
        <f ca="1">IFERROR(__xludf.DUMMYFUNCTION("""COMPUTED_VALUE"""),"Lic. en Nutrición")</f>
        <v>Lic. en Nutrición</v>
      </c>
      <c r="W127" s="1" t="str">
        <f ca="1">IFERROR(__xludf.DUMMYFUNCTION("""COMPUTED_VALUE"""),"Repostería y cocina, manualidades, escucha activa.")</f>
        <v>Repostería y cocina, manualidades, escucha activa.</v>
      </c>
      <c r="X127" s="1" t="str">
        <f ca="1">IFERROR(__xludf.DUMMYFUNCTION("""COMPUTED_VALUE"""),"A. Soy un discipulador activo, B. Me gusta animar a las personas, G. Soy más eficiente en el trabajo individual, H. Soy organizado (a), J. Me gusta la atención a las personas, K. Soy creativo (a), L. Soy bueno (a) en canto o algún instrumento, M. Soy buen"&amp;"o (a) con los números, N. Suelo llevar el liderazgo en un grupo, O. Puedo enseñar con facilidad")</f>
        <v>A. Soy un discipulador activo, B. Me gusta animar a las personas, G. Soy más eficiente en el trabajo individual, H. Soy organizado (a), J. Me gusta la atención a las personas, K. Soy creativo (a), L. Soy bueno (a) en canto o algún instrumento, M. Soy bueno (a) con los números, N. Suelo llevar el liderazgo en un grupo, O. Puedo enseñar con facilidad</v>
      </c>
      <c r="Y127" s="1" t="str">
        <f ca="1">IFERROR(__xludf.DUMMYFUNCTION("""COMPUTED_VALUE"""),"Desde 2012 hasta 2022, excepto por pandemia y 2019")</f>
        <v>Desde 2012 hasta 2022, excepto por pandemia y 2019</v>
      </c>
      <c r="Z127" s="1"/>
    </row>
    <row r="128" spans="1:26" x14ac:dyDescent="0.35">
      <c r="A128" s="2">
        <f ca="1">IFERROR(__xludf.DUMMYFUNCTION("""COMPUTED_VALUE"""),45826.9910532407)</f>
        <v>45826.991053240701</v>
      </c>
      <c r="B128" s="1"/>
      <c r="C128" s="1" t="str">
        <f ca="1">IFERROR(__xludf.DUMMYFUNCTION("""COMPUTED_VALUE"""),"Aranza, ocaña")</f>
        <v>Aranza, ocaña</v>
      </c>
      <c r="D128" s="1">
        <f ca="1">IFERROR(__xludf.DUMMYFUNCTION("""COMPUTED_VALUE"""),21)</f>
        <v>21</v>
      </c>
      <c r="E128" s="1" t="str">
        <f ca="1">IFERROR(__xludf.DUMMYFUNCTION("""COMPUTED_VALUE"""),"Mujer")</f>
        <v>Mujer</v>
      </c>
      <c r="F128" s="1" t="str">
        <f ca="1">IFERROR(__xludf.DUMMYFUNCTION("""COMPUTED_VALUE"""),"Queretaro, Mexico")</f>
        <v>Queretaro, Mexico</v>
      </c>
      <c r="G128" s="1" t="str">
        <f ca="1">IFERROR(__xludf.DUMMYFUNCTION("""COMPUTED_VALUE"""),"aranzaocana50@gmail.com")</f>
        <v>aranzaocana50@gmail.com</v>
      </c>
      <c r="H128" s="1" t="str">
        <f ca="1">IFERROR(__xludf.DUMMYFUNCTION("""COMPUTED_VALUE"""),"#ERROR!")</f>
        <v>#ERROR!</v>
      </c>
      <c r="I128" s="1" t="str">
        <f ca="1">IFERROR(__xludf.DUMMYFUNCTION("""COMPUTED_VALUE"""),"Jóvenes de 13 – 17 años / SEM1/ (28 Julio a 02 de agosto)")</f>
        <v>Jóvenes de 13 – 17 años / SEM1/ (28 Julio a 02 de agosto)</v>
      </c>
      <c r="J128" s="1" t="str">
        <f ca="1">IFERROR(__xludf.DUMMYFUNCTION("""COMPUTED_VALUE"""),"No uso ninguno es específico")</f>
        <v>No uso ninguno es específico</v>
      </c>
      <c r="K128" s="1" t="str">
        <f ca="1">IFERROR(__xludf.DUMMYFUNCTION("""COMPUTED_VALUE"""),"Horizonte")</f>
        <v>Horizonte</v>
      </c>
      <c r="L128" s="1" t="str">
        <f ca="1">IFERROR(__xludf.DUMMYFUNCTION("""COMPUTED_VALUE"""),"Gadiel Arriaga o Kike Torres")</f>
        <v>Gadiel Arriaga o Kike Torres</v>
      </c>
      <c r="M128" s="1">
        <f ca="1">IFERROR(__xludf.DUMMYFUNCTION("""COMPUTED_VALUE"""),524421390215)</f>
        <v>524421390215</v>
      </c>
      <c r="N128" s="1" t="str">
        <f ca="1">IFERROR(__xludf.DUMMYFUNCTION("""COMPUTED_VALUE"""),"contacto@cristoesmejor.com")</f>
        <v>contacto@cristoesmejor.com</v>
      </c>
      <c r="O128" s="1" t="str">
        <f ca="1">IFERROR(__xludf.DUMMYFUNCTION("""COMPUTED_VALUE"""),"Infantil")</f>
        <v>Infantil</v>
      </c>
      <c r="P128" s="1" t="str">
        <f ca="1">IFERROR(__xludf.DUMMYFUNCTION("""COMPUTED_VALUE"""),"Yo crecí en una familia cristiana, luego asistí a los campamentos en Bernal y cuando tuve 10 años comprendí, lo que de verdad significa el creer en Cristo…tiempo después me estanque y el Señor me trajo de nuevo para poder servirle y prepararme para eso, e"&amp;"studié 2 años en pv y actualmente sirvo en mi iglesia local y estudio..")</f>
        <v>Yo crecí en una familia cristiana, luego asistí a los campamentos en Bernal y cuando tuve 10 años comprendí, lo que de verdad significa el creer en Cristo…tiempo después me estanque y el Señor me trajo de nuevo para poder servirle y prepararme para eso, estudié 2 años en pv y actualmente sirvo en mi iglesia local y estudio..</v>
      </c>
      <c r="Q128" s="1" t="str">
        <f ca="1">IFERROR(__xludf.DUMMYFUNCTION("""COMPUTED_VALUE"""),"Porque me gusta servir al Señor y tengo un cariño especial a pv…ya que fue un gran instrumento en mi vida…")</f>
        <v>Porque me gusta servir al Señor y tengo un cariño especial a pv…ya que fue un gran instrumento en mi vida…</v>
      </c>
      <c r="R128" s="1" t="str">
        <f ca="1">IFERROR(__xludf.DUMMYFUNCTION("""COMPUTED_VALUE"""),"No")</f>
        <v>No</v>
      </c>
      <c r="S128" s="1"/>
      <c r="T128" s="1" t="str">
        <f ca="1">IFERROR(__xludf.DUMMYFUNCTION("""COMPUTED_VALUE"""),"No")</f>
        <v>No</v>
      </c>
      <c r="U128" s="1"/>
      <c r="V128" s="1" t="str">
        <f ca="1">IFERROR(__xludf.DUMMYFUNCTION("""COMPUTED_VALUE"""),"Psicólogia")</f>
        <v>Psicólogia</v>
      </c>
      <c r="W128" s="1" t="str">
        <f ca="1">IFERROR(__xludf.DUMMYFUNCTION("""COMPUTED_VALUE"""),"Me gusta enseñar")</f>
        <v>Me gusta enseñar</v>
      </c>
      <c r="X128" s="1" t="str">
        <f ca="1">IFERROR(__xludf.DUMMYFUNCTION("""COMPUTED_VALUE"""),"A. Soy un discipulador activo, B. Me gusta animar a las personas, E. Me gusta el trabajo con niños, J. Me gusta la atención a las personas, K. Soy creativo (a), N. Suelo llevar el liderazgo en un grupo, O. Puedo enseñar con facilidad")</f>
        <v>A. Soy un discipulador activo, B. Me gusta animar a las personas, E. Me gusta el trabajo con niños, J. Me gusta la atención a las personas, K. Soy creativo (a), N. Suelo llevar el liderazgo en un grupo, O. Puedo enseñar con facilidad</v>
      </c>
      <c r="Y128" s="1" t="str">
        <f ca="1">IFERROR(__xludf.DUMMYFUNCTION("""COMPUTED_VALUE"""),"Desde 2014")</f>
        <v>Desde 2014</v>
      </c>
      <c r="Z128" s="1"/>
    </row>
    <row r="129" spans="1:26" x14ac:dyDescent="0.35">
      <c r="A129" s="2">
        <f ca="1">IFERROR(__xludf.DUMMYFUNCTION("""COMPUTED_VALUE"""),45827.552824074)</f>
        <v>45827.552824074002</v>
      </c>
      <c r="B129" s="1"/>
      <c r="C129" s="1" t="str">
        <f ca="1">IFERROR(__xludf.DUMMYFUNCTION("""COMPUTED_VALUE"""),"MARIANA GENEVE, BERNAL TELLEZ")</f>
        <v>MARIANA GENEVE, BERNAL TELLEZ</v>
      </c>
      <c r="D129" s="1">
        <f ca="1">IFERROR(__xludf.DUMMYFUNCTION("""COMPUTED_VALUE"""),26)</f>
        <v>26</v>
      </c>
      <c r="E129" s="1" t="str">
        <f ca="1">IFERROR(__xludf.DUMMYFUNCTION("""COMPUTED_VALUE"""),"Mujer")</f>
        <v>Mujer</v>
      </c>
      <c r="F129" s="1" t="str">
        <f ca="1">IFERROR(__xludf.DUMMYFUNCTION("""COMPUTED_VALUE"""),"Hidalgo, Mexico")</f>
        <v>Hidalgo, Mexico</v>
      </c>
      <c r="G129" s="1" t="str">
        <f ca="1">IFERROR(__xludf.DUMMYFUNCTION("""COMPUTED_VALUE"""),"mgenevebt@hotmail.com")</f>
        <v>mgenevebt@hotmail.com</v>
      </c>
      <c r="H129" s="1">
        <f ca="1">IFERROR(__xludf.DUMMYFUNCTION("""COMPUTED_VALUE"""),527444485470)</f>
        <v>527444485470</v>
      </c>
      <c r="I129" s="1" t="str">
        <f ca="1">IFERROR(__xludf.DUMMYFUNCTION("""COMPUTED_VALUE"""),"Jóvenes de 13 – 17 años / SEM1/ (28 Julio a 02 de agosto)")</f>
        <v>Jóvenes de 13 – 17 años / SEM1/ (28 Julio a 02 de agosto)</v>
      </c>
      <c r="J129" s="1" t="str">
        <f ca="1">IFERROR(__xludf.DUMMYFUNCTION("""COMPUTED_VALUE"""),"you version")</f>
        <v>you version</v>
      </c>
      <c r="K129" s="1" t="str">
        <f ca="1">IFERROR(__xludf.DUMMYFUNCTION("""COMPUTED_VALUE"""),"iglesia cristiana nueva esperanza")</f>
        <v>iglesia cristiana nueva esperanza</v>
      </c>
      <c r="L129" s="1" t="str">
        <f ca="1">IFERROR(__xludf.DUMMYFUNCTION("""COMPUTED_VALUE"""),"alejo carrillo")</f>
        <v>alejo carrillo</v>
      </c>
      <c r="M129" s="1">
        <f ca="1">IFERROR(__xludf.DUMMYFUNCTION("""COMPUTED_VALUE"""),527717472126)</f>
        <v>527717472126</v>
      </c>
      <c r="N129" s="1" t="str">
        <f ca="1">IFERROR(__xludf.DUMMYFUNCTION("""COMPUTED_VALUE"""),"alejo.carriloq@gmail.com")</f>
        <v>alejo.carriloq@gmail.com</v>
      </c>
      <c r="O129" s="1" t="str">
        <f ca="1">IFERROR(__xludf.DUMMYFUNCTION("""COMPUTED_VALUE"""),"lider de jovenes")</f>
        <v>lider de jovenes</v>
      </c>
      <c r="P129" s="1" t="str">
        <f ca="1">IFERROR(__xludf.DUMMYFUNCTION("""COMPUTED_VALUE"""),"me convertí a los 17 años cuando invitaron a mi familia a una reunión de la iglesia, me encontré con Dios y decidí servirle toda mi vida")</f>
        <v>me convertí a los 17 años cuando invitaron a mi familia a una reunión de la iglesia, me encontré con Dios y decidí servirle toda mi vida</v>
      </c>
      <c r="Q129" s="1" t="str">
        <f ca="1">IFERROR(__xludf.DUMMYFUNCTION("""COMPUTED_VALUE"""),"para servir")</f>
        <v>para servir</v>
      </c>
      <c r="R129" s="1" t="str">
        <f ca="1">IFERROR(__xludf.DUMMYFUNCTION("""COMPUTED_VALUE"""),"No")</f>
        <v>No</v>
      </c>
      <c r="S129" s="1"/>
      <c r="T129" s="1" t="str">
        <f ca="1">IFERROR(__xludf.DUMMYFUNCTION("""COMPUTED_VALUE"""),"No")</f>
        <v>No</v>
      </c>
      <c r="U129" s="1"/>
      <c r="V129" s="1" t="str">
        <f ca="1">IFERROR(__xludf.DUMMYFUNCTION("""COMPUTED_VALUE"""),"consejería bíblica")</f>
        <v>consejería bíblica</v>
      </c>
      <c r="W129" s="1" t="str">
        <f ca="1">IFERROR(__xludf.DUMMYFUNCTION("""COMPUTED_VALUE"""),"administración")</f>
        <v>administración</v>
      </c>
      <c r="X129" s="1" t="str">
        <f ca="1">IFERROR(__xludf.DUMMYFUNCTION("""COMPUTED_VALUE"""),"H. Soy organizado (a), J. Me gusta la atención a las personas, M. Soy bueno (a) con los números, N. Suelo llevar el liderazgo en un grupo, O. Puedo enseñar con facilidad")</f>
        <v>H. Soy organizado (a), J. Me gusta la atención a las personas, M. Soy bueno (a) con los números, N. Suelo llevar el liderazgo en un grupo, O. Puedo enseñar con facilidad</v>
      </c>
      <c r="Y129" s="1" t="str">
        <f ca="1">IFERROR(__xludf.DUMMYFUNCTION("""COMPUTED_VALUE"""),"no")</f>
        <v>no</v>
      </c>
      <c r="Z129" s="1"/>
    </row>
    <row r="130" spans="1:26" x14ac:dyDescent="0.35">
      <c r="A130" s="2">
        <f ca="1">IFERROR(__xludf.DUMMYFUNCTION("""COMPUTED_VALUE"""),45827.5591087963)</f>
        <v>45827.559108796297</v>
      </c>
      <c r="B130" s="1"/>
      <c r="C130" s="1" t="str">
        <f ca="1">IFERROR(__xludf.DUMMYFUNCTION("""COMPUTED_VALUE"""),"ERICK JOSUE, PEREZ RUIZ")</f>
        <v>ERICK JOSUE, PEREZ RUIZ</v>
      </c>
      <c r="D130" s="1">
        <f ca="1">IFERROR(__xludf.DUMMYFUNCTION("""COMPUTED_VALUE"""),28)</f>
        <v>28</v>
      </c>
      <c r="E130" s="1" t="str">
        <f ca="1">IFERROR(__xludf.DUMMYFUNCTION("""COMPUTED_VALUE"""),"Hombre")</f>
        <v>Hombre</v>
      </c>
      <c r="F130" s="1" t="str">
        <f ca="1">IFERROR(__xludf.DUMMYFUNCTION("""COMPUTED_VALUE"""),"Hidalgo, Mexico")</f>
        <v>Hidalgo, Mexico</v>
      </c>
      <c r="G130" s="1" t="str">
        <f ca="1">IFERROR(__xludf.DUMMYFUNCTION("""COMPUTED_VALUE"""),"erick41187@gmail.com")</f>
        <v>erick41187@gmail.com</v>
      </c>
      <c r="H130" s="1">
        <f ca="1">IFERROR(__xludf.DUMMYFUNCTION("""COMPUTED_VALUE"""),527711621079)</f>
        <v>527711621079</v>
      </c>
      <c r="I130" s="1" t="str">
        <f ca="1">IFERROR(__xludf.DUMMYFUNCTION("""COMPUTED_VALUE"""),"Jóvenes de 13 – 17 años / SEM1/ (28 Julio a 02 de agosto)")</f>
        <v>Jóvenes de 13 – 17 años / SEM1/ (28 Julio a 02 de agosto)</v>
      </c>
      <c r="J130" s="1" t="str">
        <f ca="1">IFERROR(__xludf.DUMMYFUNCTION("""COMPUTED_VALUE"""),"Plan de Lectura de Proyecto Biblia")</f>
        <v>Plan de Lectura de Proyecto Biblia</v>
      </c>
      <c r="K130" s="1" t="str">
        <f ca="1">IFERROR(__xludf.DUMMYFUNCTION("""COMPUTED_VALUE"""),"IGLESIA CRISTIANA NUEVA ESPERANZA")</f>
        <v>IGLESIA CRISTIANA NUEVA ESPERANZA</v>
      </c>
      <c r="L130" s="1" t="str">
        <f ca="1">IFERROR(__xludf.DUMMYFUNCTION("""COMPUTED_VALUE"""),"PASTOR ALEJO CARRILLO")</f>
        <v>PASTOR ALEJO CARRILLO</v>
      </c>
      <c r="M130" s="1">
        <f ca="1">IFERROR(__xludf.DUMMYFUNCTION("""COMPUTED_VALUE"""),527717472126)</f>
        <v>527717472126</v>
      </c>
      <c r="N130" s="1" t="str">
        <f ca="1">IFERROR(__xludf.DUMMYFUNCTION("""COMPUTED_VALUE"""),"alejo.carrilloq@gmail.com")</f>
        <v>alejo.carrilloq@gmail.com</v>
      </c>
      <c r="O130" s="1" t="str">
        <f ca="1">IFERROR(__xludf.DUMMYFUNCTION("""COMPUTED_VALUE"""),"LIDER DEL GRUPO DE JÓVENES")</f>
        <v>LIDER DEL GRUPO DE JÓVENES</v>
      </c>
      <c r="P130" s="1" t="str">
        <f ca="1">IFERROR(__xludf.DUMMYFUNCTION("""COMPUTED_VALUE"""),"Mi familia era católica, sin embargo no asistiamos a la iglesia. Fue a mis 12 años que nos mudamos a Pachuca Hgo. Y ahí mi tío (ya cristiano) le compartió a mis padres, empezamos a buscar iglesia y encontramos una que nos gustó con grupos pequeños (o célu"&amp;"las).
Al inicio yo no tenía interés en asistir a una iglesia, lo veía como aburrido o intrascendente pero en el grupo pequeño fui ayudado a entender el evangelio. Una vez que lo creí comence a leer la Biblia más y más, me bauticé (a mis 14 años) y desde "&amp;"entonces he servido,  buscar crecer en la fe, completé una carrera en Teología y sigo sirviendo en mi iglesia local con un trabajo de tiempo completo en el ministerio.")</f>
        <v>Mi familia era católica, sin embargo no asistiamos a la iglesia. Fue a mis 12 años que nos mudamos a Pachuca Hgo. Y ahí mi tío (ya cristiano) le compartió a mis padres, empezamos a buscar iglesia y encontramos una que nos gustó con grupos pequeños (o células).
Al inicio yo no tenía interés en asistir a una iglesia, lo veía como aburrido o intrascendente pero en el grupo pequeño fui ayudado a entender el evangelio. Una vez que lo creí comence a leer la Biblia más y más, me bauticé (a mis 14 años) y desde entonces he servido,  buscar crecer en la fe, completé una carrera en Teología y sigo sirviendo en mi iglesia local con un trabajo de tiempo completo en el ministerio.</v>
      </c>
      <c r="Q130" s="1" t="str">
        <f ca="1">IFERROR(__xludf.DUMMYFUNCTION("""COMPUTED_VALUE"""),"Porque como líder de jóvenes junto a mi esposa llevamos un Grupo de adolescentes como iglesia y queremos estar participando en las actividades y no solo dejarlos y recogerlos sino estar ahí para ellos e involucrarnos en el servicio a Dios con este ministe"&amp;"rio de PDV")</f>
        <v>Porque como líder de jóvenes junto a mi esposa llevamos un Grupo de adolescentes como iglesia y queremos estar participando en las actividades y no solo dejarlos y recogerlos sino estar ahí para ellos e involucrarnos en el servicio a Dios con este ministerio de PDV</v>
      </c>
      <c r="R130" s="1" t="str">
        <f ca="1">IFERROR(__xludf.DUMMYFUNCTION("""COMPUTED_VALUE"""),"No")</f>
        <v>No</v>
      </c>
      <c r="S130" s="1"/>
      <c r="T130" s="1" t="str">
        <f ca="1">IFERROR(__xludf.DUMMYFUNCTION("""COMPUTED_VALUE"""),"No")</f>
        <v>No</v>
      </c>
      <c r="U130" s="1"/>
      <c r="V130" s="1" t="str">
        <f ca="1">IFERROR(__xludf.DUMMYFUNCTION("""COMPUTED_VALUE"""),"Trabajo como parte del staff de tiempo completo en Iglesia Cristiana Nueva Esperanza")</f>
        <v>Trabajo como parte del staff de tiempo completo en Iglesia Cristiana Nueva Esperanza</v>
      </c>
      <c r="W130" s="1" t="str">
        <f ca="1">IFERROR(__xludf.DUMMYFUNCTION("""COMPUTED_VALUE"""),"Liderazgo con jóvenes. Predicación. Estudié la licenciatura en Teología-")</f>
        <v>Liderazgo con jóvenes. Predicación. Estudié la licenciatura en Teología-</v>
      </c>
      <c r="X130" s="1" t="str">
        <f ca="1">IFERROR(__xludf.DUMMYFUNCTION("""COMPUTED_VALUE"""),"A. Soy un discipulador activo, B. Me gusta animar a las personas, D. Me gustan los deportes, H. Soy organizado (a), I. Se me facilita el trabajo físico, J. Me gusta la atención a las personas, K. Soy creativo (a), N. Suelo llevar el liderazgo en un grupo,"&amp;" O. Puedo enseñar con facilidad")</f>
        <v>A. Soy un discipulador activo, B. Me gusta animar a las personas, D. Me gustan los deportes, H. Soy organizado (a), I. Se me facilita el trabajo físico, J. Me gusta la atención a las personas, K. Soy creativo (a), N. Suelo llevar el liderazgo en un grupo, O. Puedo enseñar con facilidad</v>
      </c>
      <c r="Y130" s="1" t="str">
        <f ca="1">IFERROR(__xludf.DUMMYFUNCTION("""COMPUTED_VALUE"""),"Estuve el año pasado como consejero en las semanas de Adultos y adolescentes. He estado en contacto con Carlos Luna para ser consejero en la primera semana de adolescentes")</f>
        <v>Estuve el año pasado como consejero en las semanas de Adultos y adolescentes. He estado en contacto con Carlos Luna para ser consejero en la primera semana de adolescentes</v>
      </c>
      <c r="Z130" s="1"/>
    </row>
    <row r="131" spans="1:26" x14ac:dyDescent="0.35">
      <c r="A131" s="2">
        <f ca="1">IFERROR(__xludf.DUMMYFUNCTION("""COMPUTED_VALUE"""),45827.6662152777)</f>
        <v>45827.666215277699</v>
      </c>
      <c r="B131" s="1"/>
      <c r="C131" s="1" t="str">
        <f ca="1">IFERROR(__xludf.DUMMYFUNCTION("""COMPUTED_VALUE"""),"Rebeca, Flores López")</f>
        <v>Rebeca, Flores López</v>
      </c>
      <c r="D131" s="1">
        <f ca="1">IFERROR(__xludf.DUMMYFUNCTION("""COMPUTED_VALUE"""),22)</f>
        <v>22</v>
      </c>
      <c r="E131" s="1" t="str">
        <f ca="1">IFERROR(__xludf.DUMMYFUNCTION("""COMPUTED_VALUE"""),"Mujer")</f>
        <v>Mujer</v>
      </c>
      <c r="F131" s="1" t="str">
        <f ca="1">IFERROR(__xludf.DUMMYFUNCTION("""COMPUTED_VALUE"""),"Mexico, Mexico")</f>
        <v>Mexico, Mexico</v>
      </c>
      <c r="G131" s="1" t="str">
        <f ca="1">IFERROR(__xludf.DUMMYFUNCTION("""COMPUTED_VALUE"""),"beca.lopez16@gmail.com")</f>
        <v>beca.lopez16@gmail.com</v>
      </c>
      <c r="H131" s="1">
        <f ca="1">IFERROR(__xludf.DUMMYFUNCTION("""COMPUTED_VALUE"""),525574824120)</f>
        <v>525574824120</v>
      </c>
      <c r="I131" s="1" t="str">
        <f ca="1">IFERROR(__xludf.DUMMYFUNCTION("""COMPUTED_VALUE"""),"Semana de entrenamiento (07 - 13) Julio, Comunidad Jóvenes + 18 (14-19) Julio, Semana de niños y niñas (21-25) Julio")</f>
        <v>Semana de entrenamiento (07 - 13) Julio, Comunidad Jóvenes + 18 (14-19) Julio, Semana de niños y niñas (21-25) Julio</v>
      </c>
      <c r="J131" s="1" t="str">
        <f ca="1">IFERROR(__xludf.DUMMYFUNCTION("""COMPUTED_VALUE"""),"La Biblia y You Version")</f>
        <v>La Biblia y You Version</v>
      </c>
      <c r="K131" s="1" t="str">
        <f ca="1">IFERROR(__xludf.DUMMYFUNCTION("""COMPUTED_VALUE"""),"Vida Nueva para el Mundo")</f>
        <v>Vida Nueva para el Mundo</v>
      </c>
      <c r="L131" s="1" t="str">
        <f ca="1">IFERROR(__xludf.DUMMYFUNCTION("""COMPUTED_VALUE"""),"Andrés Maldonado")</f>
        <v>Andrés Maldonado</v>
      </c>
      <c r="M131" s="1">
        <f ca="1">IFERROR(__xludf.DUMMYFUNCTION("""COMPUTED_VALUE"""),525512889083)</f>
        <v>525512889083</v>
      </c>
      <c r="N131" s="1" t="str">
        <f ca="1">IFERROR(__xludf.DUMMYFUNCTION("""COMPUTED_VALUE"""),"g.image777@gmail.com")</f>
        <v>g.image777@gmail.com</v>
      </c>
      <c r="O131" s="1" t="str">
        <f ca="1">IFERROR(__xludf.DUMMYFUNCTION("""COMPUTED_VALUE"""),"Maestra de adolescentes y responsable de servicio (principal), relaciones públicas y dinámicas")</f>
        <v>Maestra de adolescentes y responsable de servicio (principal), relaciones públicas y dinámicas</v>
      </c>
      <c r="P131" s="1" t="str">
        <f ca="1">IFERROR(__xludf.DUMMYFUNCTION("""COMPUTED_VALUE"""),"Nací y crecí en una familia cristiana pero me dejé llevar por los placeres del mundo envuelta en alcohol, drogas y sexualidad, no me importaba irme al infierno con tal de disfrutar aunque también creía que vivir ya no valía la pena. Servía en la iglesia v"&amp;"iviendo una doble vida. Mis amigas y el pastor Alducin me invitaron al campamento PV y aunque al principio llegué buscando diversión, con un corazón vacío y en cada predicación pensaba que nada podría cambiarme, Dios habló a mi vida, me abrió los ojos y a"&amp;"hora puedo ver. Por medio de mi consejera en la plática personal me hizo darme cuenta que la vida sin Dios no vale, el cambio fue radical. Ahora vivo para gloria de Dios sirviendo en mi iglesia local, con el anhelo de que más jóvenes conozcan del Señor, C"&amp;"risto es mi esperanza y salvación y día con día me sigue moldeando a imagen de Cristo, mi vida para la gloria de Dios.")</f>
        <v>Nací y crecí en una familia cristiana pero me dejé llevar por los placeres del mundo envuelta en alcohol, drogas y sexualidad, no me importaba irme al infierno con tal de disfrutar aunque también creía que vivir ya no valía la pena. Servía en la iglesia viviendo una doble vida. Mis amigas y el pastor Alducin me invitaron al campamento PV y aunque al principio llegué buscando diversión, con un corazón vacío y en cada predicación pensaba que nada podría cambiarme, Dios habló a mi vida, me abrió los ojos y ahora puedo ver. Por medio de mi consejera en la plática personal me hizo darme cuenta que la vida sin Dios no vale, el cambio fue radical. Ahora vivo para gloria de Dios sirviendo en mi iglesia local, con el anhelo de que más jóvenes conozcan del Señor, Cristo es mi esperanza y salvación y día con día me sigue moldeando a imagen de Cristo, mi vida para la gloria de Dios.</v>
      </c>
      <c r="Q131" s="1" t="str">
        <f ca="1">IFERROR(__xludf.DUMMYFUNCTION("""COMPUTED_VALUE"""),"Quiero dar de gracia lo que de gracia recibí. Deseo con amor que más jóvenes le conozcan como yo lo hice hace unos años y ser de bendición. Además Dios me está llamando a PV desde ese día que le conocí por medio de campamento, Open House y en un futuro el"&amp;" Instituto, y quiero seguir cumpliendo ese llamado.")</f>
        <v>Quiero dar de gracia lo que de gracia recibí. Deseo con amor que más jóvenes le conozcan como yo lo hice hace unos años y ser de bendición. Además Dios me está llamando a PV desde ese día que le conocí por medio de campamento, Open House y en un futuro el Instituto, y quiero seguir cumpliendo ese llamado.</v>
      </c>
      <c r="R131" s="1" t="str">
        <f ca="1">IFERROR(__xludf.DUMMYFUNCTION("""COMPUTED_VALUE"""),"No")</f>
        <v>No</v>
      </c>
      <c r="S131" s="1"/>
      <c r="T131" s="1" t="str">
        <f ca="1">IFERROR(__xludf.DUMMYFUNCTION("""COMPUTED_VALUE"""),"No")</f>
        <v>No</v>
      </c>
      <c r="U131" s="1"/>
      <c r="V131" s="1" t="str">
        <f ca="1">IFERROR(__xludf.DUMMYFUNCTION("""COMPUTED_VALUE"""),"Diseño gráfico")</f>
        <v>Diseño gráfico</v>
      </c>
      <c r="W131" s="1" t="str">
        <f ca="1">IFERROR(__xludf.DUMMYFUNCTION("""COMPUTED_VALUE"""),"Fotografía, habilidades creativas y de diseño, enseñanza, de servicio y organización.")</f>
        <v>Fotografía, habilidades creativas y de diseño, enseñanza, de servicio y organización.</v>
      </c>
      <c r="X131" s="1" t="str">
        <f ca="1">IFERROR(__xludf.DUMMYFUNCTION("""COMPUTED_VALUE"""),"A. Soy un discipulador activo, B. Me gusta animar a las personas, E. Me gusta el trabajo con niños, H. Soy organizado (a), J. Me gusta la atención a las personas, K. Soy creativo (a), N. Suelo llevar el liderazgo en un grupo, O. Puedo enseñar con facilida"&amp;"d")</f>
        <v>A. Soy un discipulador activo, B. Me gusta animar a las personas, E. Me gusta el trabajo con niños, H. Soy organizado (a), J. Me gusta la atención a las personas, K. Soy creativo (a), N. Suelo llevar el liderazgo en un grupo, O. Puedo enseñar con facilidad</v>
      </c>
      <c r="Y131" s="1" t="str">
        <f ca="1">IFERROR(__xludf.DUMMYFUNCTION("""COMPUTED_VALUE"""),"2022 y 2023")</f>
        <v>2022 y 2023</v>
      </c>
      <c r="Z131" s="1"/>
    </row>
    <row r="132" spans="1:26" x14ac:dyDescent="0.35">
      <c r="A132" s="2">
        <f ca="1">IFERROR(__xludf.DUMMYFUNCTION("""COMPUTED_VALUE"""),45828.7288888888)</f>
        <v>45828.7288888888</v>
      </c>
      <c r="B132" s="1"/>
      <c r="C132" s="1" t="str">
        <f ca="1">IFERROR(__xludf.DUMMYFUNCTION("""COMPUTED_VALUE"""),"Jenifer Abigail, Rodríguez Mata")</f>
        <v>Jenifer Abigail, Rodríguez Mata</v>
      </c>
      <c r="D132" s="1">
        <f ca="1">IFERROR(__xludf.DUMMYFUNCTION("""COMPUTED_VALUE"""),19)</f>
        <v>19</v>
      </c>
      <c r="E132" s="1" t="str">
        <f ca="1">IFERROR(__xludf.DUMMYFUNCTION("""COMPUTED_VALUE"""),"Mujer")</f>
        <v>Mujer</v>
      </c>
      <c r="F132" s="1" t="str">
        <f ca="1">IFERROR(__xludf.DUMMYFUNCTION("""COMPUTED_VALUE"""),"Queretaro, Mexico")</f>
        <v>Queretaro, Mexico</v>
      </c>
      <c r="G132" s="1" t="str">
        <f ca="1">IFERROR(__xludf.DUMMYFUNCTION("""COMPUTED_VALUE"""),"rdrzjeny28abi@gmail.com")</f>
        <v>rdrzjeny28abi@gmail.com</v>
      </c>
      <c r="H132" s="1">
        <f ca="1">IFERROR(__xludf.DUMMYFUNCTION("""COMPUTED_VALUE"""),524426137203)</f>
        <v>524426137203</v>
      </c>
      <c r="I132" s="1" t="str">
        <f ca="1">IFERROR(__xludf.DUMMYFUNCTION("""COMPUTED_VALUE"""),"Jóvenes de 13 – 17 años / SEM3/ (11 - 16 agosto)")</f>
        <v>Jóvenes de 13 – 17 años / SEM3/ (11 - 16 agosto)</v>
      </c>
      <c r="J132" s="1" t="str">
        <f ca="1">IFERROR(__xludf.DUMMYFUNCTION("""COMPUTED_VALUE"""),"Dios te escucha")</f>
        <v>Dios te escucha</v>
      </c>
      <c r="K132" s="1" t="str">
        <f ca="1">IFERROR(__xludf.DUMMYFUNCTION("""COMPUTED_VALUE"""),"Iglesia bautista el Tabernáculo")</f>
        <v>Iglesia bautista el Tabernáculo</v>
      </c>
      <c r="L132" s="1" t="str">
        <f ca="1">IFERROR(__xludf.DUMMYFUNCTION("""COMPUTED_VALUE"""),"Maichel Chavez")</f>
        <v>Maichel Chavez</v>
      </c>
      <c r="M132" s="1">
        <f ca="1">IFERROR(__xludf.DUMMYFUNCTION("""COMPUTED_VALUE"""),524427234734)</f>
        <v>524427234734</v>
      </c>
      <c r="N132" s="1" t="str">
        <f ca="1">IFERROR(__xludf.DUMMYFUNCTION("""COMPUTED_VALUE"""),"amchaelch1960@gmail.com")</f>
        <v>amchaelch1960@gmail.com</v>
      </c>
      <c r="O132" s="1" t="str">
        <f ca="1">IFERROR(__xludf.DUMMYFUNCTION("""COMPUTED_VALUE"""),"Coro")</f>
        <v>Coro</v>
      </c>
      <c r="P132" s="1" t="str">
        <f ca="1">IFERROR(__xludf.DUMMYFUNCTION("""COMPUTED_VALUE"""),"Yo iba a la iglesia desde que tenía 6 años, pero a los 11 después de una prédica, en mi cuarto tomé la decisión de aceptar a Cristo.")</f>
        <v>Yo iba a la iglesia desde que tenía 6 años, pero a los 11 después de una prédica, en mi cuarto tomé la decisión de aceptar a Cristo.</v>
      </c>
      <c r="Q132" s="1" t="str">
        <f ca="1">IFERROR(__xludf.DUMMYFUNCTION("""COMPUTED_VALUE"""),"Para servir a Dios de una manera nueva y especial, me gustaría poder involucrarme en especial en palabra de vida, para cuando termine mi carrera estudiar en el instituto.")</f>
        <v>Para servir a Dios de una manera nueva y especial, me gustaría poder involucrarme en especial en palabra de vida, para cuando termine mi carrera estudiar en el instituto.</v>
      </c>
      <c r="R132" s="1" t="str">
        <f ca="1">IFERROR(__xludf.DUMMYFUNCTION("""COMPUTED_VALUE"""),"Si")</f>
        <v>Si</v>
      </c>
      <c r="S132" s="1" t="str">
        <f ca="1">IFERROR(__xludf.DUMMYFUNCTION("""COMPUTED_VALUE"""),"Box y gym")</f>
        <v>Box y gym</v>
      </c>
      <c r="T132" s="1" t="str">
        <f ca="1">IFERROR(__xludf.DUMMYFUNCTION("""COMPUTED_VALUE"""),"Si")</f>
        <v>Si</v>
      </c>
      <c r="U132" s="1" t="str">
        <f ca="1">IFERROR(__xludf.DUMMYFUNCTION("""COMPUTED_VALUE"""),"Violín")</f>
        <v>Violín</v>
      </c>
      <c r="V132" s="1" t="str">
        <f ca="1">IFERROR(__xludf.DUMMYFUNCTION("""COMPUTED_VALUE"""),"Licenciatura en Nutrición")</f>
        <v>Licenciatura en Nutrición</v>
      </c>
      <c r="W132" s="1" t="str">
        <f ca="1">IFERROR(__xludf.DUMMYFUNCTION("""COMPUTED_VALUE"""),"Me he enfocado en trabajar en el ámbito de la salud estética, y soy muy hábil en Cocina")</f>
        <v>Me he enfocado en trabajar en el ámbito de la salud estética, y soy muy hábil en Cocina</v>
      </c>
      <c r="X132" s="1" t="str">
        <f ca="1">IFERROR(__xludf.DUMMYFUNCTION("""COMPUTED_VALUE"""),"B. Me gusta animar a las personas, D. Me gustan los deportes, E. Me gusta el trabajo con niños, F. Soy eficiente en el trabajo con herramientas, equipos y maquinarias, G. Soy más eficiente en el trabajo individual, I. Se me facilita el trabajo físico, J. "&amp;"Me gusta la atención a las personas, K. Soy creativo (a), M. Soy bueno (a) con los números, N. Suelo llevar el liderazgo en un grupo")</f>
        <v>B. Me gusta animar a las personas, D. Me gustan los deportes, E. Me gusta el trabajo con niños, F. Soy eficiente en el trabajo con herramientas, equipos y maquinarias, G. Soy más eficiente en el trabajo individual, I. Se me facilita el trabajo físico, J. Me gusta la atención a las personas, K. Soy creativo (a), M. Soy bueno (a) con los números, N. Suelo llevar el liderazgo en un grupo</v>
      </c>
      <c r="Y132" s="1" t="str">
        <f ca="1">IFERROR(__xludf.DUMMYFUNCTION("""COMPUTED_VALUE"""),"No")</f>
        <v>No</v>
      </c>
      <c r="Z132" s="1"/>
    </row>
    <row r="133" spans="1:26" x14ac:dyDescent="0.35">
      <c r="A133" s="2">
        <f ca="1">IFERROR(__xludf.DUMMYFUNCTION("""COMPUTED_VALUE"""),45828.7636458333)</f>
        <v>45828.7636458333</v>
      </c>
      <c r="B133" s="1"/>
      <c r="C133" s="1" t="str">
        <f ca="1">IFERROR(__xludf.DUMMYFUNCTION("""COMPUTED_VALUE"""),"Jessica Paola, Medrano Santos")</f>
        <v>Jessica Paola, Medrano Santos</v>
      </c>
      <c r="D133" s="1">
        <f ca="1">IFERROR(__xludf.DUMMYFUNCTION("""COMPUTED_VALUE"""),28)</f>
        <v>28</v>
      </c>
      <c r="E133" s="1" t="str">
        <f ca="1">IFERROR(__xludf.DUMMYFUNCTION("""COMPUTED_VALUE"""),"Mujer")</f>
        <v>Mujer</v>
      </c>
      <c r="F133" s="1" t="str">
        <f ca="1">IFERROR(__xludf.DUMMYFUNCTION("""COMPUTED_VALUE"""),"Jalisco, Mexico")</f>
        <v>Jalisco, Mexico</v>
      </c>
      <c r="G133" s="1" t="str">
        <f ca="1">IFERROR(__xludf.DUMMYFUNCTION("""COMPUTED_VALUE"""),"paomdrano@gmail.com")</f>
        <v>paomdrano@gmail.com</v>
      </c>
      <c r="H133" s="1">
        <f ca="1">IFERROR(__xludf.DUMMYFUNCTION("""COMPUTED_VALUE"""),523328379146)</f>
        <v>523328379146</v>
      </c>
      <c r="I133" s="1" t="str">
        <f ca="1">IFERROR(__xludf.DUMMYFUNCTION("""COMPUTED_VALUE"""),"Semana de entrenamiento (07 - 13) Julio")</f>
        <v>Semana de entrenamiento (07 - 13) Julio</v>
      </c>
      <c r="J133" s="1" t="str">
        <f ca="1">IFERROR(__xludf.DUMMYFUNCTION("""COMPUTED_VALUE"""),"Aviva Nuestros Corazones")</f>
        <v>Aviva Nuestros Corazones</v>
      </c>
      <c r="K133" s="1" t="str">
        <f ca="1">IFERROR(__xludf.DUMMYFUNCTION("""COMPUTED_VALUE"""),"Palabra de Vida Guadalajara")</f>
        <v>Palabra de Vida Guadalajara</v>
      </c>
      <c r="L133" s="1" t="str">
        <f ca="1">IFERROR(__xludf.DUMMYFUNCTION("""COMPUTED_VALUE"""),"Grabriel Miyar")</f>
        <v>Grabriel Miyar</v>
      </c>
      <c r="M133" s="1">
        <f ca="1">IFERROR(__xludf.DUMMYFUNCTION("""COMPUTED_VALUE"""),52331411909)</f>
        <v>52331411909</v>
      </c>
      <c r="N133" s="1" t="str">
        <f ca="1">IFERROR(__xludf.DUMMYFUNCTION("""COMPUTED_VALUE"""),"gmiyar@gmail.com")</f>
        <v>gmiyar@gmail.com</v>
      </c>
      <c r="O133" s="1" t="str">
        <f ca="1">IFERROR(__xludf.DUMMYFUNCTION("""COMPUTED_VALUE"""),"Mujeres")</f>
        <v>Mujeres</v>
      </c>
      <c r="P133" s="1" t="str">
        <f ca="1">IFERROR(__xludf.DUMMYFUNCTION("""COMPUTED_VALUE"""),"Mi testimonio de salvación no fue un solo evento, sino un proceso compuesto por varios momentos de transformación. Recuerdo claramente la primera vez que llegué a una iglesia cristiana y la profunda sensación de paz que experimenté. Sin embargo, también r"&amp;"ecuerdo que, en mi último campamento en PDV, sentí fuertemente la responsabilidad sobre mi entorno social. Fue así que, justo después de que terminó el campamento, ese mismo domingo le dije a mi pastor que quería estudiar en un instituto bíblico. Y me fui"&amp;".
Desde entonces, conocer las verdades profundas del texto bíblico me ha llevado a vivir una conversación constante con Dios, una que ha moldeado mi vida y sigue transformándome día a día.")</f>
        <v>Mi testimonio de salvación no fue un solo evento, sino un proceso compuesto por varios momentos de transformación. Recuerdo claramente la primera vez que llegué a una iglesia cristiana y la profunda sensación de paz que experimenté. Sin embargo, también recuerdo que, en mi último campamento en PDV, sentí fuertemente la responsabilidad sobre mi entorno social. Fue así que, justo después de que terminó el campamento, ese mismo domingo le dije a mi pastor que quería estudiar en un instituto bíblico. Y me fui.
Desde entonces, conocer las verdades profundas del texto bíblico me ha llevado a vivir una conversación constante con Dios, una que ha moldeado mi vida y sigue transformándome día a día.</v>
      </c>
      <c r="Q133" s="1" t="str">
        <f ca="1">IFERROR(__xludf.DUMMYFUNCTION("""COMPUTED_VALUE"""),"Me gustaría ser parte del equipo porque estoy profundamente agradecida con el campamento. Lo que viví ahí marcó mi vida, y ahora quiero devolver un poco de eso, acompañando a los niños en su propia experiencia. Durante mucho tiempo tuve el deseo en mi cor"&amp;"azón de ser consejera, pero no podía, ya que estaba ocupada trabajando y estudiando. Hoy, que por fin tengo el tiempo, quiero aprovecharlo para servir y aportar desde lo que Dios ha hecho en mí.")</f>
        <v>Me gustaría ser parte del equipo porque estoy profundamente agradecida con el campamento. Lo que viví ahí marcó mi vida, y ahora quiero devolver un poco de eso, acompañando a los niños en su propia experiencia. Durante mucho tiempo tuve el deseo en mi corazón de ser consejera, pero no podía, ya que estaba ocupada trabajando y estudiando. Hoy, que por fin tengo el tiempo, quiero aprovecharlo para servir y aportar desde lo que Dios ha hecho en mí.</v>
      </c>
      <c r="R133" s="1" t="str">
        <f ca="1">IFERROR(__xludf.DUMMYFUNCTION("""COMPUTED_VALUE"""),"Si")</f>
        <v>Si</v>
      </c>
      <c r="S133" s="1" t="str">
        <f ca="1">IFERROR(__xludf.DUMMYFUNCTION("""COMPUTED_VALUE"""),"Natación y Atletismo")</f>
        <v>Natación y Atletismo</v>
      </c>
      <c r="T133" s="1" t="str">
        <f ca="1">IFERROR(__xludf.DUMMYFUNCTION("""COMPUTED_VALUE"""),"No")</f>
        <v>No</v>
      </c>
      <c r="U133" s="1"/>
      <c r="V133" s="1" t="str">
        <f ca="1">IFERROR(__xludf.DUMMYFUNCTION("""COMPUTED_VALUE"""),"Estoy terminando mi tesis de licenciatura en Sociología y, al mismo tiempo, comenzando la Licenciatura de Ciencias Bíblicas en la Universidad Bíblica Latinoamericana, en Costa Rica.")</f>
        <v>Estoy terminando mi tesis de licenciatura en Sociología y, al mismo tiempo, comenzando la Licenciatura de Ciencias Bíblicas en la Universidad Bíblica Latinoamericana, en Costa Rica.</v>
      </c>
      <c r="W133" s="1" t="str">
        <f ca="1">IFERROR(__xludf.DUMMYFUNCTION("""COMPUTED_VALUE"""),"Soy socióloga en formación y estudiante de Ciencias Bíblicas. Me especializo en la observación y comprensión de fenómenos sociales, especialmente en contextos de comunidad, fe y juventud. Tengo experiencia acompañando a niñas, adolescentes y jóvenes en pr")</f>
        <v>Soy socióloga en formación y estudiante de Ciencias Bíblicas. Me especializo en la observación y comprensión de fenómenos sociales, especialmente en contextos de comunidad, fe y juventud. Tengo experiencia acompañando a niñas, adolescentes y jóvenes en pr</v>
      </c>
      <c r="X133" s="1" t="str">
        <f ca="1">IFERROR(__xludf.DUMMYFUNCTION("""COMPUTED_VALUE"""),"C. Suelo buscar que el trabajo se realice en equipo, D. Me gustan los deportes, E. Me gusta el trabajo con niños, F. Soy eficiente en el trabajo con herramientas, equipos y maquinarias, G. Soy más eficiente en el trabajo individual, H. Soy organizado (a),"&amp;" I. Se me facilita el trabajo físico, K. Soy creativo (a), M. Soy bueno (a) con los números, O. Puedo enseñar con facilidad")</f>
        <v>C. Suelo buscar que el trabajo se realice en equipo, D. Me gustan los deportes, E. Me gusta el trabajo con niños, F. Soy eficiente en el trabajo con herramientas, equipos y maquinarias, G. Soy más eficiente en el trabajo individual, H. Soy organizado (a), I. Se me facilita el trabajo físico, K. Soy creativo (a), M. Soy bueno (a) con los números, O. Puedo enseñar con facilidad</v>
      </c>
      <c r="Y133" s="1" t="str">
        <f ca="1">IFERROR(__xludf.DUMMYFUNCTION("""COMPUTED_VALUE"""),"2011 y 2014")</f>
        <v>2011 y 2014</v>
      </c>
      <c r="Z133" s="1"/>
    </row>
    <row r="134" spans="1:26" x14ac:dyDescent="0.35">
      <c r="A134" s="2">
        <f ca="1">IFERROR(__xludf.DUMMYFUNCTION("""COMPUTED_VALUE"""),45830.4585185185)</f>
        <v>45830.458518518499</v>
      </c>
      <c r="B134" s="1"/>
      <c r="C134" s="1" t="str">
        <f ca="1">IFERROR(__xludf.DUMMYFUNCTION("""COMPUTED_VALUE"""),"Miranda, Ruiz Brito")</f>
        <v>Miranda, Ruiz Brito</v>
      </c>
      <c r="D134" s="1">
        <f ca="1">IFERROR(__xludf.DUMMYFUNCTION("""COMPUTED_VALUE"""),18)</f>
        <v>18</v>
      </c>
      <c r="E134" s="1" t="str">
        <f ca="1">IFERROR(__xludf.DUMMYFUNCTION("""COMPUTED_VALUE"""),"Mujer")</f>
        <v>Mujer</v>
      </c>
      <c r="F134" s="1" t="str">
        <f ca="1">IFERROR(__xludf.DUMMYFUNCTION("""COMPUTED_VALUE"""),"Morelos, Mexico")</f>
        <v>Morelos, Mexico</v>
      </c>
      <c r="G134" s="1" t="str">
        <f ca="1">IFERROR(__xludf.DUMMYFUNCTION("""COMPUTED_VALUE"""),"mirandaruibri@gmail.com")</f>
        <v>mirandaruibri@gmail.com</v>
      </c>
      <c r="H134" s="1">
        <f ca="1">IFERROR(__xludf.DUMMYFUNCTION("""COMPUTED_VALUE"""),527772170285)</f>
        <v>527772170285</v>
      </c>
      <c r="I134" s="1" t="str">
        <f ca="1">IFERROR(__xludf.DUMMYFUNCTION("""COMPUTED_VALUE"""),"Comunidad Jóvenes + 18 (14-19) Julio")</f>
        <v>Comunidad Jóvenes + 18 (14-19) Julio</v>
      </c>
      <c r="J134" s="1" t="str">
        <f ca="1">IFERROR(__xludf.DUMMYFUNCTION("""COMPUTED_VALUE"""),"Los planes de YouVersion")</f>
        <v>Los planes de YouVersion</v>
      </c>
      <c r="K134" s="1" t="str">
        <f ca="1">IFERROR(__xludf.DUMMYFUNCTION("""COMPUTED_VALUE"""),"Mahanaim")</f>
        <v>Mahanaim</v>
      </c>
      <c r="L134" s="1" t="str">
        <f ca="1">IFERROR(__xludf.DUMMYFUNCTION("""COMPUTED_VALUE"""),"Fernando Bermúdez Canchola")</f>
        <v>Fernando Bermúdez Canchola</v>
      </c>
      <c r="M134" s="1">
        <f ca="1">IFERROR(__xludf.DUMMYFUNCTION("""COMPUTED_VALUE"""),527351258023)</f>
        <v>527351258023</v>
      </c>
      <c r="N134" s="1" t="str">
        <f ca="1">IFERROR(__xludf.DUMMYFUNCTION("""COMPUTED_VALUE"""),"ferberca48@gmail.com")</f>
        <v>ferberca48@gmail.com</v>
      </c>
      <c r="O134" s="1" t="str">
        <f ca="1">IFERROR(__xludf.DUMMYFUNCTION("""COMPUTED_VALUE"""),"Ahorita ninguno, pero pronto espero poder estar serviendo con los niños")</f>
        <v>Ahorita ninguno, pero pronto espero poder estar serviendo con los niños</v>
      </c>
      <c r="P134" s="1" t="str">
        <f ca="1">IFERROR(__xludf.DUMMYFUNCTION("""COMPUTED_VALUE"""),"Desde los 7 años empecé a ir a la iglesia cristiana pero no fue realmente hasta los 13 años en pandemia cuando estaba atravesando por momentos de depresión que me di cuenta de mi verdadera necesidad de Dios, y fue en ese momento cuando comencé a tener una"&amp;" relación real e íntima con El.")</f>
        <v>Desde los 7 años empecé a ir a la iglesia cristiana pero no fue realmente hasta los 13 años en pandemia cuando estaba atravesando por momentos de depresión que me di cuenta de mi verdadera necesidad de Dios, y fue en ese momento cuando comencé a tener una relación real e íntima con El.</v>
      </c>
      <c r="Q134" s="1" t="str">
        <f ca="1">IFERROR(__xludf.DUMMYFUNCTION("""COMPUTED_VALUE"""),"Ya van 2 veces que voy a servir. AMO el tiempo de convivencia, gracias al campa he conocido a personas que me hacen querer ser mejor y me impulsan a parecerme más a Cristo. Tmb es un tiempo de muchos retos que me hacen conocerme y crecer tanto como person"&amp;"a y espiritualmente.")</f>
        <v>Ya van 2 veces que voy a servir. AMO el tiempo de convivencia, gracias al campa he conocido a personas que me hacen querer ser mejor y me impulsan a parecerme más a Cristo. Tmb es un tiempo de muchos retos que me hacen conocerme y crecer tanto como persona y espiritualmente.</v>
      </c>
      <c r="R134" s="1" t="str">
        <f ca="1">IFERROR(__xludf.DUMMYFUNCTION("""COMPUTED_VALUE"""),"Si")</f>
        <v>Si</v>
      </c>
      <c r="S134" s="1" t="str">
        <f ca="1">IFERROR(__xludf.DUMMYFUNCTION("""COMPUTED_VALUE"""),"Volley")</f>
        <v>Volley</v>
      </c>
      <c r="T134" s="1" t="str">
        <f ca="1">IFERROR(__xludf.DUMMYFUNCTION("""COMPUTED_VALUE"""),"Si")</f>
        <v>Si</v>
      </c>
      <c r="U134" s="1" t="str">
        <f ca="1">IFERROR(__xludf.DUMMYFUNCTION("""COMPUTED_VALUE"""),"Piano")</f>
        <v>Piano</v>
      </c>
      <c r="V134" s="1" t="str">
        <f ca="1">IFERROR(__xludf.DUMMYFUNCTION("""COMPUTED_VALUE"""),"Estoy en mi último año de prepa en ACE")</f>
        <v>Estoy en mi último año de prepa en ACE</v>
      </c>
      <c r="W134" s="1" t="str">
        <f ca="1">IFERROR(__xludf.DUMMYFUNCTION("""COMPUTED_VALUE"""),"Pintar, organizada, sociable, me gusta escuchar a las personas")</f>
        <v>Pintar, organizada, sociable, me gusta escuchar a las personas</v>
      </c>
      <c r="X134" s="1" t="str">
        <f ca="1">IFERROR(__xludf.DUMMYFUNCTION("""COMPUTED_VALUE"""),"B. Me gusta animar a las personas, C. Suelo buscar que el trabajo se realice en equipo, D. Me gustan los deportes, E. Me gusta el trabajo con niños, H. Soy organizado (a), J. Me gusta la atención a las personas, K. Soy creativo (a)")</f>
        <v>B. Me gusta animar a las personas, C. Suelo buscar que el trabajo se realice en equipo, D. Me gustan los deportes, E. Me gusta el trabajo con niños, H. Soy organizado (a), J. Me gusta la atención a las personas, K. Soy creativo (a)</v>
      </c>
      <c r="Y134" s="1" t="str">
        <f ca="1">IFERROR(__xludf.DUMMYFUNCTION("""COMPUTED_VALUE"""),"Si, en el 2019 y 2022")</f>
        <v>Si, en el 2019 y 2022</v>
      </c>
      <c r="Z134" s="1"/>
    </row>
    <row r="135" spans="1:26" x14ac:dyDescent="0.35">
      <c r="A135" s="2">
        <f ca="1">IFERROR(__xludf.DUMMYFUNCTION("""COMPUTED_VALUE"""),45830.8252314814)</f>
        <v>45830.825231481402</v>
      </c>
      <c r="B135" s="1"/>
      <c r="C135" s="1" t="str">
        <f ca="1">IFERROR(__xludf.DUMMYFUNCTION("""COMPUTED_VALUE"""),"Lidia Elizabeth, Almeraz Rubio")</f>
        <v>Lidia Elizabeth, Almeraz Rubio</v>
      </c>
      <c r="D135" s="1">
        <f ca="1">IFERROR(__xludf.DUMMYFUNCTION("""COMPUTED_VALUE"""),16)</f>
        <v>16</v>
      </c>
      <c r="E135" s="1" t="str">
        <f ca="1">IFERROR(__xludf.DUMMYFUNCTION("""COMPUTED_VALUE"""),"Mujer")</f>
        <v>Mujer</v>
      </c>
      <c r="F135" s="1" t="str">
        <f ca="1">IFERROR(__xludf.DUMMYFUNCTION("""COMPUTED_VALUE"""),"Jalisco, Mexico")</f>
        <v>Jalisco, Mexico</v>
      </c>
      <c r="G135" s="1" t="str">
        <f ca="1">IFERROR(__xludf.DUMMYFUNCTION("""COMPUTED_VALUE"""),"almerazlidia1@gmail.com")</f>
        <v>almerazlidia1@gmail.com</v>
      </c>
      <c r="H135" s="1">
        <f ca="1">IFERROR(__xludf.DUMMYFUNCTION("""COMPUTED_VALUE"""),523329609446)</f>
        <v>523329609446</v>
      </c>
      <c r="I135" s="1" t="str">
        <f ca="1">IFERROR(__xludf.DUMMYFUNCTION("""COMPUTED_VALUE"""),"Semana de entrenamiento (07 - 13) Julio, Comunidad Jóvenes + 18 (14-19) Julio, Semana de niños y niñas (21-25) Julio, Jóvenes de 13 – 17 años / SEM1/ (28 Julio a 02 de agosto)")</f>
        <v>Semana de entrenamiento (07 - 13) Julio, Comunidad Jóvenes + 18 (14-19) Julio, Semana de niños y niñas (21-25) Julio, Jóvenes de 13 – 17 años / SEM1/ (28 Julio a 02 de agosto)</v>
      </c>
      <c r="J135" s="1" t="str">
        <f ca="1">IFERROR(__xludf.DUMMYFUNCTION("""COMPUTED_VALUE"""),"Quiet time")</f>
        <v>Quiet time</v>
      </c>
      <c r="K135" s="1" t="str">
        <f ca="1">IFERROR(__xludf.DUMMYFUNCTION("""COMPUTED_VALUE"""),"Emanuel")</f>
        <v>Emanuel</v>
      </c>
      <c r="L135" s="1" t="str">
        <f ca="1">IFERROR(__xludf.DUMMYFUNCTION("""COMPUTED_VALUE"""),"Jesús García")</f>
        <v>Jesús García</v>
      </c>
      <c r="M135" s="1">
        <f ca="1">IFERROR(__xludf.DUMMYFUNCTION("""COMPUTED_VALUE"""),523311128056)</f>
        <v>523311128056</v>
      </c>
      <c r="N135" s="1" t="str">
        <f ca="1">IFERROR(__xludf.DUMMYFUNCTION("""COMPUTED_VALUE"""),"jesus_garcia7@hotmail.com")</f>
        <v>jesus_garcia7@hotmail.com</v>
      </c>
      <c r="O135" s="1" t="str">
        <f ca="1">IFERROR(__xludf.DUMMYFUNCTION("""COMPUTED_VALUE"""),"Cunero")</f>
        <v>Cunero</v>
      </c>
      <c r="P135" s="1" t="str">
        <f ca="1">IFERROR(__xludf.DUMMYFUNCTION("""COMPUTED_VALUE"""),"Yo nací en una iglesia cristiana y desde peque yo iba a la iglesia , pero cuando entré a la secundaria fue que me empecé a separar de Dios por las amistades que tenía y duré bastante tiempo así hasta donde me di cuenta que lo que está haciendo estaba mal "&amp;"y no le agradaba a Dios , y fue ahí donde todo empezó a cambiar ya que yo quería glorificar el nombre de nuestro Señor.")</f>
        <v>Yo nací en una iglesia cristiana y desde peque yo iba a la iglesia , pero cuando entré a la secundaria fue que me empecé a separar de Dios por las amistades que tenía y duré bastante tiempo así hasta donde me di cuenta que lo que está haciendo estaba mal y no le agradaba a Dios , y fue ahí donde todo empezó a cambiar ya que yo quería glorificar el nombre de nuestro Señor.</v>
      </c>
      <c r="Q135" s="1" t="str">
        <f ca="1">IFERROR(__xludf.DUMMYFUNCTION("""COMPUTED_VALUE"""),"Porque ahí es donde te das cuenta que no importa la área que estés siempre podemos glorificar su nombre en todo momento y conoces personas increíbles y que son de Bendición a tu vida y me encantaría volver a servir en esta temporada que yo sé que va hacer"&amp;" de gran bendición a mi vida.")</f>
        <v>Porque ahí es donde te das cuenta que no importa la área que estés siempre podemos glorificar su nombre en todo momento y conoces personas increíbles y que son de Bendición a tu vida y me encantaría volver a servir en esta temporada que yo sé que va hacer de gran bendición a mi vida.</v>
      </c>
      <c r="R135" s="1" t="str">
        <f ca="1">IFERROR(__xludf.DUMMYFUNCTION("""COMPUTED_VALUE"""),"No")</f>
        <v>No</v>
      </c>
      <c r="S135" s="1"/>
      <c r="T135" s="1" t="str">
        <f ca="1">IFERROR(__xludf.DUMMYFUNCTION("""COMPUTED_VALUE"""),"No")</f>
        <v>No</v>
      </c>
      <c r="U135" s="1"/>
      <c r="V135" s="1" t="str">
        <f ca="1">IFERROR(__xludf.DUMMYFUNCTION("""COMPUTED_VALUE"""),"Estoy en bachillerato")</f>
        <v>Estoy en bachillerato</v>
      </c>
      <c r="W135" s="1" t="str">
        <f ca="1">IFERROR(__xludf.DUMMYFUNCTION("""COMPUTED_VALUE"""),"soy buena organizando y creativa")</f>
        <v>soy buena organizando y creativa</v>
      </c>
      <c r="X135" s="1" t="str">
        <f ca="1">IFERROR(__xludf.DUMMYFUNCTION("""COMPUTED_VALUE"""),"B. Me gusta animar a las personas, C. Suelo buscar que el trabajo se realice en equipo, D. Me gustan los deportes, H. Soy organizado (a), J. Me gusta la atención a las personas")</f>
        <v>B. Me gusta animar a las personas, C. Suelo buscar que el trabajo se realice en equipo, D. Me gustan los deportes, H. Soy organizado (a), J. Me gusta la atención a las personas</v>
      </c>
      <c r="Y135" s="1" t="str">
        <f ca="1">IFERROR(__xludf.DUMMYFUNCTION("""COMPUTED_VALUE"""),"Si en  2022")</f>
        <v>Si en  2022</v>
      </c>
      <c r="Z135" s="1"/>
    </row>
    <row r="136" spans="1:26" x14ac:dyDescent="0.35">
      <c r="A136" s="2">
        <f ca="1">IFERROR(__xludf.DUMMYFUNCTION("""COMPUTED_VALUE"""),45830.8603703703)</f>
        <v>45830.860370370297</v>
      </c>
      <c r="B136" s="1"/>
      <c r="C136" s="1" t="str">
        <f ca="1">IFERROR(__xludf.DUMMYFUNCTION("""COMPUTED_VALUE"""),"Mireya Hazel, Benitez Garcia")</f>
        <v>Mireya Hazel, Benitez Garcia</v>
      </c>
      <c r="D136" s="1">
        <f ca="1">IFERROR(__xludf.DUMMYFUNCTION("""COMPUTED_VALUE"""),20)</f>
        <v>20</v>
      </c>
      <c r="E136" s="1" t="str">
        <f ca="1">IFERROR(__xludf.DUMMYFUNCTION("""COMPUTED_VALUE"""),"Mujer")</f>
        <v>Mujer</v>
      </c>
      <c r="F136" s="1" t="str">
        <f ca="1">IFERROR(__xludf.DUMMYFUNCTION("""COMPUTED_VALUE"""),"Sinaloa, Mexico")</f>
        <v>Sinaloa, Mexico</v>
      </c>
      <c r="G136" s="1" t="str">
        <f ca="1">IFERROR(__xludf.DUMMYFUNCTION("""COMPUTED_VALUE"""),"mireyahazelbenitezgarciauadeo@gmail.com")</f>
        <v>mireyahazelbenitezgarciauadeo@gmail.com</v>
      </c>
      <c r="H136" s="1">
        <f ca="1">IFERROR(__xludf.DUMMYFUNCTION("""COMPUTED_VALUE"""),526671846900)</f>
        <v>526671846900</v>
      </c>
      <c r="I136" s="1" t="str">
        <f ca="1">IFERROR(__xludf.DUMMYFUNCTION("""COMPUTED_VALUE"""),"Toda la temporada (07 de Julio al 16 de agosto)")</f>
        <v>Toda la temporada (07 de Julio al 16 de agosto)</v>
      </c>
      <c r="J136" s="1" t="str">
        <f ca="1">IFERROR(__xludf.DUMMYFUNCTION("""COMPUTED_VALUE"""),"biblia")</f>
        <v>biblia</v>
      </c>
      <c r="K136" s="1" t="str">
        <f ca="1">IFERROR(__xludf.DUMMYFUNCTION("""COMPUTED_VALUE"""),"La vid Verdadera")</f>
        <v>La vid Verdadera</v>
      </c>
      <c r="L136" s="1" t="str">
        <f ca="1">IFERROR(__xludf.DUMMYFUNCTION("""COMPUTED_VALUE"""),"Manrique Perez Navidad")</f>
        <v>Manrique Perez Navidad</v>
      </c>
      <c r="M136" s="1">
        <f ca="1">IFERROR(__xludf.DUMMYFUNCTION("""COMPUTED_VALUE"""),526672731232)</f>
        <v>526672731232</v>
      </c>
      <c r="N136" s="1" t="str">
        <f ca="1">IFERROR(__xludf.DUMMYFUNCTION("""COMPUTED_VALUE"""),"edit2garcia@gmail.com")</f>
        <v>edit2garcia@gmail.com</v>
      </c>
      <c r="O136" s="1" t="str">
        <f ca="1">IFERROR(__xludf.DUMMYFUNCTION("""COMPUTED_VALUE"""),"Infantil")</f>
        <v>Infantil</v>
      </c>
      <c r="P136" s="1" t="str">
        <f ca="1">IFERROR(__xludf.DUMMYFUNCTION("""COMPUTED_VALUE"""),"desde que soy pequeña e acudido a iglesias de las que salimos por motivos que dejaban de seguir nuestras creencias mias y de mi familia ,llegamos a la iglesia a la vid Verdadera con yo la edad de 8 años y desde entonces hemos acudido aqui 12 años despues "&amp;"sigo firme en la fe a pesar de las adversidades ,no ha sido facil y mas en epoca d pandemia pero se a superado toda advertencia en compañía de Dios y ahora en un paso de obediencia me gustaria servirle")</f>
        <v>desde que soy pequeña e acudido a iglesias de las que salimos por motivos que dejaban de seguir nuestras creencias mias y de mi familia ,llegamos a la iglesia a la vid Verdadera con yo la edad de 8 años y desde entonces hemos acudido aqui 12 años despues sigo firme en la fe a pesar de las adversidades ,no ha sido facil y mas en epoca d pandemia pero se a superado toda advertencia en compañía de Dios y ahora en un paso de obediencia me gustaria servirle</v>
      </c>
      <c r="Q136" s="1" t="str">
        <f ca="1">IFERROR(__xludf.DUMMYFUNCTION("""COMPUTED_VALUE"""),"conoci a miembros de si instituto y han sido de gran bendición para mi vida he aprendido  de ellos y quiero conocer mas a Dios y su manera de aprender,los vi evangelizando y me entusiasma saber de donde vienen")</f>
        <v>conoci a miembros de si instituto y han sido de gran bendición para mi vida he aprendido  de ellos y quiero conocer mas a Dios y su manera de aprender,los vi evangelizando y me entusiasma saber de donde vienen</v>
      </c>
      <c r="R136" s="1" t="str">
        <f ca="1">IFERROR(__xludf.DUMMYFUNCTION("""COMPUTED_VALUE"""),"No")</f>
        <v>No</v>
      </c>
      <c r="S136" s="1"/>
      <c r="T136" s="1" t="str">
        <f ca="1">IFERROR(__xludf.DUMMYFUNCTION("""COMPUTED_VALUE"""),"No")</f>
        <v>No</v>
      </c>
      <c r="U136" s="1"/>
      <c r="V136" s="1" t="str">
        <f ca="1">IFERROR(__xludf.DUMMYFUNCTION("""COMPUTED_VALUE"""),"Estudio Licenciatura en Ciencias biomedicas es acerca de la creación de fármacos,estudio de el cuerpo humano y enfermedades con su tratamiento")</f>
        <v>Estudio Licenciatura en Ciencias biomedicas es acerca de la creación de fármacos,estudio de el cuerpo humano y enfermedades con su tratamiento</v>
      </c>
      <c r="W136" s="1" t="str">
        <f ca="1">IFERROR(__xludf.DUMMYFUNCTION("""COMPUTED_VALUE"""),"trabajar con niños , tengo facilidad de palabra ,y socializar ,dirigir dinamicas , servicial")</f>
        <v>trabajar con niños , tengo facilidad de palabra ,y socializar ,dirigir dinamicas , servicial</v>
      </c>
      <c r="X136" s="1" t="str">
        <f ca="1">IFERROR(__xludf.DUMMYFUNCTION("""COMPUTED_VALUE"""),"B. Me gusta animar a las personas, C. Suelo buscar que el trabajo se realice en equipo, E. Me gusta el trabajo con niños, I. Se me facilita el trabajo físico, J. Me gusta la atención a las personas, K. Soy creativo (a), N. Suelo llevar el liderazgo en un "&amp;"grupo, O. Puedo enseñar con facilidad")</f>
        <v>B. Me gusta animar a las personas, C. Suelo buscar que el trabajo se realice en equipo, E. Me gusta el trabajo con niños, I. Se me facilita el trabajo físico, J. Me gusta la atención a las personas, K. Soy creativo (a), N. Suelo llevar el liderazgo en un grupo, O. Puedo enseñar con facilidad</v>
      </c>
      <c r="Y136" s="1" t="str">
        <f ca="1">IFERROR(__xludf.DUMMYFUNCTION("""COMPUTED_VALUE"""),"no")</f>
        <v>no</v>
      </c>
      <c r="Z136" s="1"/>
    </row>
    <row r="137" spans="1:26" x14ac:dyDescent="0.35">
      <c r="A137" s="2">
        <f ca="1">IFERROR(__xludf.DUMMYFUNCTION("""COMPUTED_VALUE"""),45831.4357407407)</f>
        <v>45831.435740740701</v>
      </c>
      <c r="B137" s="1"/>
      <c r="C137" s="1" t="str">
        <f ca="1">IFERROR(__xludf.DUMMYFUNCTION("""COMPUTED_VALUE"""),"Belen, Flores")</f>
        <v>Belen, Flores</v>
      </c>
      <c r="D137" s="1">
        <f ca="1">IFERROR(__xludf.DUMMYFUNCTION("""COMPUTED_VALUE"""),19)</f>
        <v>19</v>
      </c>
      <c r="E137" s="1" t="str">
        <f ca="1">IFERROR(__xludf.DUMMYFUNCTION("""COMPUTED_VALUE"""),"Mujer")</f>
        <v>Mujer</v>
      </c>
      <c r="F137" s="1" t="str">
        <f ca="1">IFERROR(__xludf.DUMMYFUNCTION("""COMPUTED_VALUE"""),"Morelos, Mexico")</f>
        <v>Morelos, Mexico</v>
      </c>
      <c r="G137" s="1" t="str">
        <f ca="1">IFERROR(__xludf.DUMMYFUNCTION("""COMPUTED_VALUE"""),"ana.belen.fr.13@gmail.com")</f>
        <v>ana.belen.fr.13@gmail.com</v>
      </c>
      <c r="H137" s="1" t="str">
        <f ca="1">IFERROR(__xludf.DUMMYFUNCTION("""COMPUTED_VALUE"""),"#ERROR!")</f>
        <v>#ERROR!</v>
      </c>
      <c r="I137" s="1" t="str">
        <f ca="1">IFERROR(__xludf.DUMMYFUNCTION("""COMPUTED_VALUE"""),"Toda la temporada (07 de Julio al 16 de agosto)")</f>
        <v>Toda la temporada (07 de Julio al 16 de agosto)</v>
      </c>
      <c r="J137" s="1" t="str">
        <f ca="1">IFERROR(__xludf.DUMMYFUNCTION("""COMPUTED_VALUE"""),"Hora silenciosa")</f>
        <v>Hora silenciosa</v>
      </c>
      <c r="K137" s="1" t="str">
        <f ca="1">IFERROR(__xludf.DUMMYFUNCTION("""COMPUTED_VALUE"""),"Manantial de Gracia")</f>
        <v>Manantial de Gracia</v>
      </c>
      <c r="L137" s="1" t="str">
        <f ca="1">IFERROR(__xludf.DUMMYFUNCTION("""COMPUTED_VALUE"""),"Luis Gabriel Flores Leos")</f>
        <v>Luis Gabriel Flores Leos</v>
      </c>
      <c r="M137" s="1">
        <f ca="1">IFERROR(__xludf.DUMMYFUNCTION("""COMPUTED_VALUE"""),527353980907)</f>
        <v>527353980907</v>
      </c>
      <c r="N137" s="1" t="str">
        <f ca="1">IFERROR(__xludf.DUMMYFUNCTION("""COMPUTED_VALUE"""),"pastor@ibmanantial.com")</f>
        <v>pastor@ibmanantial.com</v>
      </c>
      <c r="O137" s="1" t="str">
        <f ca="1">IFERROR(__xludf.DUMMYFUNCTION("""COMPUTED_VALUE"""),"Alabanza y niños/jovenes")</f>
        <v>Alabanza y niños/jovenes</v>
      </c>
      <c r="P137" s="1" t="str">
        <f ca="1">IFERROR(__xludf.DUMMYFUNCTION("""COMPUTED_VALUE"""),"Creci en un hogar cristiano y llendo a los campamentos de Pv pero vivia una vida lejos de Dios fuera de la iglesia hasta que en un campamento entendi realmente el plan de salvacion")</f>
        <v>Creci en un hogar cristiano y llendo a los campamentos de Pv pero vivia una vida lejos de Dios fuera de la iglesia hasta que en un campamento entendi realmente el plan de salvacion</v>
      </c>
      <c r="Q137" s="1" t="str">
        <f ca="1">IFERROR(__xludf.DUMMYFUNCTION("""COMPUTED_VALUE"""),"Por la necesidad que se que hay en la juventud de mi pais y mi deseo por aportar en que ellos conozcan de Dios")</f>
        <v>Por la necesidad que se que hay en la juventud de mi pais y mi deseo por aportar en que ellos conozcan de Dios</v>
      </c>
      <c r="R137" s="1" t="str">
        <f ca="1">IFERROR(__xludf.DUMMYFUNCTION("""COMPUTED_VALUE"""),"Si")</f>
        <v>Si</v>
      </c>
      <c r="S137" s="1" t="str">
        <f ca="1">IFERROR(__xludf.DUMMYFUNCTION("""COMPUTED_VALUE"""),"Voleibol")</f>
        <v>Voleibol</v>
      </c>
      <c r="T137" s="1" t="str">
        <f ca="1">IFERROR(__xludf.DUMMYFUNCTION("""COMPUTED_VALUE"""),"No")</f>
        <v>No</v>
      </c>
      <c r="U137" s="1"/>
      <c r="V137" s="1" t="str">
        <f ca="1">IFERROR(__xludf.DUMMYFUNCTION("""COMPUTED_VALUE"""),"Por el momento nada")</f>
        <v>Por el momento nada</v>
      </c>
      <c r="W137" s="1" t="str">
        <f ca="1">IFERROR(__xludf.DUMMYFUNCTION("""COMPUTED_VALUE"""),"Actualmente soy maestra en una escuela A.C.E")</f>
        <v>Actualmente soy maestra en una escuela A.C.E</v>
      </c>
      <c r="X137" s="1" t="str">
        <f ca="1">IFERROR(__xludf.DUMMYFUNCTION("""COMPUTED_VALUE"""),"A. Soy un discipulador activo, B. Me gusta animar a las personas, D. Me gustan los deportes, E. Me gusta el trabajo con niños, L. Soy bueno (a) en canto o algún instrumento")</f>
        <v>A. Soy un discipulador activo, B. Me gusta animar a las personas, D. Me gustan los deportes, E. Me gusta el trabajo con niños, L. Soy bueno (a) en canto o algún instrumento</v>
      </c>
      <c r="Y137" s="1" t="str">
        <f ca="1">IFERROR(__xludf.DUMMYFUNCTION("""COMPUTED_VALUE"""),"Si, cada verano desde el 2012 hasta el 2019")</f>
        <v>Si, cada verano desde el 2012 hasta el 2019</v>
      </c>
      <c r="Z137" s="1"/>
    </row>
    <row r="138" spans="1:26" x14ac:dyDescent="0.35">
      <c r="A138" s="2">
        <f ca="1">IFERROR(__xludf.DUMMYFUNCTION("""COMPUTED_VALUE"""),45831.6081481481)</f>
        <v>45831.608148148101</v>
      </c>
      <c r="B138" s="1"/>
      <c r="C138" s="1" t="str">
        <f ca="1">IFERROR(__xludf.DUMMYFUNCTION("""COMPUTED_VALUE"""),"Rebekah Ayelen, Gudino")</f>
        <v>Rebekah Ayelen, Gudino</v>
      </c>
      <c r="D138" s="1">
        <f ca="1">IFERROR(__xludf.DUMMYFUNCTION("""COMPUTED_VALUE"""),19)</f>
        <v>19</v>
      </c>
      <c r="E138" s="1" t="str">
        <f ca="1">IFERROR(__xludf.DUMMYFUNCTION("""COMPUTED_VALUE"""),"Mujer")</f>
        <v>Mujer</v>
      </c>
      <c r="F138" s="1" t="str">
        <f ca="1">IFERROR(__xludf.DUMMYFUNCTION("""COMPUTED_VALUE"""),"Jalisco, Mexico")</f>
        <v>Jalisco, Mexico</v>
      </c>
      <c r="G138" s="1" t="str">
        <f ca="1">IFERROR(__xludf.DUMMYFUNCTION("""COMPUTED_VALUE"""),"rebekahg1204@gmail.com")</f>
        <v>rebekahg1204@gmail.com</v>
      </c>
      <c r="H138" s="1">
        <f ca="1">IFERROR(__xludf.DUMMYFUNCTION("""COMPUTED_VALUE"""),523313176449)</f>
        <v>523313176449</v>
      </c>
      <c r="I138" s="1" t="str">
        <f ca="1">IFERROR(__xludf.DUMMYFUNCTION("""COMPUTED_VALUE"""),"Semana de entrenamiento (07 - 13) Julio, Comunidad Jóvenes + 18 (14-19) Julio")</f>
        <v>Semana de entrenamiento (07 - 13) Julio, Comunidad Jóvenes + 18 (14-19) Julio</v>
      </c>
      <c r="J138" s="1" t="str">
        <f ca="1">IFERROR(__xludf.DUMMYFUNCTION("""COMPUTED_VALUE"""),"Santa Biblia")</f>
        <v>Santa Biblia</v>
      </c>
      <c r="K138" s="1" t="str">
        <f ca="1">IFERROR(__xludf.DUMMYFUNCTION("""COMPUTED_VALUE"""),"Iglesia Biblica Renacer")</f>
        <v>Iglesia Biblica Renacer</v>
      </c>
      <c r="L138" s="1" t="str">
        <f ca="1">IFERROR(__xludf.DUMMYFUNCTION("""COMPUTED_VALUE"""),"Marco Antonio Gudiño Flores")</f>
        <v>Marco Antonio Gudiño Flores</v>
      </c>
      <c r="M138" s="1">
        <f ca="1">IFERROR(__xludf.DUMMYFUNCTION("""COMPUTED_VALUE"""),523312095157)</f>
        <v>523312095157</v>
      </c>
      <c r="N138" s="1" t="str">
        <f ca="1">IFERROR(__xludf.DUMMYFUNCTION("""COMPUTED_VALUE"""),"mjgudino15@gmail.com")</f>
        <v>mjgudino15@gmail.com</v>
      </c>
      <c r="O138" s="1" t="str">
        <f ca="1">IFERROR(__xludf.DUMMYFUNCTION("""COMPUTED_VALUE"""),"alabanza y Niños")</f>
        <v>alabanza y Niños</v>
      </c>
      <c r="P138" s="1" t="str">
        <f ca="1">IFERROR(__xludf.DUMMYFUNCTION("""COMPUTED_VALUE"""),"Crecí en cuna cristiana, pero no fue hasta que tenia 13 años que se volvió algo personal.")</f>
        <v>Crecí en cuna cristiana, pero no fue hasta que tenia 13 años que se volvió algo personal.</v>
      </c>
      <c r="Q138" s="1" t="str">
        <f ca="1">IFERROR(__xludf.DUMMYFUNCTION("""COMPUTED_VALUE"""),"Fui el año pasado y la verdad es que impacto mucho mi vida, y quiero ir de nuevo para ayudar en lo que se pueda.")</f>
        <v>Fui el año pasado y la verdad es que impacto mucho mi vida, y quiero ir de nuevo para ayudar en lo que se pueda.</v>
      </c>
      <c r="R138" s="1" t="str">
        <f ca="1">IFERROR(__xludf.DUMMYFUNCTION("""COMPUTED_VALUE"""),"No")</f>
        <v>No</v>
      </c>
      <c r="S138" s="1"/>
      <c r="T138" s="1" t="str">
        <f ca="1">IFERROR(__xludf.DUMMYFUNCTION("""COMPUTED_VALUE"""),"Si")</f>
        <v>Si</v>
      </c>
      <c r="U138" s="1" t="str">
        <f ca="1">IFERROR(__xludf.DUMMYFUNCTION("""COMPUTED_VALUE"""),"teclado")</f>
        <v>teclado</v>
      </c>
      <c r="V138" s="1" t="str">
        <f ca="1">IFERROR(__xludf.DUMMYFUNCTION("""COMPUTED_VALUE"""),"Acabo de terminar la prepa, y voy a entrar a Consejería.")</f>
        <v>Acabo de terminar la prepa, y voy a entrar a Consejería.</v>
      </c>
      <c r="W138" s="1" t="str">
        <f ca="1">IFERROR(__xludf.DUMMYFUNCTION("""COMPUTED_VALUE"""),"estoy dispuesta a ayudar en lo que es necesario.")</f>
        <v>estoy dispuesta a ayudar en lo que es necesario.</v>
      </c>
      <c r="X138" s="1" t="str">
        <f ca="1">IFERROR(__xludf.DUMMYFUNCTION("""COMPUTED_VALUE"""),"B. Me gusta animar a las personas, D. Me gustan los deportes, E. Me gusta el trabajo con niños, H. Soy organizado (a), I. Se me facilita el trabajo físico, J. Me gusta la atención a las personas, K. Soy creativo (a)")</f>
        <v>B. Me gusta animar a las personas, D. Me gustan los deportes, E. Me gusta el trabajo con niños, H. Soy organizado (a), I. Se me facilita el trabajo físico, J. Me gusta la atención a las personas, K. Soy creativo (a)</v>
      </c>
      <c r="Y138" s="1">
        <f ca="1">IFERROR(__xludf.DUMMYFUNCTION("""COMPUTED_VALUE"""),2024)</f>
        <v>2024</v>
      </c>
      <c r="Z138" s="1"/>
    </row>
    <row r="139" spans="1:26" x14ac:dyDescent="0.35">
      <c r="A139" s="2">
        <f ca="1">IFERROR(__xludf.DUMMYFUNCTION("""COMPUTED_VALUE"""),45831.8471412037)</f>
        <v>45831.847141203703</v>
      </c>
      <c r="B139" s="1"/>
      <c r="C139" s="1" t="str">
        <f ca="1">IFERROR(__xludf.DUMMYFUNCTION("""COMPUTED_VALUE"""),"Julia, Villanueva")</f>
        <v>Julia, Villanueva</v>
      </c>
      <c r="D139" s="1">
        <f ca="1">IFERROR(__xludf.DUMMYFUNCTION("""COMPUTED_VALUE"""),24)</f>
        <v>24</v>
      </c>
      <c r="E139" s="1" t="str">
        <f ca="1">IFERROR(__xludf.DUMMYFUNCTION("""COMPUTED_VALUE"""),"Hombre")</f>
        <v>Hombre</v>
      </c>
      <c r="F139" s="1" t="str">
        <f ca="1">IFERROR(__xludf.DUMMYFUNCTION("""COMPUTED_VALUE"""),"Queretaro, Mexico")</f>
        <v>Queretaro, Mexico</v>
      </c>
      <c r="G139" s="1" t="str">
        <f ca="1">IFERROR(__xludf.DUMMYFUNCTION("""COMPUTED_VALUE"""),"juliovillaran05@gmail.com")</f>
        <v>juliovillaran05@gmail.com</v>
      </c>
      <c r="H139" s="1">
        <f ca="1">IFERROR(__xludf.DUMMYFUNCTION("""COMPUTED_VALUE"""),524423819650)</f>
        <v>524423819650</v>
      </c>
      <c r="I139" s="1" t="str">
        <f ca="1">IFERROR(__xludf.DUMMYFUNCTION("""COMPUTED_VALUE"""),"Jóvenes de 13 – 17 años / SEM1/ (28 Julio a 02 de agosto), Jóvenes de 13 – 17 años / SEM2/ (4 - 09 agosto)")</f>
        <v>Jóvenes de 13 – 17 años / SEM1/ (28 Julio a 02 de agosto), Jóvenes de 13 – 17 años / SEM2/ (4 - 09 agosto)</v>
      </c>
      <c r="J139" s="1" t="str">
        <f ca="1">IFERROR(__xludf.DUMMYFUNCTION("""COMPUTED_VALUE"""),"Plan de YouVersion")</f>
        <v>Plan de YouVersion</v>
      </c>
      <c r="K139" s="1" t="str">
        <f ca="1">IFERROR(__xludf.DUMMYFUNCTION("""COMPUTED_VALUE"""),"Iglesia Biblica Vida Nueva en Queretaro")</f>
        <v>Iglesia Biblica Vida Nueva en Queretaro</v>
      </c>
      <c r="L139" s="1" t="str">
        <f ca="1">IFERROR(__xludf.DUMMYFUNCTION("""COMPUTED_VALUE"""),"Hector Villanueva")</f>
        <v>Hector Villanueva</v>
      </c>
      <c r="M139" s="1">
        <f ca="1">IFERROR(__xludf.DUMMYFUNCTION("""COMPUTED_VALUE"""),524421578292)</f>
        <v>524421578292</v>
      </c>
      <c r="N139" s="1" t="str">
        <f ca="1">IFERROR(__xludf.DUMMYFUNCTION("""COMPUTED_VALUE"""),"hectorjvj@gmail.com")</f>
        <v>hectorjvj@gmail.com</v>
      </c>
      <c r="O139" s="1" t="str">
        <f ca="1">IFERROR(__xludf.DUMMYFUNCTION("""COMPUTED_VALUE"""),"Ninguno")</f>
        <v>Ninguno</v>
      </c>
      <c r="P139" s="1" t="str">
        <f ca="1">IFERROR(__xludf.DUMMYFUNCTION("""COMPUTED_VALUE"""),"Creí en el Señor Jesucristo como mi salvador. Es él quien murio por mis pecados, y me redimio de mi vana manera de vivir. Aunque crecí en un ambiente cristiano, asistiendo a la iglesia de forma muy regular, yo por convicción propia reconocí que personalme"&amp;"nte necesitaba del sacrificio de Jesús para limpiar mis pecados y buscar darle la gloria a Dios.")</f>
        <v>Creí en el Señor Jesucristo como mi salvador. Es él quien murio por mis pecados, y me redimio de mi vana manera de vivir. Aunque crecí en un ambiente cristiano, asistiendo a la iglesia de forma muy regular, yo por convicción propia reconocí que personalmente necesitaba del sacrificio de Jesús para limpiar mis pecados y buscar darle la gloria a Dios.</v>
      </c>
      <c r="Q139" s="1" t="str">
        <f ca="1">IFERROR(__xludf.DUMMYFUNCTION("""COMPUTED_VALUE"""),"Me gusta mucho trabajar con jovenes. Dios me ha dado una carga por ellos y quiero poder impactar sus vidas con el evangelio durante esta semana.")</f>
        <v>Me gusta mucho trabajar con jovenes. Dios me ha dado una carga por ellos y quiero poder impactar sus vidas con el evangelio durante esta semana.</v>
      </c>
      <c r="R139" s="1" t="str">
        <f ca="1">IFERROR(__xludf.DUMMYFUNCTION("""COMPUTED_VALUE"""),"No")</f>
        <v>No</v>
      </c>
      <c r="S139" s="1"/>
      <c r="T139" s="1" t="str">
        <f ca="1">IFERROR(__xludf.DUMMYFUNCTION("""COMPUTED_VALUE"""),"Si")</f>
        <v>Si</v>
      </c>
      <c r="U139" s="1" t="str">
        <f ca="1">IFERROR(__xludf.DUMMYFUNCTION("""COMPUTED_VALUE"""),"Piano/Teclado en grupo de alabanza, solista, etc. Llevo 10 años tocando.")</f>
        <v>Piano/Teclado en grupo de alabanza, solista, etc. Llevo 10 años tocando.</v>
      </c>
      <c r="V139" s="1" t="str">
        <f ca="1">IFERROR(__xludf.DUMMYFUNCTION("""COMPUTED_VALUE"""),"Termine este año la carrera de Derecho.")</f>
        <v>Termine este año la carrera de Derecho.</v>
      </c>
      <c r="W139" s="1" t="str">
        <f ca="1">IFERROR(__xludf.DUMMYFUNCTION("""COMPUTED_VALUE"""),"Me gusta mucho el hablar en público, dirigir equipos de trabajo, tengo ingles fluido, me gusta enseñar, tengo conocimiento en audio y mezcla de sonido,")</f>
        <v>Me gusta mucho el hablar en público, dirigir equipos de trabajo, tengo ingles fluido, me gusta enseñar, tengo conocimiento en audio y mezcla de sonido,</v>
      </c>
      <c r="X139" s="1" t="str">
        <f ca="1">IFERROR(__xludf.DUMMYFUNCTION("""COMPUTED_VALUE"""),"A. Soy un discipulador activo, B. Me gusta animar a las personas, D. Me gustan los deportes, G. Soy más eficiente en el trabajo individual, H. Soy organizado (a), I. Se me facilita el trabajo físico, J. Me gusta la atención a las personas, L. Soy bueno (a"&amp;") en canto o algún instrumento, N. Suelo llevar el liderazgo en un grupo, O. Puedo enseñar con facilidad")</f>
        <v>A. Soy un discipulador activo, B. Me gusta animar a las personas, D. Me gustan los deportes, G. Soy más eficiente en el trabajo individual, H. Soy organizado (a), I. Se me facilita el trabajo físico, J. Me gusta la atención a las personas, L. Soy bueno (a) en canto o algún instrumento, N. Suelo llevar el liderazgo en un grupo, O. Puedo enseñar con facilidad</v>
      </c>
      <c r="Y139" s="1" t="str">
        <f ca="1">IFERROR(__xludf.DUMMYFUNCTION("""COMPUTED_VALUE"""),"He sido camperos en año 2021 y 2022 de +18")</f>
        <v>He sido camperos en año 2021 y 2022 de +18</v>
      </c>
      <c r="Z139" s="1"/>
    </row>
    <row r="140" spans="1:26" x14ac:dyDescent="0.35">
      <c r="A140" s="2">
        <f ca="1">IFERROR(__xludf.DUMMYFUNCTION("""COMPUTED_VALUE"""),45832.444537037)</f>
        <v>45832.444537037001</v>
      </c>
      <c r="B140" s="1"/>
      <c r="C140" s="1" t="str">
        <f ca="1">IFERROR(__xludf.DUMMYFUNCTION("""COMPUTED_VALUE"""),"Genesis Valeria, Acuña Alvarez")</f>
        <v>Genesis Valeria, Acuña Alvarez</v>
      </c>
      <c r="D140" s="1">
        <f ca="1">IFERROR(__xludf.DUMMYFUNCTION("""COMPUTED_VALUE"""),26)</f>
        <v>26</v>
      </c>
      <c r="E140" s="1" t="str">
        <f ca="1">IFERROR(__xludf.DUMMYFUNCTION("""COMPUTED_VALUE"""),"Mujer")</f>
        <v>Mujer</v>
      </c>
      <c r="F140" s="1" t="str">
        <f ca="1">IFERROR(__xludf.DUMMYFUNCTION("""COMPUTED_VALUE"""),"Durango, Mexico")</f>
        <v>Durango, Mexico</v>
      </c>
      <c r="G140" s="1" t="str">
        <f ca="1">IFERROR(__xludf.DUMMYFUNCTION("""COMPUTED_VALUE"""),"acunavaleria125@gmail.com")</f>
        <v>acunavaleria125@gmail.com</v>
      </c>
      <c r="H140" s="1">
        <f ca="1">IFERROR(__xludf.DUMMYFUNCTION("""COMPUTED_VALUE"""),50670916215)</f>
        <v>50670916215</v>
      </c>
      <c r="I140" s="1" t="str">
        <f ca="1">IFERROR(__xludf.DUMMYFUNCTION("""COMPUTED_VALUE"""),"Semana de entrenamiento (07 - 13) Julio, Comunidad Jóvenes + 18 (14-19) Julio, Semana de niños y niñas (21-25) Julio, Jóvenes de 13 – 17 años / SEM1/ (28 Julio a 02 de agosto), Jóvenes de 13 – 17 años / SEM2/ (4 - 09 agosto), Jóvenes de 13 – 17 años / SEM"&amp;"3/ (11 - 16 agosto), Toda la temporada (07 de Julio al 16 de agosto)")</f>
        <v>Semana de entrenamiento (07 - 13) Julio, Comunidad Jóvenes + 18 (14-19) Julio, Semana de niños y niñas (21-25) Julio, Jóvenes de 13 – 17 años / SEM1/ (28 Julio a 02 de agosto), Jóvenes de 13 – 17 años / SEM2/ (4 - 09 agosto), Jóvenes de 13 – 17 años / SEM3/ (11 - 16 agosto), Toda la temporada (07 de Julio al 16 de agosto)</v>
      </c>
      <c r="J140" s="1" t="str">
        <f ca="1">IFERROR(__xludf.DUMMYFUNCTION("""COMPUTED_VALUE"""),"Hora silenciosa")</f>
        <v>Hora silenciosa</v>
      </c>
      <c r="K140" s="1" t="str">
        <f ca="1">IFERROR(__xludf.DUMMYFUNCTION("""COMPUTED_VALUE"""),"N/A")</f>
        <v>N/A</v>
      </c>
      <c r="L140" s="1" t="str">
        <f ca="1">IFERROR(__xludf.DUMMYFUNCTION("""COMPUTED_VALUE"""),"Gerson Acuña")</f>
        <v>Gerson Acuña</v>
      </c>
      <c r="M140" s="1">
        <f ca="1">IFERROR(__xludf.DUMMYFUNCTION("""COMPUTED_VALUE"""),526182931405)</f>
        <v>526182931405</v>
      </c>
      <c r="N140" s="1" t="str">
        <f ca="1">IFERROR(__xludf.DUMMYFUNCTION("""COMPUTED_VALUE"""),"gersonacuna@wol.org")</f>
        <v>gersonacuna@wol.org</v>
      </c>
      <c r="O140" s="1" t="str">
        <f ca="1">IFERROR(__xludf.DUMMYFUNCTION("""COMPUTED_VALUE"""),"Trabajaba con niños y jovenes")</f>
        <v>Trabajaba con niños y jovenes</v>
      </c>
      <c r="P140" s="1" t="str">
        <f ca="1">IFERROR(__xludf.DUMMYFUNCTION("""COMPUTED_VALUE"""),"Yo no crecí en un hogar cristiano en el sentido tradicional, pero desde muy niña tuve la bendición de escuchar sobre Dios. A la edad de 7 años, alguien me explicó el plan de salvación de una forma que mi corazón pudo entender. Recuerdo haber comprendido c"&amp;"on una claridad sorprendente que Dios me amaba tanto que envió a su único Hijo a morir por mí. Aun así, vivía con mucho miedo, especialmente al “qué dirán”. Me importaba demasiado la opinión de los demás, lo que me hacía esconder lo que creía o sentía por"&amp;" temor al rechazo. Aunque ya conocía el mensaje del evangelio, me costaba vivirlo con libertad y seguridad. Mi relación con Dios estaba sembrada, pero aún no había florecido con fuerza. Era como si supiera la verdad, pero no me atreviera a abrazarla por c"&amp;"ompleto por miedo a quedarme sola o ser señalada.
Desde aquella primera experiencia a los 7 años, mi vida comenzó un proceso de transformación que marcó mi camino. Lo que cambió radicalmente fue mi entendimiento del amor de Dios y la decisión de caminar "&amp;"en relación constante con Él. No fue un solo momento, sino una serie de encuentros, decisiones y llamados internos que me llevaron a dar pasos firmes hacia una vida más comprometida. Empecé a entender que Dios no busca perfección, sino disposición. Comenc"&amp;"é a hablar con Él, a buscarlo con más intención, y esa comunicación trajo claridad, paz y propósito. Mi fe dejó de ser solo un conocimiento y se convirtió en una relación viva. Aprendí que agradar a Dios es más valioso que agradar a los demás. Desde enton"&amp;"ces, mi mayor deseo ha sido permanecer cerca de Él y ser una mujer conforme a Su corazón, no por obligación, sino por amor y gratitud.
Hoy estoy en un proceso de servirle a Dios a tiempo completo. Cada día es una oportunidad para caminar en Su voluntad, "&amp;"escuchar Su voz y confiar en Su provisión. No ha sido fácil, pero es hermoso ver cómo Él abre puertas, sostiene mis pasos y llena cada área vacía con Su presencia. Estoy aprendiendo a depender más de Él, no solo espiritualmente, sino en cada decisión, cad"&amp;"a proyecto, cada sueño. Anhelo estudiar más Su Palabra, conocerlo más profundamente y reflejar Su carácter en mi vida diaria. Este llamado de servicio es algo que arde en mi corazón; no es solo una meta, es un estilo de vida. Vivir para Dios, con Dios y p"&amp;"or Dios es mi propósito. Aunque todavía estoy en camino, sé que estoy en el centro de Su voluntad, y eso me da paz. Hoy vivo con fe, con visión y con la certeza de que mi historia está en Sus manos.")</f>
        <v>Yo no crecí en un hogar cristiano en el sentido tradicional, pero desde muy niña tuve la bendición de escuchar sobre Dios. A la edad de 7 años, alguien me explicó el plan de salvación de una forma que mi corazón pudo entender. Recuerdo haber comprendido con una claridad sorprendente que Dios me amaba tanto que envió a su único Hijo a morir por mí. Aun así, vivía con mucho miedo, especialmente al “qué dirán”. Me importaba demasiado la opinión de los demás, lo que me hacía esconder lo que creía o sentía por temor al rechazo. Aunque ya conocía el mensaje del evangelio, me costaba vivirlo con libertad y seguridad. Mi relación con Dios estaba sembrada, pero aún no había florecido con fuerza. Era como si supiera la verdad, pero no me atreviera a abrazarla por completo por miedo a quedarme sola o ser señalada.
Desde aquella primera experiencia a los 7 años, mi vida comenzó un proceso de transformación que marcó mi camino. Lo que cambió radicalmente fue mi entendimiento del amor de Dios y la decisión de caminar en relación constante con Él. No fue un solo momento, sino una serie de encuentros, decisiones y llamados internos que me llevaron a dar pasos firmes hacia una vida más comprometida. Empecé a entender que Dios no busca perfección, sino disposición. Comencé a hablar con Él, a buscarlo con más intención, y esa comunicación trajo claridad, paz y propósito. Mi fe dejó de ser solo un conocimiento y se convirtió en una relación viva. Aprendí que agradar a Dios es más valioso que agradar a los demás. Desde entonces, mi mayor deseo ha sido permanecer cerca de Él y ser una mujer conforme a Su corazón, no por obligación, sino por amor y gratitud.
Hoy estoy en un proceso de servirle a Dios a tiempo completo. Cada día es una oportunidad para caminar en Su voluntad, escuchar Su voz y confiar en Su provisión. No ha sido fácil, pero es hermoso ver cómo Él abre puertas, sostiene mis pasos y llena cada área vacía con Su presencia. Estoy aprendiendo a depender más de Él, no solo espiritualmente, sino en cada decisión, cada proyecto, cada sueño. Anhelo estudiar más Su Palabra, conocerlo más profundamente y reflejar Su carácter en mi vida diaria. Este llamado de servicio es algo que arde en mi corazón; no es solo una meta, es un estilo de vida. Vivir para Dios, con Dios y por Dios es mi propósito. Aunque todavía estoy en camino, sé que estoy en el centro de Su voluntad, y eso me da paz. Hoy vivo con fe, con visión y con la certeza de que mi historia está en Sus manos.</v>
      </c>
      <c r="Q140" s="1" t="str">
        <f ca="1">IFERROR(__xludf.DUMMYFUNCTION("""COMPUTED_VALUE"""),"Porque llevo años escuchando deseando venir a campamento y deseo tambien quedarme en instituto")</f>
        <v>Porque llevo años escuchando deseando venir a campamento y deseo tambien quedarme en instituto</v>
      </c>
      <c r="R140" s="1" t="str">
        <f ca="1">IFERROR(__xludf.DUMMYFUNCTION("""COMPUTED_VALUE"""),"No")</f>
        <v>No</v>
      </c>
      <c r="S140" s="1"/>
      <c r="T140" s="1" t="str">
        <f ca="1">IFERROR(__xludf.DUMMYFUNCTION("""COMPUTED_VALUE"""),"No")</f>
        <v>No</v>
      </c>
      <c r="U140" s="1"/>
      <c r="V140" s="1" t="str">
        <f ca="1">IFERROR(__xludf.DUMMYFUNCTION("""COMPUTED_VALUE"""),"Por el momento no extoy estudiando")</f>
        <v>Por el momento no extoy estudiando</v>
      </c>
      <c r="W140" s="1" t="str">
        <f ca="1">IFERROR(__xludf.DUMMYFUNCTION("""COMPUTED_VALUE"""),"Tengo cursos de ingles intermedio y de diseño grafico")</f>
        <v>Tengo cursos de ingles intermedio y de diseño grafico</v>
      </c>
      <c r="X140" s="1" t="str">
        <f ca="1">IFERROR(__xludf.DUMMYFUNCTION("""COMPUTED_VALUE"""),"B. Me gusta animar a las personas, C. Suelo buscar que el trabajo se realice en equipo, E. Me gusta el trabajo con niños, G. Soy más eficiente en el trabajo individual, H. Soy organizado (a), J. Me gusta la atención a las personas, K. Soy creativo (a), O."&amp;" Puedo enseñar con facilidad")</f>
        <v>B. Me gusta animar a las personas, C. Suelo buscar que el trabajo se realice en equipo, E. Me gusta el trabajo con niños, G. Soy más eficiente en el trabajo individual, H. Soy organizado (a), J. Me gusta la atención a las personas, K. Soy creativo (a), O. Puedo enseñar con facilidad</v>
      </c>
      <c r="Y140" s="1" t="str">
        <f ca="1">IFERROR(__xludf.DUMMYFUNCTION("""COMPUTED_VALUE"""),"Si, en Costa Rica")</f>
        <v>Si, en Costa Rica</v>
      </c>
      <c r="Z140" s="1"/>
    </row>
    <row r="141" spans="1:26" x14ac:dyDescent="0.35">
      <c r="A141" s="2">
        <f ca="1">IFERROR(__xludf.DUMMYFUNCTION("""COMPUTED_VALUE"""),45832.4765277777)</f>
        <v>45832.476527777697</v>
      </c>
      <c r="B141" s="1"/>
      <c r="C141" s="1" t="str">
        <f ca="1">IFERROR(__xludf.DUMMYFUNCTION("""COMPUTED_VALUE"""),"Erika Sughey, Luna Cobian")</f>
        <v>Erika Sughey, Luna Cobian</v>
      </c>
      <c r="D141" s="1">
        <f ca="1">IFERROR(__xludf.DUMMYFUNCTION("""COMPUTED_VALUE"""),19)</f>
        <v>19</v>
      </c>
      <c r="E141" s="1" t="str">
        <f ca="1">IFERROR(__xludf.DUMMYFUNCTION("""COMPUTED_VALUE"""),"Mujer")</f>
        <v>Mujer</v>
      </c>
      <c r="F141" s="1" t="str">
        <f ca="1">IFERROR(__xludf.DUMMYFUNCTION("""COMPUTED_VALUE"""),"Jalisco, Mexico")</f>
        <v>Jalisco, Mexico</v>
      </c>
      <c r="G141" s="1" t="str">
        <f ca="1">IFERROR(__xludf.DUMMYFUNCTION("""COMPUTED_VALUE"""),"sugheyluna9@gmail.com")</f>
        <v>sugheyluna9@gmail.com</v>
      </c>
      <c r="H141" s="1">
        <f ca="1">IFERROR(__xludf.DUMMYFUNCTION("""COMPUTED_VALUE"""),523333210336)</f>
        <v>523333210336</v>
      </c>
      <c r="I141" s="1" t="str">
        <f ca="1">IFERROR(__xludf.DUMMYFUNCTION("""COMPUTED_VALUE"""),"Semana de niños y niñas (21-25) Julio, Jóvenes de 13 – 17 años / SEM1/ (28 Julio a 02 de agosto)")</f>
        <v>Semana de niños y niñas (21-25) Julio, Jóvenes de 13 – 17 años / SEM1/ (28 Julio a 02 de agosto)</v>
      </c>
      <c r="J141" s="1" t="str">
        <f ca="1">IFERROR(__xludf.DUMMYFUNCTION("""COMPUTED_VALUE"""),"Hora Silenciosa")</f>
        <v>Hora Silenciosa</v>
      </c>
      <c r="K141" s="1" t="str">
        <f ca="1">IFERROR(__xludf.DUMMYFUNCTION("""COMPUTED_VALUE"""),"Iglesia Vida")</f>
        <v>Iglesia Vida</v>
      </c>
      <c r="L141" s="1" t="str">
        <f ca="1">IFERROR(__xludf.DUMMYFUNCTION("""COMPUTED_VALUE"""),"Neftalí Rubio")</f>
        <v>Neftalí Rubio</v>
      </c>
      <c r="M141" s="1">
        <f ca="1">IFERROR(__xludf.DUMMYFUNCTION("""COMPUTED_VALUE"""),524411036024)</f>
        <v>524411036024</v>
      </c>
      <c r="N141" s="1" t="str">
        <f ca="1">IFERROR(__xludf.DUMMYFUNCTION("""COMPUTED_VALUE"""),"nefaly7@me.com")</f>
        <v>nefaly7@me.com</v>
      </c>
      <c r="O141" s="1" t="str">
        <f ca="1">IFERROR(__xludf.DUMMYFUNCTION("""COMPUTED_VALUE"""),"Actualmente tengo 2 iglesias, una en Guatemala en la cual soy parte de la alabanza, club bíblico, enseñanza en escuela dominical. Y en mi iglesia en Mexico cuando puedo estar por alla, soy parte de la cafetería, bienvenida, y El Tren de Salvacion.")</f>
        <v>Actualmente tengo 2 iglesias, una en Guatemala en la cual soy parte de la alabanza, club bíblico, enseñanza en escuela dominical. Y en mi iglesia en Mexico cuando puedo estar por alla, soy parte de la cafetería, bienvenida, y El Tren de Salvacion.</v>
      </c>
      <c r="P141" s="1" t="str">
        <f ca="1">IFERROR(__xludf.DUMMYFUNCTION("""COMPUTED_VALUE"""),"Crecí en un hogar cristiano, pero no fue hasta la edad de 16 años que realmente fui transformada por el evangelio. A partir de allí comenzó en mi un deseo genuino y ferviente por conocer a Dios y servirle.")</f>
        <v>Crecí en un hogar cristiano, pero no fue hasta la edad de 16 años que realmente fui transformada por el evangelio. A partir de allí comenzó en mi un deseo genuino y ferviente por conocer a Dios y servirle.</v>
      </c>
      <c r="Q141" s="1" t="str">
        <f ca="1">IFERROR(__xludf.DUMMYFUNCTION("""COMPUTED_VALUE"""),"He tenido la experiencia de ser parte, y es un gozo poder invertir mi tiempo en expandir su Reino desde el área que Dios me ha permitido estar. Disfruto servir y caminar con otras personas en el proceso de salvación y discipulado.")</f>
        <v>He tenido la experiencia de ser parte, y es un gozo poder invertir mi tiempo en expandir su Reino desde el área que Dios me ha permitido estar. Disfruto servir y caminar con otras personas en el proceso de salvación y discipulado.</v>
      </c>
      <c r="R141" s="1" t="str">
        <f ca="1">IFERROR(__xludf.DUMMYFUNCTION("""COMPUTED_VALUE"""),"No")</f>
        <v>No</v>
      </c>
      <c r="S141" s="1"/>
      <c r="T141" s="1" t="str">
        <f ca="1">IFERROR(__xludf.DUMMYFUNCTION("""COMPUTED_VALUE"""),"No")</f>
        <v>No</v>
      </c>
      <c r="U141" s="1"/>
      <c r="V141" s="1" t="str">
        <f ca="1">IFERROR(__xludf.DUMMYFUNCTION("""COMPUTED_VALUE"""),"Por el momento nada.")</f>
        <v>Por el momento nada.</v>
      </c>
      <c r="W141" s="1" t="str">
        <f ca="1">IFERROR(__xludf.DUMMYFUNCTION("""COMPUTED_VALUE"""),"Limpieza y orden, deporte, consejería.")</f>
        <v>Limpieza y orden, deporte, consejería.</v>
      </c>
      <c r="X141" s="1" t="str">
        <f ca="1">IFERROR(__xludf.DUMMYFUNCTION("""COMPUTED_VALUE"""),"A. Soy un discipulador activo, B. Me gusta animar a las personas, D. Me gustan los deportes, E. Me gusta el trabajo con niños, G. Soy más eficiente en el trabajo individual, H. Soy organizado (a), J. Me gusta la atención a las personas, O. Puedo enseñar c"&amp;"on facilidad")</f>
        <v>A. Soy un discipulador activo, B. Me gusta animar a las personas, D. Me gustan los deportes, E. Me gusta el trabajo con niños, G. Soy más eficiente en el trabajo individual, H. Soy organizado (a), J. Me gusta la atención a las personas, O. Puedo enseñar con facilidad</v>
      </c>
      <c r="Y141" s="1" t="str">
        <f ca="1">IFERROR(__xludf.DUMMYFUNCTION("""COMPUTED_VALUE"""),"Si, 2022 y 2023")</f>
        <v>Si, 2022 y 2023</v>
      </c>
      <c r="Z141" s="1"/>
    </row>
    <row r="142" spans="1:26" x14ac:dyDescent="0.35">
      <c r="A142" s="2">
        <f ca="1">IFERROR(__xludf.DUMMYFUNCTION("""COMPUTED_VALUE"""),45833.9200810185)</f>
        <v>45833.920081018499</v>
      </c>
      <c r="B142" s="1"/>
      <c r="C142" s="1" t="str">
        <f ca="1">IFERROR(__xludf.DUMMYFUNCTION("""COMPUTED_VALUE"""),"Genesis Jemima, Bolaños Martinez")</f>
        <v>Genesis Jemima, Bolaños Martinez</v>
      </c>
      <c r="D142" s="1">
        <f ca="1">IFERROR(__xludf.DUMMYFUNCTION("""COMPUTED_VALUE"""),18)</f>
        <v>18</v>
      </c>
      <c r="E142" s="1" t="str">
        <f ca="1">IFERROR(__xludf.DUMMYFUNCTION("""COMPUTED_VALUE"""),"Mujer")</f>
        <v>Mujer</v>
      </c>
      <c r="F142" s="1" t="str">
        <f ca="1">IFERROR(__xludf.DUMMYFUNCTION("""COMPUTED_VALUE"""),"Mexico, Mexico")</f>
        <v>Mexico, Mexico</v>
      </c>
      <c r="G142" s="1" t="str">
        <f ca="1">IFERROR(__xludf.DUMMYFUNCTION("""COMPUTED_VALUE"""),"genesis.bomar@gmail.com")</f>
        <v>genesis.bomar@gmail.com</v>
      </c>
      <c r="H142" s="1">
        <f ca="1">IFERROR(__xludf.DUMMYFUNCTION("""COMPUTED_VALUE"""),525570110978)</f>
        <v>525570110978</v>
      </c>
      <c r="I142" s="1" t="str">
        <f ca="1">IFERROR(__xludf.DUMMYFUNCTION("""COMPUTED_VALUE"""),"Comunidad Jóvenes + 18 (14-19) Julio, Semana de niños y niñas (21-25) Julio, Jóvenes de 13 – 17 años / SEM1/ (28 Julio a 02 de agosto), Jóvenes de 13 – 17 años / SEM2/ (4 - 09 agosto), Jóvenes de 13 – 17 años / SEM3/ (11 - 16 agosto)")</f>
        <v>Comunidad Jóvenes + 18 (14-19) Julio, Semana de niños y niñas (21-25) Julio, Jóvenes de 13 – 17 años / SEM1/ (28 Julio a 02 de agosto), Jóvenes de 13 – 17 años / SEM2/ (4 - 09 agosto), Jóvenes de 13 – 17 años / SEM3/ (11 - 16 agosto)</v>
      </c>
      <c r="J142" s="1" t="str">
        <f ca="1">IFERROR(__xludf.DUMMYFUNCTION("""COMPUTED_VALUE"""),"Un año de cambios")</f>
        <v>Un año de cambios</v>
      </c>
      <c r="K142" s="1" t="str">
        <f ca="1">IFERROR(__xludf.DUMMYFUNCTION("""COMPUTED_VALUE"""),"Centro de Fe, Esperanza y Amor ""Ecatepec""")</f>
        <v>Centro de Fe, Esperanza y Amor "Ecatepec"</v>
      </c>
      <c r="L142" s="1" t="str">
        <f ca="1">IFERROR(__xludf.DUMMYFUNCTION("""COMPUTED_VALUE"""),"Martin del Rey")</f>
        <v>Martin del Rey</v>
      </c>
      <c r="M142" s="1">
        <f ca="1">IFERROR(__xludf.DUMMYFUNCTION("""COMPUTED_VALUE"""),525557875166)</f>
        <v>525557875166</v>
      </c>
      <c r="N142" s="1" t="str">
        <f ca="1">IFERROR(__xludf.DUMMYFUNCTION("""COMPUTED_VALUE"""),"cfeaecatepec@gmail.com")</f>
        <v>cfeaecatepec@gmail.com</v>
      </c>
      <c r="O142" s="1" t="str">
        <f ca="1">IFERROR(__xludf.DUMMYFUNCTION("""COMPUTED_VALUE"""),"Por el momento ninguno")</f>
        <v>Por el momento ninguno</v>
      </c>
      <c r="P142" s="1" t="str">
        <f ca="1">IFERROR(__xludf.DUMMYFUNCTION("""COMPUTED_VALUE"""),"Hace tres años me juntaba con un grupo de amigas que al principio creí que eran buenas. Con el tiempo, empezaron a invitarme a antros, fiestas y a tomar alcohol. Aunque yo nunca había fumado ni tomado, por miedo a quedarme sola terminé haciéndolo, aunque "&amp;"en el fondo sabía que eso no era para mí.
Un domingo en la iglesia, el mensaje fue sobre las amistades. Al final, oramos, y yo le pedí a Dios que quitara de mi vida cualquier carga y personas que no me ayudaran a acercarme a Él. Dos días después, esas am"&amp;"igas dejaron de hablarme. Me dolió mucho, pero con el tiempo entendí que esa fue la respuesta a mi oración.
Hoy sé que Dios me apartó de lo que me alejaba de Él. Aunque me sentí sola, nunca estuve sola. Él estuvo conmigo, me levantó y me dio nuevas amist"&amp;"ades y un propósito más claro. Aprendí que, aunque duela, cuando Dios responde, siempre lo hace para nuestro bien.")</f>
        <v>Hace tres años me juntaba con un grupo de amigas que al principio creí que eran buenas. Con el tiempo, empezaron a invitarme a antros, fiestas y a tomar alcohol. Aunque yo nunca había fumado ni tomado, por miedo a quedarme sola terminé haciéndolo, aunque en el fondo sabía que eso no era para mí.
Un domingo en la iglesia, el mensaje fue sobre las amistades. Al final, oramos, y yo le pedí a Dios que quitara de mi vida cualquier carga y personas que no me ayudaran a acercarme a Él. Dos días después, esas amigas dejaron de hablarme. Me dolió mucho, pero con el tiempo entendí que esa fue la respuesta a mi oración.
Hoy sé que Dios me apartó de lo que me alejaba de Él. Aunque me sentí sola, nunca estuve sola. Él estuvo conmigo, me levantó y me dio nuevas amistades y un propósito más claro. Aprendí que, aunque duela, cuando Dios responde, siempre lo hace para nuestro bien.</v>
      </c>
      <c r="Q142" s="1" t="str">
        <f ca="1">IFERROR(__xludf.DUMMYFUNCTION("""COMPUTED_VALUE"""),"Porque cuando fui por primera vez, yo ni siquiera quería ir. Pero Dios usó esa experiencia para cambiar mi vida. Tuve una consejera increíble que me marcó profundamente, y desde ese momento supe que yo también quería ser una consejera algún día. El campam"&amp;"ento fue, y sigue siendo, una de las mejores semanas de mi vida.
Volví a casa con un anhelo fuerte de servir a Dios, y hasta consideré ir al instituto bíblico. Para mí, servir  sea mucho o poco, ya es un privilegio. Quiero ser parte de lo que Dios hace e"&amp;"n la vida de otros jóvenes, así como alguien lo fue para mí. Quiero estar ahí, no solo para ayudar, sino para sembrar algo en sus corazones que solo Dios puede hacer crecer.")</f>
        <v>Porque cuando fui por primera vez, yo ni siquiera quería ir. Pero Dios usó esa experiencia para cambiar mi vida. Tuve una consejera increíble que me marcó profundamente, y desde ese momento supe que yo también quería ser una consejera algún día. El campamento fue, y sigue siendo, una de las mejores semanas de mi vida.
Volví a casa con un anhelo fuerte de servir a Dios, y hasta consideré ir al instituto bíblico. Para mí, servir  sea mucho o poco, ya es un privilegio. Quiero ser parte de lo que Dios hace en la vida de otros jóvenes, así como alguien lo fue para mí. Quiero estar ahí, no solo para ayudar, sino para sembrar algo en sus corazones que solo Dios puede hacer crecer.</v>
      </c>
      <c r="R142" s="1" t="str">
        <f ca="1">IFERROR(__xludf.DUMMYFUNCTION("""COMPUTED_VALUE"""),"Si")</f>
        <v>Si</v>
      </c>
      <c r="S142" s="1" t="str">
        <f ca="1">IFERROR(__xludf.DUMMYFUNCTION("""COMPUTED_VALUE"""),"Karate, Futbol y volleyball de sala")</f>
        <v>Karate, Futbol y volleyball de sala</v>
      </c>
      <c r="T142" s="1" t="str">
        <f ca="1">IFERROR(__xludf.DUMMYFUNCTION("""COMPUTED_VALUE"""),"No")</f>
        <v>No</v>
      </c>
      <c r="U142" s="1"/>
      <c r="V142" s="1" t="str">
        <f ca="1">IFERROR(__xludf.DUMMYFUNCTION("""COMPUTED_VALUE"""),"Licenciatura en educación primaria")</f>
        <v>Licenciatura en educación primaria</v>
      </c>
      <c r="W142" s="1" t="str">
        <f ca="1">IFERROR(__xludf.DUMMYFUNCTION("""COMPUTED_VALUE"""),"Soy instructora de karate con experiencia trabajando con niños y adolescentes. Me encanta el deporte, la enseñanza y el servicio. Soy una persona organizada, creativa, servicial y con habilidades de liderazgo")</f>
        <v>Soy instructora de karate con experiencia trabajando con niños y adolescentes. Me encanta el deporte, la enseñanza y el servicio. Soy una persona organizada, creativa, servicial y con habilidades de liderazgo</v>
      </c>
      <c r="X142" s="1" t="str">
        <f ca="1">IFERROR(__xludf.DUMMYFUNCTION("""COMPUTED_VALUE"""),"B. Me gusta animar a las personas, C. Suelo buscar que el trabajo se realice en equipo, D. Me gustan los deportes, E. Me gusta el trabajo con niños, H. Soy organizado (a), I. Se me facilita el trabajo físico, J. Me gusta la atención a las personas, K. Soy"&amp;" creativo (a), N. Suelo llevar el liderazgo en un grupo, O. Puedo enseñar con facilidad")</f>
        <v>B. Me gusta animar a las personas, C. Suelo buscar que el trabajo se realice en equipo, D. Me gustan los deportes, E. Me gusta el trabajo con niños, H. Soy organizado (a), I. Se me facilita el trabajo físico, J. Me gusta la atención a las personas, K. Soy creativo (a), N. Suelo llevar el liderazgo en un grupo, O. Puedo enseñar con facilidad</v>
      </c>
      <c r="Y142" s="1" t="str">
        <f ca="1">IFERROR(__xludf.DUMMYFUNCTION("""COMPUTED_VALUE"""),"Sip 2019,2020, 2022, 2024")</f>
        <v>Sip 2019,2020, 2022, 2024</v>
      </c>
      <c r="Z142" s="1"/>
    </row>
    <row r="143" spans="1:26" x14ac:dyDescent="0.35">
      <c r="A143" s="2">
        <f ca="1">IFERROR(__xludf.DUMMYFUNCTION("""COMPUTED_VALUE"""),45833.9916435185)</f>
        <v>45833.9916435185</v>
      </c>
      <c r="B143" s="1"/>
      <c r="C143" s="1" t="str">
        <f ca="1">IFERROR(__xludf.DUMMYFUNCTION("""COMPUTED_VALUE"""),"Heriberto Iván, Maldonado Nazario")</f>
        <v>Heriberto Iván, Maldonado Nazario</v>
      </c>
      <c r="D143" s="1">
        <f ca="1">IFERROR(__xludf.DUMMYFUNCTION("""COMPUTED_VALUE"""),25)</f>
        <v>25</v>
      </c>
      <c r="E143" s="1" t="str">
        <f ca="1">IFERROR(__xludf.DUMMYFUNCTION("""COMPUTED_VALUE"""),"Hombre")</f>
        <v>Hombre</v>
      </c>
      <c r="F143" s="1" t="str">
        <f ca="1">IFERROR(__xludf.DUMMYFUNCTION("""COMPUTED_VALUE"""),"Mexico City, Mexico")</f>
        <v>Mexico City, Mexico</v>
      </c>
      <c r="G143" s="1" t="str">
        <f ca="1">IFERROR(__xludf.DUMMYFUNCTION("""COMPUTED_VALUE"""),"maldonadoheriberto58@gmail.com")</f>
        <v>maldonadoheriberto58@gmail.com</v>
      </c>
      <c r="H143" s="1">
        <f ca="1">IFERROR(__xludf.DUMMYFUNCTION("""COMPUTED_VALUE"""),525535659123)</f>
        <v>525535659123</v>
      </c>
      <c r="I143" s="1" t="str">
        <f ca="1">IFERROR(__xludf.DUMMYFUNCTION("""COMPUTED_VALUE"""),"Comunidad Jóvenes + 18 (14-19) Julio")</f>
        <v>Comunidad Jóvenes + 18 (14-19) Julio</v>
      </c>
      <c r="J143" s="1" t="str">
        <f ca="1">IFERROR(__xludf.DUMMYFUNCTION("""COMPUTED_VALUE"""),"Cómo orar C.S. Lewis")</f>
        <v>Cómo orar C.S. Lewis</v>
      </c>
      <c r="K143" s="1" t="str">
        <f ca="1">IFERROR(__xludf.DUMMYFUNCTION("""COMPUTED_VALUE"""),"Iglesia cristiana 24 siete")</f>
        <v>Iglesia cristiana 24 siete</v>
      </c>
      <c r="L143" s="1" t="str">
        <f ca="1">IFERROR(__xludf.DUMMYFUNCTION("""COMPUTED_VALUE"""),"Pastor Josué Álvarez")</f>
        <v>Pastor Josué Álvarez</v>
      </c>
      <c r="M143" s="1">
        <f ca="1">IFERROR(__xludf.DUMMYFUNCTION("""COMPUTED_VALUE"""),525543555907)</f>
        <v>525543555907</v>
      </c>
      <c r="N143" s="1" t="str">
        <f ca="1">IFERROR(__xludf.DUMMYFUNCTION("""COMPUTED_VALUE"""),"maldonadoheriberto58@gmail.com")</f>
        <v>maldonadoheriberto58@gmail.com</v>
      </c>
      <c r="O143" s="1" t="str">
        <f ca="1">IFERROR(__xludf.DUMMYFUNCTION("""COMPUTED_VALUE"""),"Grupo de jóvenes y alabanza")</f>
        <v>Grupo de jóvenes y alabanza</v>
      </c>
      <c r="P143" s="1" t="str">
        <f ca="1">IFERROR(__xludf.DUMMYFUNCTION("""COMPUTED_VALUE"""),"El Señor trabajó conmigo muchos años pero cuando realmente tuve un encuentro con él fue en el campamento de Bernal del 2018 en una fogata, fue la primera vez que fui como campero y posteriormente como equipante, fue ahí donde el Señor me salvó y llamó a s"&amp;"u obra")</f>
        <v>El Señor trabajó conmigo muchos años pero cuando realmente tuve un encuentro con él fue en el campamento de Bernal del 2018 en una fogata, fue la primera vez que fui como campero y posteriormente como equipante, fue ahí donde el Señor me salvó y llamó a su obra</v>
      </c>
      <c r="Q143" s="1" t="str">
        <f ca="1">IFERROR(__xludf.DUMMYFUNCTION("""COMPUTED_VALUE"""),"Cada año El Señor y ustedes me han permitido servir, es una forma en la cual es gratitud que ahí encontré a Cristo, y me gusta poder servirle al Señor y a mis amigos y personas nuevas que conozca")</f>
        <v>Cada año El Señor y ustedes me han permitido servir, es una forma en la cual es gratitud que ahí encontré a Cristo, y me gusta poder servirle al Señor y a mis amigos y personas nuevas que conozca</v>
      </c>
      <c r="R143" s="1" t="str">
        <f ca="1">IFERROR(__xludf.DUMMYFUNCTION("""COMPUTED_VALUE"""),"Si")</f>
        <v>Si</v>
      </c>
      <c r="S143" s="1" t="str">
        <f ca="1">IFERROR(__xludf.DUMMYFUNCTION("""COMPUTED_VALUE"""),"Fútbol Americano")</f>
        <v>Fútbol Americano</v>
      </c>
      <c r="T143" s="1" t="str">
        <f ca="1">IFERROR(__xludf.DUMMYFUNCTION("""COMPUTED_VALUE"""),"Si")</f>
        <v>Si</v>
      </c>
      <c r="U143" s="1" t="str">
        <f ca="1">IFERROR(__xludf.DUMMYFUNCTION("""COMPUTED_VALUE"""),"Batería")</f>
        <v>Batería</v>
      </c>
      <c r="V143" s="1" t="str">
        <f ca="1">IFERROR(__xludf.DUMMYFUNCTION("""COMPUTED_VALUE"""),"Teología en el instituto paulino")</f>
        <v>Teología en el instituto paulino</v>
      </c>
      <c r="W143" s="1" t="str">
        <f ca="1">IFERROR(__xludf.DUMMYFUNCTION("""COMPUTED_VALUE"""),"Me dedico de manera industrial a la soldadura por lo cual sé soldar")</f>
        <v>Me dedico de manera industrial a la soldadura por lo cual sé soldar</v>
      </c>
      <c r="X143" s="1" t="str">
        <f ca="1">IFERROR(__xludf.DUMMYFUNCTION("""COMPUTED_VALUE"""),"A. Soy un discipulador activo, B. Me gusta animar a las personas, I. Se me facilita el trabajo físico, J. Me gusta la atención a las personas, L. Soy bueno (a) en canto o algún instrumento, N. Suelo llevar el liderazgo en un grupo, O. Puedo enseñar con fa"&amp;"cilidad")</f>
        <v>A. Soy un discipulador activo, B. Me gusta animar a las personas, I. Se me facilita el trabajo físico, J. Me gusta la atención a las personas, L. Soy bueno (a) en canto o algún instrumento, N. Suelo llevar el liderazgo en un grupo, O. Puedo enseñar con facilidad</v>
      </c>
      <c r="Y143" s="1" t="str">
        <f ca="1">IFERROR(__xludf.DUMMYFUNCTION("""COMPUTED_VALUE"""),"Sí, he sido campero en el 2018")</f>
        <v>Sí, he sido campero en el 2018</v>
      </c>
      <c r="Z143" s="1"/>
    </row>
    <row r="144" spans="1:26" x14ac:dyDescent="0.35">
      <c r="A144" s="2">
        <f ca="1">IFERROR(__xludf.DUMMYFUNCTION("""COMPUTED_VALUE"""),45834.6861458333)</f>
        <v>45834.686145833301</v>
      </c>
      <c r="B144" s="1"/>
      <c r="C144" s="1" t="str">
        <f ca="1">IFERROR(__xludf.DUMMYFUNCTION("""COMPUTED_VALUE"""),"Keila, Velasco")</f>
        <v>Keila, Velasco</v>
      </c>
      <c r="D144" s="1">
        <f ca="1">IFERROR(__xludf.DUMMYFUNCTION("""COMPUTED_VALUE"""),30)</f>
        <v>30</v>
      </c>
      <c r="E144" s="1" t="str">
        <f ca="1">IFERROR(__xludf.DUMMYFUNCTION("""COMPUTED_VALUE"""),"Mujer")</f>
        <v>Mujer</v>
      </c>
      <c r="F144" s="1" t="str">
        <f ca="1">IFERROR(__xludf.DUMMYFUNCTION("""COMPUTED_VALUE"""),"Queretaro, Mexico")</f>
        <v>Queretaro, Mexico</v>
      </c>
      <c r="G144" s="1" t="str">
        <f ca="1">IFERROR(__xludf.DUMMYFUNCTION("""COMPUTED_VALUE"""),"keilavelasco.03g@gmail.com")</f>
        <v>keilavelasco.03g@gmail.com</v>
      </c>
      <c r="H144" s="1" t="str">
        <f ca="1">IFERROR(__xludf.DUMMYFUNCTION("""COMPUTED_VALUE"""),"#ERROR!")</f>
        <v>#ERROR!</v>
      </c>
      <c r="I144" s="1" t="str">
        <f ca="1">IFERROR(__xludf.DUMMYFUNCTION("""COMPUTED_VALUE"""),"Comunidad Jóvenes + 18 (14-19) Julio, Semana de niños y niñas (21-25) Julio")</f>
        <v>Comunidad Jóvenes + 18 (14-19) Julio, Semana de niños y niñas (21-25) Julio</v>
      </c>
      <c r="J144" s="1" t="str">
        <f ca="1">IFERROR(__xludf.DUMMYFUNCTION("""COMPUTED_VALUE"""),"Devocional personal")</f>
        <v>Devocional personal</v>
      </c>
      <c r="K144" s="1" t="str">
        <f ca="1">IFERROR(__xludf.DUMMYFUNCTION("""COMPUTED_VALUE"""),"City Church")</f>
        <v>City Church</v>
      </c>
      <c r="L144" s="1" t="str">
        <f ca="1">IFERROR(__xludf.DUMMYFUNCTION("""COMPUTED_VALUE"""),"Joel Salazar")</f>
        <v>Joel Salazar</v>
      </c>
      <c r="M144" s="1">
        <f ca="1">IFERROR(__xludf.DUMMYFUNCTION("""COMPUTED_VALUE"""),52524411299086)</f>
        <v>52524411299086</v>
      </c>
      <c r="N144" s="1" t="str">
        <f ca="1">IFERROR(__xludf.DUMMYFUNCTION("""COMPUTED_VALUE"""),"keilavelasco.03g@gmail.com")</f>
        <v>keilavelasco.03g@gmail.com</v>
      </c>
      <c r="O144" s="1" t="str">
        <f ca="1">IFERROR(__xludf.DUMMYFUNCTION("""COMPUTED_VALUE"""),"Ministerio de enseñanza")</f>
        <v>Ministerio de enseñanza</v>
      </c>
      <c r="P144" s="1" t="str">
        <f ca="1">IFERROR(__xludf.DUMMYFUNCTION("""COMPUTED_VALUE"""),"Nací en un hogar cristiano, sin embargo mi encuentro personal con Dios fue a los 17 años, cuando estaba por entrar a la universidad y en donde mi identidad en Cristo tenía que ser real, fue un momento con muchas luchas, pero comprendí el amor de Dios por "&amp;"mi y la venda de religiosidad fue quitada. Posteriormente mi relación con Dios cambio, fue genuina y hubo un cambio en mi. 
A los 24 años estudie en el instituto bíblico y ahora estoy sirviendo como misionera en Querétaro.")</f>
        <v>Nací en un hogar cristiano, sin embargo mi encuentro personal con Dios fue a los 17 años, cuando estaba por entrar a la universidad y en donde mi identidad en Cristo tenía que ser real, fue un momento con muchas luchas, pero comprendí el amor de Dios por mi y la venda de religiosidad fue quitada. Posteriormente mi relación con Dios cambio, fue genuina y hubo un cambio en mi. 
A los 24 años estudie en el instituto bíblico y ahora estoy sirviendo como misionera en Querétaro.</v>
      </c>
      <c r="Q144" s="1" t="str">
        <f ca="1">IFERROR(__xludf.DUMMYFUNCTION("""COMPUTED_VALUE"""),"Me gustaría seguir sirviendo a Dios y poder conocerle cada día más, siento que el campamento es una gran oportunidad")</f>
        <v>Me gustaría seguir sirviendo a Dios y poder conocerle cada día más, siento que el campamento es una gran oportunidad</v>
      </c>
      <c r="R144" s="1" t="str">
        <f ca="1">IFERROR(__xludf.DUMMYFUNCTION("""COMPUTED_VALUE"""),"No")</f>
        <v>No</v>
      </c>
      <c r="S144" s="1"/>
      <c r="T144" s="1" t="str">
        <f ca="1">IFERROR(__xludf.DUMMYFUNCTION("""COMPUTED_VALUE"""),"No")</f>
        <v>No</v>
      </c>
      <c r="U144" s="1"/>
      <c r="V144" s="1" t="str">
        <f ca="1">IFERROR(__xludf.DUMMYFUNCTION("""COMPUTED_VALUE"""),"Estudie en el instituto bíblico y también una licenciatura en desarrollo sustentable")</f>
        <v>Estudie en el instituto bíblico y también una licenciatura en desarrollo sustentable</v>
      </c>
      <c r="W144" s="1" t="str">
        <f ca="1">IFERROR(__xludf.DUMMYFUNCTION("""COMPUTED_VALUE"""),"Licenciatura en desarrollo sustentable y en teología")</f>
        <v>Licenciatura en desarrollo sustentable y en teología</v>
      </c>
      <c r="X144" s="1" t="str">
        <f ca="1">IFERROR(__xludf.DUMMYFUNCTION("""COMPUTED_VALUE"""),"A. Soy un discipulador activo, B. Me gusta animar a las personas, C. Suelo buscar que el trabajo se realice en equipo, E. Me gusta el trabajo con niños, H. Soy organizado (a), J. Me gusta la atención a las personas, N. Suelo llevar el liderazgo en un grup"&amp;"o")</f>
        <v>A. Soy un discipulador activo, B. Me gusta animar a las personas, C. Suelo buscar que el trabajo se realice en equipo, E. Me gusta el trabajo con niños, H. Soy organizado (a), J. Me gusta la atención a las personas, N. Suelo llevar el liderazgo en un grupo</v>
      </c>
      <c r="Y144" s="1" t="str">
        <f ca="1">IFERROR(__xludf.DUMMYFUNCTION("""COMPUTED_VALUE"""),"No")</f>
        <v>No</v>
      </c>
      <c r="Z144" s="1"/>
    </row>
    <row r="145" spans="1:26" x14ac:dyDescent="0.35">
      <c r="A145" s="2">
        <f ca="1">IFERROR(__xludf.DUMMYFUNCTION("""COMPUTED_VALUE"""),45835.8091550925)</f>
        <v>45835.809155092502</v>
      </c>
      <c r="B145" s="1"/>
      <c r="C145" s="1" t="str">
        <f ca="1">IFERROR(__xludf.DUMMYFUNCTION("""COMPUTED_VALUE"""),"Renata, Aquino Molina")</f>
        <v>Renata, Aquino Molina</v>
      </c>
      <c r="D145" s="1">
        <f ca="1">IFERROR(__xludf.DUMMYFUNCTION("""COMPUTED_VALUE"""),18)</f>
        <v>18</v>
      </c>
      <c r="E145" s="1" t="str">
        <f ca="1">IFERROR(__xludf.DUMMYFUNCTION("""COMPUTED_VALUE"""),"Mujer")</f>
        <v>Mujer</v>
      </c>
      <c r="F145" s="1" t="str">
        <f ca="1">IFERROR(__xludf.DUMMYFUNCTION("""COMPUTED_VALUE"""),"Oaxaca, Mexico")</f>
        <v>Oaxaca, Mexico</v>
      </c>
      <c r="G145" s="1" t="str">
        <f ca="1">IFERROR(__xludf.DUMMYFUNCTION("""COMPUTED_VALUE"""),"aquinomolinarenata@gmail.com")</f>
        <v>aquinomolinarenata@gmail.com</v>
      </c>
      <c r="H145" s="1">
        <f ca="1">IFERROR(__xludf.DUMMYFUNCTION("""COMPUTED_VALUE"""),529511579052)</f>
        <v>529511579052</v>
      </c>
      <c r="I145" s="1" t="str">
        <f ca="1">IFERROR(__xludf.DUMMYFUNCTION("""COMPUTED_VALUE"""),"Semana de niños y niñas (21-25) Julio, Jóvenes de 13 – 17 años / SEM1/ (28 Julio a 02 de agosto)")</f>
        <v>Semana de niños y niñas (21-25) Julio, Jóvenes de 13 – 17 años / SEM1/ (28 Julio a 02 de agosto)</v>
      </c>
      <c r="J145" s="1" t="str">
        <f ca="1">IFERROR(__xludf.DUMMYFUNCTION("""COMPUTED_VALUE"""),"Ninguno")</f>
        <v>Ninguno</v>
      </c>
      <c r="K145" s="1" t="str">
        <f ca="1">IFERROR(__xludf.DUMMYFUNCTION("""COMPUTED_VALUE"""),"Campamento de Dios")</f>
        <v>Campamento de Dios</v>
      </c>
      <c r="L145" s="1" t="str">
        <f ca="1">IFERROR(__xludf.DUMMYFUNCTION("""COMPUTED_VALUE"""),"Jorge Carranza")</f>
        <v>Jorge Carranza</v>
      </c>
      <c r="M145" s="1">
        <f ca="1">IFERROR(__xludf.DUMMYFUNCTION("""COMPUTED_VALUE"""),527555572728)</f>
        <v>527555572728</v>
      </c>
      <c r="N145" s="1" t="str">
        <f ca="1">IFERROR(__xludf.DUMMYFUNCTION("""COMPUTED_VALUE"""),"Pastorjorgecarranza@hotmail.com")</f>
        <v>Pastorjorgecarranza@hotmail.com</v>
      </c>
      <c r="O145" s="1" t="str">
        <f ca="1">IFERROR(__xludf.DUMMYFUNCTION("""COMPUTED_VALUE"""),"Ayudo en medios")</f>
        <v>Ayudo en medios</v>
      </c>
      <c r="P145" s="1" t="str">
        <f ca="1">IFERROR(__xludf.DUMMYFUNCTION("""COMPUTED_VALUE"""),"Tras una escuelita biblica de vacaciones recibí a Cristo de camino a mi casa, hice una oración en mi auto.")</f>
        <v>Tras una escuelita biblica de vacaciones recibí a Cristo de camino a mi casa, hice una oración en mi auto.</v>
      </c>
      <c r="Q145" s="1" t="str">
        <f ca="1">IFERROR(__xludf.DUMMYFUNCTION("""COMPUTED_VALUE"""),"Para ayudar")</f>
        <v>Para ayudar</v>
      </c>
      <c r="R145" s="1" t="str">
        <f ca="1">IFERROR(__xludf.DUMMYFUNCTION("""COMPUTED_VALUE"""),"No")</f>
        <v>No</v>
      </c>
      <c r="S145" s="1"/>
      <c r="T145" s="1" t="str">
        <f ca="1">IFERROR(__xludf.DUMMYFUNCTION("""COMPUTED_VALUE"""),"No")</f>
        <v>No</v>
      </c>
      <c r="U145" s="1"/>
      <c r="V145" s="1" t="str">
        <f ca="1">IFERROR(__xludf.DUMMYFUNCTION("""COMPUTED_VALUE"""),"Acabo de terminar la preparatoria")</f>
        <v>Acabo de terminar la preparatoria</v>
      </c>
      <c r="W145" s="1" t="str">
        <f ca="1">IFERROR(__xludf.DUMMYFUNCTION("""COMPUTED_VALUE"""),"Canto")</f>
        <v>Canto</v>
      </c>
      <c r="X145" s="1" t="str">
        <f ca="1">IFERROR(__xludf.DUMMYFUNCTION("""COMPUTED_VALUE"""),"L. Soy bueno (a) en canto o algún instrumento")</f>
        <v>L. Soy bueno (a) en canto o algún instrumento</v>
      </c>
      <c r="Y145" s="1" t="str">
        <f ca="1">IFERROR(__xludf.DUMMYFUNCTION("""COMPUTED_VALUE"""),"Si, el año pasado")</f>
        <v>Si, el año pasado</v>
      </c>
      <c r="Z145" s="1"/>
    </row>
    <row r="146" spans="1:26" x14ac:dyDescent="0.35">
      <c r="A146" s="2">
        <f ca="1">IFERROR(__xludf.DUMMYFUNCTION("""COMPUTED_VALUE"""),45836.3092129629)</f>
        <v>45836.3092129629</v>
      </c>
      <c r="B146" s="1"/>
      <c r="C146" s="1" t="str">
        <f ca="1">IFERROR(__xludf.DUMMYFUNCTION("""COMPUTED_VALUE"""),"Keren Raquel, Pineda Flores")</f>
        <v>Keren Raquel, Pineda Flores</v>
      </c>
      <c r="D146" s="1">
        <f ca="1">IFERROR(__xludf.DUMMYFUNCTION("""COMPUTED_VALUE"""),18)</f>
        <v>18</v>
      </c>
      <c r="E146" s="1" t="str">
        <f ca="1">IFERROR(__xludf.DUMMYFUNCTION("""COMPUTED_VALUE"""),"Mujer")</f>
        <v>Mujer</v>
      </c>
      <c r="F146" s="1" t="str">
        <f ca="1">IFERROR(__xludf.DUMMYFUNCTION("""COMPUTED_VALUE"""),"Mexico City, Mexico")</f>
        <v>Mexico City, Mexico</v>
      </c>
      <c r="G146" s="1" t="str">
        <f ca="1">IFERROR(__xludf.DUMMYFUNCTION("""COMPUTED_VALUE"""),"kerenflores7906@gmail.com")</f>
        <v>kerenflores7906@gmail.com</v>
      </c>
      <c r="H146" s="1">
        <f ca="1">IFERROR(__xludf.DUMMYFUNCTION("""COMPUTED_VALUE"""),525576866581)</f>
        <v>525576866581</v>
      </c>
      <c r="I146" s="1" t="str">
        <f ca="1">IFERROR(__xludf.DUMMYFUNCTION("""COMPUTED_VALUE"""),"Semana de entrenamiento (07 - 13) Julio, Comunidad Jóvenes + 18 (14-19) Julio, Semana de niños y niñas (21-25) Julio")</f>
        <v>Semana de entrenamiento (07 - 13) Julio, Comunidad Jóvenes + 18 (14-19) Julio, Semana de niños y niñas (21-25) Julio</v>
      </c>
      <c r="J146" s="1" t="str">
        <f ca="1">IFERROR(__xludf.DUMMYFUNCTION("""COMPUTED_VALUE"""),"hora silenciosa")</f>
        <v>hora silenciosa</v>
      </c>
      <c r="K146" s="1" t="str">
        <f ca="1">IFERROR(__xludf.DUMMYFUNCTION("""COMPUTED_VALUE"""),"Iglesia Cristiana Bautista de San Juan Ixtayopan")</f>
        <v>Iglesia Cristiana Bautista de San Juan Ixtayopan</v>
      </c>
      <c r="L146" s="1" t="str">
        <f ca="1">IFERROR(__xludf.DUMMYFUNCTION("""COMPUTED_VALUE"""),"Pedro Ramirez Perez")</f>
        <v>Pedro Ramirez Perez</v>
      </c>
      <c r="M146" s="1">
        <f ca="1">IFERROR(__xludf.DUMMYFUNCTION("""COMPUTED_VALUE"""),525535075750)</f>
        <v>525535075750</v>
      </c>
      <c r="N146" s="1" t="str">
        <f ca="1">IFERROR(__xludf.DUMMYFUNCTION("""COMPUTED_VALUE"""),"Pedroclasic@gmail.com")</f>
        <v>Pedroclasic@gmail.com</v>
      </c>
      <c r="O146" s="1" t="str">
        <f ca="1">IFERROR(__xludf.DUMMYFUNCTION("""COMPUTED_VALUE"""),"Maestra de escuela dominical de niños de 2 años a 6")</f>
        <v>Maestra de escuela dominical de niños de 2 años a 6</v>
      </c>
      <c r="P146" s="1" t="str">
        <f ca="1">IFERROR(__xludf.DUMMYFUNCTION("""COMPUTED_VALUE"""),"Yo he sido una chica que desde bebe fue a la iglesia,desde chica he escuchado las historias de la biblia e incluso el evangelio, pero realmente yo no creia, aunque con mis papas siempre teniamos nuestro nevocional,pues solo lo hacia por obligacion, en 201"&amp;"9 mis papas se divorciaron y llego un punto en el que mi hermano se queria ir con mi papa y eso hizo que mi papa no me dejara ver a mi hermano, ni a él y me dijo que mientras yo no tomara la decision de vivir con él, no me hablaria ni veria por mi,para mi"&amp;" fue muy doloroso,me sentia triste todo el tiempo y lo que mi papa cada vez me decia era mas doloroso, llego un punto en donde ya no queria sentirme asi y fue que vi una hora silencia y recorde lo que mi lider decia sobre el tiempo con el Señor y por mi c"&amp;"abeza paso no se si sea cierto esto o si realmente cambie algo en mí o en mi vida pero voy intentar, entonces recuerdo haber hecho mi HS y justo hablaba del amor de Dios, recuerdo que al leer que habia alguien que me amaba tal y como soy y sin ninguna con"&amp;"dición, ese espacio que se sentia vacio se lleno, ore al Señor expresando todo lo que sentia y le pedi a mi lider que orara por mí que realmente queria saber de Dios y que queria tenerlo en mi vida y fue asi como acepte a Cristo en mi corazón así hasta el"&amp;" día de hoy he podido aprender a vivir conforme Dios nos mandó y a permanecer en él.")</f>
        <v>Yo he sido una chica que desde bebe fue a la iglesia,desde chica he escuchado las historias de la biblia e incluso el evangelio, pero realmente yo no creia, aunque con mis papas siempre teniamos nuestro nevocional,pues solo lo hacia por obligacion, en 2019 mis papas se divorciaron y llego un punto en el que mi hermano se queria ir con mi papa y eso hizo que mi papa no me dejara ver a mi hermano, ni a él y me dijo que mientras yo no tomara la decision de vivir con él, no me hablaria ni veria por mi,para mi fue muy doloroso,me sentia triste todo el tiempo y lo que mi papa cada vez me decia era mas doloroso, llego un punto en donde ya no queria sentirme asi y fue que vi una hora silencia y recorde lo que mi lider decia sobre el tiempo con el Señor y por mi cabeza paso no se si sea cierto esto o si realmente cambie algo en mí o en mi vida pero voy intentar, entonces recuerdo haber hecho mi HS y justo hablaba del amor de Dios, recuerdo que al leer que habia alguien que me amaba tal y como soy y sin ninguna condición, ese espacio que se sentia vacio se lleno, ore al Señor expresando todo lo que sentia y le pedi a mi lider que orara por mí que realmente queria saber de Dios y que queria tenerlo en mi vida y fue asi como acepte a Cristo en mi corazón así hasta el día de hoy he podido aprender a vivir conforme Dios nos mandó y a permanecer en él.</v>
      </c>
      <c r="Q146" s="1" t="str">
        <f ca="1">IFERROR(__xludf.DUMMYFUNCTION("""COMPUTED_VALUE"""),"Por que me gusta servir a Dios y tambien me gustaría compartir como Dios obra de maneras difentes en nuestras vidas.
En mi corazon esta la dispocision de servir toda la temporada pero por lo economico, no se puede.")</f>
        <v>Por que me gusta servir a Dios y tambien me gustaría compartir como Dios obra de maneras difentes en nuestras vidas.
En mi corazon esta la dispocision de servir toda la temporada pero por lo economico, no se puede.</v>
      </c>
      <c r="R146" s="1" t="str">
        <f ca="1">IFERROR(__xludf.DUMMYFUNCTION("""COMPUTED_VALUE"""),"Si")</f>
        <v>Si</v>
      </c>
      <c r="S146" s="1" t="str">
        <f ca="1">IFERROR(__xludf.DUMMYFUNCTION("""COMPUTED_VALUE"""),"gym y basquetboll")</f>
        <v>gym y basquetboll</v>
      </c>
      <c r="T146" s="1" t="str">
        <f ca="1">IFERROR(__xludf.DUMMYFUNCTION("""COMPUTED_VALUE"""),"No")</f>
        <v>No</v>
      </c>
      <c r="U146" s="1"/>
      <c r="V146" s="1" t="str">
        <f ca="1">IFERROR(__xludf.DUMMYFUNCTION("""COMPUTED_VALUE"""),"primer año de Ingenieria Informatica")</f>
        <v>primer año de Ingenieria Informatica</v>
      </c>
      <c r="W146" s="1" t="str">
        <f ca="1">IFERROR(__xludf.DUMMYFUNCTION("""COMPUTED_VALUE"""),"Facilidad para interactuar con la gente")</f>
        <v>Facilidad para interactuar con la gente</v>
      </c>
      <c r="X146" s="1" t="str">
        <f ca="1">IFERROR(__xludf.DUMMYFUNCTION("""COMPUTED_VALUE"""),"A. Soy un discipulador activo, B. Me gusta animar a las personas, C. Suelo buscar que el trabajo se realice en equipo, D. Me gustan los deportes, H. Soy organizado (a), I. Se me facilita el trabajo físico, J. Me gusta la atención a las personas, K. Soy cr"&amp;"eativo (a)")</f>
        <v>A. Soy un discipulador activo, B. Me gusta animar a las personas, C. Suelo buscar que el trabajo se realice en equipo, D. Me gustan los deportes, H. Soy organizado (a), I. Se me facilita el trabajo físico, J. Me gusta la atención a las personas, K. Soy creativo (a)</v>
      </c>
      <c r="Y146" s="1" t="str">
        <f ca="1">IFERROR(__xludf.DUMMYFUNCTION("""COMPUTED_VALUE"""),"sí, he ido varios años y el ultimo fue Reinos")</f>
        <v>sí, he ido varios años y el ultimo fue Reinos</v>
      </c>
      <c r="Z146" s="1"/>
    </row>
    <row r="147" spans="1:26" x14ac:dyDescent="0.35">
      <c r="A147" s="2">
        <f ca="1">IFERROR(__xludf.DUMMYFUNCTION("""COMPUTED_VALUE"""),45836.7429629629)</f>
        <v>45836.742962962897</v>
      </c>
      <c r="B147" s="1"/>
      <c r="C147" s="1" t="str">
        <f ca="1">IFERROR(__xludf.DUMMYFUNCTION("""COMPUTED_VALUE"""),"Aaron, Chavez")</f>
        <v>Aaron, Chavez</v>
      </c>
      <c r="D147" s="1">
        <f ca="1">IFERROR(__xludf.DUMMYFUNCTION("""COMPUTED_VALUE"""),17)</f>
        <v>17</v>
      </c>
      <c r="E147" s="1" t="str">
        <f ca="1">IFERROR(__xludf.DUMMYFUNCTION("""COMPUTED_VALUE"""),"Hombre")</f>
        <v>Hombre</v>
      </c>
      <c r="F147" s="1" t="str">
        <f ca="1">IFERROR(__xludf.DUMMYFUNCTION("""COMPUTED_VALUE"""),"Queretaro, Mexico")</f>
        <v>Queretaro, Mexico</v>
      </c>
      <c r="G147" s="1" t="str">
        <f ca="1">IFERROR(__xludf.DUMMYFUNCTION("""COMPUTED_VALUE"""),"aaronchco08@gmail.com")</f>
        <v>aaronchco08@gmail.com</v>
      </c>
      <c r="H147" s="1">
        <f ca="1">IFERROR(__xludf.DUMMYFUNCTION("""COMPUTED_VALUE"""),524421455000)</f>
        <v>524421455000</v>
      </c>
      <c r="I147" s="1" t="str">
        <f ca="1">IFERROR(__xludf.DUMMYFUNCTION("""COMPUTED_VALUE"""),"Semana de niños y niñas (21-25) Julio, Jóvenes de 13 – 17 años / SEM1/ (28 Julio a 02 de agosto), Jóvenes de 13 – 17 años / SEM2/ (4 - 09 agosto)")</f>
        <v>Semana de niños y niñas (21-25) Julio, Jóvenes de 13 – 17 años / SEM1/ (28 Julio a 02 de agosto), Jóvenes de 13 – 17 años / SEM2/ (4 - 09 agosto)</v>
      </c>
      <c r="J147" s="1" t="str">
        <f ca="1">IFERROR(__xludf.DUMMYFUNCTION("""COMPUTED_VALUE"""),"YouVersion")</f>
        <v>YouVersion</v>
      </c>
      <c r="K147" s="1" t="str">
        <f ca="1">IFERROR(__xludf.DUMMYFUNCTION("""COMPUTED_VALUE"""),"Iglesia Bliblica Vida Nueva Queretaro")</f>
        <v>Iglesia Bliblica Vida Nueva Queretaro</v>
      </c>
      <c r="L147" s="1" t="str">
        <f ca="1">IFERROR(__xludf.DUMMYFUNCTION("""COMPUTED_VALUE"""),"Héctor Villanueva")</f>
        <v>Héctor Villanueva</v>
      </c>
      <c r="M147" s="1">
        <f ca="1">IFERROR(__xludf.DUMMYFUNCTION("""COMPUTED_VALUE"""),52524421578292)</f>
        <v>52524421578292</v>
      </c>
      <c r="N147" s="1" t="str">
        <f ca="1">IFERROR(__xludf.DUMMYFUNCTION("""COMPUTED_VALUE"""),"hectorjvj@gmail.com")</f>
        <v>hectorjvj@gmail.com</v>
      </c>
      <c r="O147" s="1" t="str">
        <f ca="1">IFERROR(__xludf.DUMMYFUNCTION("""COMPUTED_VALUE"""),"Jóvenes +17")</f>
        <v>Jóvenes +17</v>
      </c>
      <c r="P147" s="1" t="str">
        <f ca="1">IFERROR(__xludf.DUMMYFUNCTION("""COMPUTED_VALUE"""),"pues a los 13 años acepte a Dios en un campamento de Pv")</f>
        <v>pues a los 13 años acepte a Dios en un campamento de Pv</v>
      </c>
      <c r="Q147" s="1" t="str">
        <f ca="1">IFERROR(__xludf.DUMMYFUNCTION("""COMPUTED_VALUE"""),"porque estuve el año pasado y quiero este tmb")</f>
        <v>porque estuve el año pasado y quiero este tmb</v>
      </c>
      <c r="R147" s="1" t="str">
        <f ca="1">IFERROR(__xludf.DUMMYFUNCTION("""COMPUTED_VALUE"""),"Si")</f>
        <v>Si</v>
      </c>
      <c r="S147" s="1" t="str">
        <f ca="1">IFERROR(__xludf.DUMMYFUNCTION("""COMPUTED_VALUE"""),"Todo")</f>
        <v>Todo</v>
      </c>
      <c r="T147" s="1" t="str">
        <f ca="1">IFERROR(__xludf.DUMMYFUNCTION("""COMPUTED_VALUE"""),"Si")</f>
        <v>Si</v>
      </c>
      <c r="U147" s="1" t="str">
        <f ca="1">IFERROR(__xludf.DUMMYFUNCTION("""COMPUTED_VALUE"""),"piano y guitarra")</f>
        <v>piano y guitarra</v>
      </c>
      <c r="V147" s="1" t="str">
        <f ca="1">IFERROR(__xludf.DUMMYFUNCTION("""COMPUTED_VALUE"""),"Preparatoria")</f>
        <v>Preparatoria</v>
      </c>
      <c r="W147" s="1" t="str">
        <f ca="1">IFERROR(__xludf.DUMMYFUNCTION("""COMPUTED_VALUE"""),"Aprendo Rápido a hacer las vozas")</f>
        <v>Aprendo Rápido a hacer las vozas</v>
      </c>
      <c r="X147" s="1" t="str">
        <f ca="1">IFERROR(__xludf.DUMMYFUNCTION("""COMPUTED_VALUE"""),"B. Me gusta animar a las personas, C. Suelo buscar que el trabajo se realice en equipo, D. Me gustan los deportes, E. Me gusta el trabajo con niños, I. Se me facilita el trabajo físico, L. Soy bueno (a) en canto o algún instrumento, M. Soy bueno (a) con l"&amp;"os números, O. Puedo enseñar con facilidad")</f>
        <v>B. Me gusta animar a las personas, C. Suelo buscar que el trabajo se realice en equipo, D. Me gustan los deportes, E. Me gusta el trabajo con niños, I. Se me facilita el trabajo físico, L. Soy bueno (a) en canto o algún instrumento, M. Soy bueno (a) con los números, O. Puedo enseñar con facilidad</v>
      </c>
      <c r="Y147" s="1" t="str">
        <f ca="1">IFERROR(__xludf.DUMMYFUNCTION("""COMPUTED_VALUE"""),"La pasada osea 2024")</f>
        <v>La pasada osea 2024</v>
      </c>
      <c r="Z147" s="1"/>
    </row>
    <row r="148" spans="1:26" x14ac:dyDescent="0.35">
      <c r="A148" s="2">
        <f ca="1">IFERROR(__xludf.DUMMYFUNCTION("""COMPUTED_VALUE"""),45837.0015972222)</f>
        <v>45837.001597222203</v>
      </c>
      <c r="B148" s="1"/>
      <c r="C148" s="1" t="str">
        <f ca="1">IFERROR(__xludf.DUMMYFUNCTION("""COMPUTED_VALUE"""),"Pablo Esaú, Rueda Vazquez")</f>
        <v>Pablo Esaú, Rueda Vazquez</v>
      </c>
      <c r="D148" s="1">
        <f ca="1">IFERROR(__xludf.DUMMYFUNCTION("""COMPUTED_VALUE"""),23)</f>
        <v>23</v>
      </c>
      <c r="E148" s="1" t="str">
        <f ca="1">IFERROR(__xludf.DUMMYFUNCTION("""COMPUTED_VALUE"""),"Hombre")</f>
        <v>Hombre</v>
      </c>
      <c r="F148" s="1" t="str">
        <f ca="1">IFERROR(__xludf.DUMMYFUNCTION("""COMPUTED_VALUE"""),"Mexico, Mexico")</f>
        <v>Mexico, Mexico</v>
      </c>
      <c r="G148" s="1" t="str">
        <f ca="1">IFERROR(__xludf.DUMMYFUNCTION("""COMPUTED_VALUE"""),"Pabloruvaz@gmail.com")</f>
        <v>Pabloruvaz@gmail.com</v>
      </c>
      <c r="H148" s="1">
        <f ca="1">IFERROR(__xludf.DUMMYFUNCTION("""COMPUTED_VALUE"""),527201527830)</f>
        <v>527201527830</v>
      </c>
      <c r="I148" s="1" t="str">
        <f ca="1">IFERROR(__xludf.DUMMYFUNCTION("""COMPUTED_VALUE"""),"Semana de entrenamiento (07 - 13) Julio, Comunidad Jóvenes + 18 (14-19) Julio")</f>
        <v>Semana de entrenamiento (07 - 13) Julio, Comunidad Jóvenes + 18 (14-19) Julio</v>
      </c>
      <c r="J148" s="1" t="str">
        <f ca="1">IFERROR(__xludf.DUMMYFUNCTION("""COMPUTED_VALUE"""),"Ebenezer")</f>
        <v>Ebenezer</v>
      </c>
      <c r="K148" s="1" t="str">
        <f ca="1">IFERROR(__xludf.DUMMYFUNCTION("""COMPUTED_VALUE"""),"Iglesia Bautista Dunamis")</f>
        <v>Iglesia Bautista Dunamis</v>
      </c>
      <c r="L148" s="1" t="str">
        <f ca="1">IFERROR(__xludf.DUMMYFUNCTION("""COMPUTED_VALUE"""),"Luis Emmanuel López Chaparro")</f>
        <v>Luis Emmanuel López Chaparro</v>
      </c>
      <c r="M148" s="1">
        <f ca="1">IFERROR(__xludf.DUMMYFUNCTION("""COMPUTED_VALUE"""),525528054570)</f>
        <v>525528054570</v>
      </c>
      <c r="N148" s="1" t="str">
        <f ca="1">IFERROR(__xludf.DUMMYFUNCTION("""COMPUTED_VALUE"""),"emmanuellopezchaparro@gmail.com")</f>
        <v>emmanuellopezchaparro@gmail.com</v>
      </c>
      <c r="O148" s="1" t="str">
        <f ca="1">IFERROR(__xludf.DUMMYFUNCTION("""COMPUTED_VALUE"""),"Maestro de Niños/ministerio infantil")</f>
        <v>Maestro de Niños/ministerio infantil</v>
      </c>
      <c r="P148" s="1" t="str">
        <f ca="1">IFERROR(__xludf.DUMMYFUNCTION("""COMPUTED_VALUE"""),"Agradezco a Dios por nunca soltarme ni apartarse de mi, cuando mi juicio se vió nublado por mis acciones e intenté apartarme nunca lo conseguí y ahora entiendo que fue Dios y siempre ha sido Dios, mi lugar está en su presciencia sirviéndole")</f>
        <v>Agradezco a Dios por nunca soltarme ni apartarse de mi, cuando mi juicio se vió nublado por mis acciones e intenté apartarme nunca lo conseguí y ahora entiendo que fue Dios y siempre ha sido Dios, mi lugar está en su presciencia sirviéndole</v>
      </c>
      <c r="Q148" s="1" t="str">
        <f ca="1">IFERROR(__xludf.DUMMYFUNCTION("""COMPUTED_VALUE"""),"A principios de año surgió junto con un amigo, ir a servir ahora juntos y en mi caso volver a compartir, bendecir, aprender y crecer en sabiduría con los verdaderos amigos")</f>
        <v>A principios de año surgió junto con un amigo, ir a servir ahora juntos y en mi caso volver a compartir, bendecir, aprender y crecer en sabiduría con los verdaderos amigos</v>
      </c>
      <c r="R148" s="1" t="str">
        <f ca="1">IFERROR(__xludf.DUMMYFUNCTION("""COMPUTED_VALUE"""),"Si")</f>
        <v>Si</v>
      </c>
      <c r="S148" s="1" t="str">
        <f ca="1">IFERROR(__xludf.DUMMYFUNCTION("""COMPUTED_VALUE"""),"Fútbol")</f>
        <v>Fútbol</v>
      </c>
      <c r="T148" s="1" t="str">
        <f ca="1">IFERROR(__xludf.DUMMYFUNCTION("""COMPUTED_VALUE"""),"No")</f>
        <v>No</v>
      </c>
      <c r="U148" s="1"/>
      <c r="V148" s="1" t="str">
        <f ca="1">IFERROR(__xludf.DUMMYFUNCTION("""COMPUTED_VALUE"""),"Sociología")</f>
        <v>Sociología</v>
      </c>
      <c r="W148" s="1" t="str">
        <f ca="1">IFERROR(__xludf.DUMMYFUNCTION("""COMPUTED_VALUE"""),"Habilidades con el uso de herramientas básicas")</f>
        <v>Habilidades con el uso de herramientas básicas</v>
      </c>
      <c r="X148" s="1" t="str">
        <f ca="1">IFERROR(__xludf.DUMMYFUNCTION("""COMPUTED_VALUE"""),"A. Soy un discipulador activo, D. Me gustan los deportes, E. Me gusta el trabajo con niños, F. Soy eficiente en el trabajo con herramientas, equipos y maquinarias, I. Se me facilita el trabajo físico, J. Me gusta la atención a las personas, N. Suelo lleva"&amp;"r el liderazgo en un grupo")</f>
        <v>A. Soy un discipulador activo, D. Me gustan los deportes, E. Me gusta el trabajo con niños, F. Soy eficiente en el trabajo con herramientas, equipos y maquinarias, I. Se me facilita el trabajo físico, J. Me gusta la atención a las personas, N. Suelo llevar el liderazgo en un grupo</v>
      </c>
      <c r="Y148" s="1" t="str">
        <f ca="1">IFERROR(__xludf.DUMMYFUNCTION("""COMPUTED_VALUE"""),"En el año 2022 en el campamento Vuelve")</f>
        <v>En el año 2022 en el campamento Vuelve</v>
      </c>
      <c r="Z148" s="1"/>
    </row>
    <row r="149" spans="1:26" x14ac:dyDescent="0.35">
      <c r="A149" s="2">
        <f ca="1">IFERROR(__xludf.DUMMYFUNCTION("""COMPUTED_VALUE"""),45837.7668055555)</f>
        <v>45837.766805555497</v>
      </c>
      <c r="B149" s="1"/>
      <c r="C149" s="1" t="str">
        <f ca="1">IFERROR(__xludf.DUMMYFUNCTION("""COMPUTED_VALUE"""),"Sofía Regina, Tapia Páramo")</f>
        <v>Sofía Regina, Tapia Páramo</v>
      </c>
      <c r="D149" s="1">
        <f ca="1">IFERROR(__xludf.DUMMYFUNCTION("""COMPUTED_VALUE"""),20)</f>
        <v>20</v>
      </c>
      <c r="E149" s="1" t="str">
        <f ca="1">IFERROR(__xludf.DUMMYFUNCTION("""COMPUTED_VALUE"""),"Mujer")</f>
        <v>Mujer</v>
      </c>
      <c r="F149" s="1" t="str">
        <f ca="1">IFERROR(__xludf.DUMMYFUNCTION("""COMPUTED_VALUE"""),"Mexico City, Mexico")</f>
        <v>Mexico City, Mexico</v>
      </c>
      <c r="G149" s="1" t="str">
        <f ca="1">IFERROR(__xludf.DUMMYFUNCTION("""COMPUTED_VALUE"""),"reginatp@icloud.com")</f>
        <v>reginatp@icloud.com</v>
      </c>
      <c r="H149" s="1">
        <f ca="1">IFERROR(__xludf.DUMMYFUNCTION("""COMPUTED_VALUE"""),525573936365)</f>
        <v>525573936365</v>
      </c>
      <c r="I149" s="1" t="str">
        <f ca="1">IFERROR(__xludf.DUMMYFUNCTION("""COMPUTED_VALUE"""),"Comunidad Jóvenes + 18 (14-19) Julio, Jóvenes de 13 – 17 años / SEM1/ (28 Julio a 02 de agosto), Jóvenes de 13 – 17 años / SEM2/ (4 - 09 agosto)")</f>
        <v>Comunidad Jóvenes + 18 (14-19) Julio, Jóvenes de 13 – 17 años / SEM1/ (28 Julio a 02 de agosto), Jóvenes de 13 – 17 años / SEM2/ (4 - 09 agosto)</v>
      </c>
      <c r="J149" s="1" t="str">
        <f ca="1">IFERROR(__xludf.DUMMYFUNCTION("""COMPUTED_VALUE"""),"Biblia")</f>
        <v>Biblia</v>
      </c>
      <c r="K149" s="1" t="str">
        <f ca="1">IFERROR(__xludf.DUMMYFUNCTION("""COMPUTED_VALUE"""),"Poema Mx")</f>
        <v>Poema Mx</v>
      </c>
      <c r="L149" s="1" t="str">
        <f ca="1">IFERROR(__xludf.DUMMYFUNCTION("""COMPUTED_VALUE"""),"Barush Daniel Sánchez")</f>
        <v>Barush Daniel Sánchez</v>
      </c>
      <c r="M149" s="1">
        <f ca="1">IFERROR(__xludf.DUMMYFUNCTION("""COMPUTED_VALUE"""),525573936365)</f>
        <v>525573936365</v>
      </c>
      <c r="N149" s="1" t="str">
        <f ca="1">IFERROR(__xludf.DUMMYFUNCTION("""COMPUTED_VALUE"""),"reginatp@icloud.com")</f>
        <v>reginatp@icloud.com</v>
      </c>
      <c r="O149" s="1" t="str">
        <f ca="1">IFERROR(__xludf.DUMMYFUNCTION("""COMPUTED_VALUE"""),"Alabanza y niños")</f>
        <v>Alabanza y niños</v>
      </c>
      <c r="P149" s="1" t="str">
        <f ca="1">IFERROR(__xludf.DUMMYFUNCTION("""COMPUTED_VALUE"""),"Conocí al Señor en una escuela cristiana durante una prédica que hubo. Ahí entendí el mensaje y recibí al Señor.")</f>
        <v>Conocí al Señor en una escuela cristiana durante una prédica que hubo. Ahí entendí el mensaje y recibí al Señor.</v>
      </c>
      <c r="Q149" s="1" t="str">
        <f ca="1">IFERROR(__xludf.DUMMYFUNCTION("""COMPUTED_VALUE"""),"He ido en otras ocasiones y es un lugar donde me siento segura y se me da la oportunidad de de servir junto a otros jóvenes de mi edad.")</f>
        <v>He ido en otras ocasiones y es un lugar donde me siento segura y se me da la oportunidad de de servir junto a otros jóvenes de mi edad.</v>
      </c>
      <c r="R149" s="1" t="str">
        <f ca="1">IFERROR(__xludf.DUMMYFUNCTION("""COMPUTED_VALUE"""),"Si")</f>
        <v>Si</v>
      </c>
      <c r="S149" s="1" t="str">
        <f ca="1">IFERROR(__xludf.DUMMYFUNCTION("""COMPUTED_VALUE"""),"Levantamiento de pesas")</f>
        <v>Levantamiento de pesas</v>
      </c>
      <c r="T149" s="1" t="str">
        <f ca="1">IFERROR(__xludf.DUMMYFUNCTION("""COMPUTED_VALUE"""),"Si")</f>
        <v>Si</v>
      </c>
      <c r="U149" s="1" t="str">
        <f ca="1">IFERROR(__xludf.DUMMYFUNCTION("""COMPUTED_VALUE"""),"Guitarra")</f>
        <v>Guitarra</v>
      </c>
      <c r="V149" s="1" t="str">
        <f ca="1">IFERROR(__xludf.DUMMYFUNCTION("""COMPUTED_VALUE"""),"Estudio Psicología")</f>
        <v>Estudio Psicología</v>
      </c>
      <c r="W149" s="1" t="str">
        <f ca="1">IFERROR(__xludf.DUMMYFUNCTION("""COMPUTED_VALUE"""),"He trabajado en cafeterías, he sido mesera, por la escuela tengo prácticas en hospitales y a guarderías, y también trabajo como niñera")</f>
        <v>He trabajado en cafeterías, he sido mesera, por la escuela tengo prácticas en hospitales y a guarderías, y también trabajo como niñera</v>
      </c>
      <c r="X149" s="1" t="str">
        <f ca="1">IFERROR(__xludf.DUMMYFUNCTION("""COMPUTED_VALUE"""),"A. Soy un discipulador activo, B. Me gusta animar a las personas, D. Me gustan los deportes, H. Soy organizado (a), I. Se me facilita el trabajo físico, J. Me gusta la atención a las personas, K. Soy creativo (a), L. Soy bueno (a) en canto o algún instrum"&amp;"ento, N. Suelo llevar el liderazgo en un grupo, O. Puedo enseñar con facilidad")</f>
        <v>A. Soy un discipulador activo, B. Me gusta animar a las personas, D. Me gustan los deportes, H. Soy organizado (a), I. Se me facilita el trabajo físico, J. Me gusta la atención a las personas, K. Soy creativo (a), L. Soy bueno (a) en canto o algún instrumento, N. Suelo llevar el liderazgo en un grupo, O. Puedo enseñar con facilidad</v>
      </c>
      <c r="Y149" s="1" t="str">
        <f ca="1">IFERROR(__xludf.DUMMYFUNCTION("""COMPUTED_VALUE"""),"Fui hace dos y tres años atrás al campamento de +18")</f>
        <v>Fui hace dos y tres años atrás al campamento de +18</v>
      </c>
      <c r="Z149" s="1"/>
    </row>
    <row r="150" spans="1:26" x14ac:dyDescent="0.35">
      <c r="A150" s="2">
        <f ca="1">IFERROR(__xludf.DUMMYFUNCTION("""COMPUTED_VALUE"""),45838.4351273148)</f>
        <v>45838.435127314799</v>
      </c>
      <c r="B150" s="1"/>
      <c r="C150" s="1" t="str">
        <f ca="1">IFERROR(__xludf.DUMMYFUNCTION("""COMPUTED_VALUE"""),"Josue Isaias, Rojo Garcia")</f>
        <v>Josue Isaias, Rojo Garcia</v>
      </c>
      <c r="D150" s="1">
        <f ca="1">IFERROR(__xludf.DUMMYFUNCTION("""COMPUTED_VALUE"""),25)</f>
        <v>25</v>
      </c>
      <c r="E150" s="1" t="str">
        <f ca="1">IFERROR(__xludf.DUMMYFUNCTION("""COMPUTED_VALUE"""),"Hombre")</f>
        <v>Hombre</v>
      </c>
      <c r="F150" s="1" t="str">
        <f ca="1">IFERROR(__xludf.DUMMYFUNCTION("""COMPUTED_VALUE"""),"Hidalgo, Mexico")</f>
        <v>Hidalgo, Mexico</v>
      </c>
      <c r="G150" s="1" t="str">
        <f ca="1">IFERROR(__xludf.DUMMYFUNCTION("""COMPUTED_VALUE"""),"josue.isaias.rojo.garcia@gmail.com")</f>
        <v>josue.isaias.rojo.garcia@gmail.com</v>
      </c>
      <c r="H150" s="1">
        <f ca="1">IFERROR(__xludf.DUMMYFUNCTION("""COMPUTED_VALUE"""),527731017883)</f>
        <v>527731017883</v>
      </c>
      <c r="I150" s="1" t="str">
        <f ca="1">IFERROR(__xludf.DUMMYFUNCTION("""COMPUTED_VALUE"""),"Semana de entrenamiento (07 - 13) Julio, Jóvenes de 13 – 17 años / SEM1/ (28 Julio a 02 de agosto)")</f>
        <v>Semana de entrenamiento (07 - 13) Julio, Jóvenes de 13 – 17 años / SEM1/ (28 Julio a 02 de agosto)</v>
      </c>
      <c r="J150" s="1" t="str">
        <f ca="1">IFERROR(__xludf.DUMMYFUNCTION("""COMPUTED_VALUE"""),"Alza tus ojos - Christopher Shaw")</f>
        <v>Alza tus ojos - Christopher Shaw</v>
      </c>
      <c r="K150" s="1" t="str">
        <f ca="1">IFERROR(__xludf.DUMMYFUNCTION("""COMPUTED_VALUE"""),"Iglesia Bíblica de Tecozautla")</f>
        <v>Iglesia Bíblica de Tecozautla</v>
      </c>
      <c r="L150" s="1" t="str">
        <f ca="1">IFERROR(__xludf.DUMMYFUNCTION("""COMPUTED_VALUE"""),"Salomón Hernández Reséndiz")</f>
        <v>Salomón Hernández Reséndiz</v>
      </c>
      <c r="M150" s="1">
        <f ca="1">IFERROR(__xludf.DUMMYFUNCTION("""COMPUTED_VALUE"""),527731442780)</f>
        <v>527731442780</v>
      </c>
      <c r="N150" s="1" t="str">
        <f ca="1">IFERROR(__xludf.DUMMYFUNCTION("""COMPUTED_VALUE"""),"josai.1708@gmail.com")</f>
        <v>josai.1708@gmail.com</v>
      </c>
      <c r="O150" s="1" t="str">
        <f ca="1">IFERROR(__xludf.DUMMYFUNCTION("""COMPUTED_VALUE"""),"Alabanza")</f>
        <v>Alabanza</v>
      </c>
      <c r="P150" s="1" t="str">
        <f ca="1">IFERROR(__xludf.DUMMYFUNCTION("""COMPUTED_VALUE"""),"Al crecer en un entorno cristiano fui educado bajo buenos principios, pero con el paso del tiempo entendí que no bastaba con ser una buena persona, había cosas en mi vida que impedían que tuviera una relación con Dios. Ahora entiendo que solo por su graci"&amp;"a y el sacrificio que Jesús hizo por mí, habiendo aceptado que soy pecador, él me ha salvado. A partir de ese momento Dios ha ido trabajando en mi vida, y ahora las cosas que hago las realizo por amor a Él, y no solo por tratar de hacer algo bueno.")</f>
        <v>Al crecer en un entorno cristiano fui educado bajo buenos principios, pero con el paso del tiempo entendí que no bastaba con ser una buena persona, había cosas en mi vida que impedían que tuviera una relación con Dios. Ahora entiendo que solo por su gracia y el sacrificio que Jesús hizo por mí, habiendo aceptado que soy pecador, él me ha salvado. A partir de ese momento Dios ha ido trabajando en mi vida, y ahora las cosas que hago las realizo por amor a Él, y no solo por tratar de hacer algo bueno.</v>
      </c>
      <c r="Q150" s="1" t="str">
        <f ca="1">IFERROR(__xludf.DUMMYFUNCTION("""COMPUTED_VALUE"""),"Porque he visto el impacto que puede tener un campamento en la vida de un cristiano o alguien que aún no conoce de Jesús. Y me gustaría apoyar para que más personas puedan conocerle.")</f>
        <v>Porque he visto el impacto que puede tener un campamento en la vida de un cristiano o alguien que aún no conoce de Jesús. Y me gustaría apoyar para que más personas puedan conocerle.</v>
      </c>
      <c r="R150" s="1" t="str">
        <f ca="1">IFERROR(__xludf.DUMMYFUNCTION("""COMPUTED_VALUE"""),"Si")</f>
        <v>Si</v>
      </c>
      <c r="S150" s="1" t="str">
        <f ca="1">IFERROR(__xludf.DUMMYFUNCTION("""COMPUTED_VALUE"""),"Basquetbol")</f>
        <v>Basquetbol</v>
      </c>
      <c r="T150" s="1" t="str">
        <f ca="1">IFERROR(__xludf.DUMMYFUNCTION("""COMPUTED_VALUE"""),"No")</f>
        <v>No</v>
      </c>
      <c r="U150" s="1"/>
      <c r="V150" s="1" t="str">
        <f ca="1">IFERROR(__xludf.DUMMYFUNCTION("""COMPUTED_VALUE"""),"Estudié una carrera a fin a la tecnología, electrónica y software.")</f>
        <v>Estudié una carrera a fin a la tecnología, electrónica y software.</v>
      </c>
      <c r="W150" s="1" t="str">
        <f ca="1">IFERROR(__xludf.DUMMYFUNCTION("""COMPUTED_VALUE"""),"Eficiente en tareas repetitivas ya que busco la forma de hacer las cosas más rápido, bueno para trabajo en computadoras y cualquier tipo de software, equipo audio visual para alabanza, cocina y volar drones por si se ocupa jeje.")</f>
        <v>Eficiente en tareas repetitivas ya que busco la forma de hacer las cosas más rápido, bueno para trabajo en computadoras y cualquier tipo de software, equipo audio visual para alabanza, cocina y volar drones por si se ocupa jeje.</v>
      </c>
      <c r="X150" s="1" t="str">
        <f ca="1">IFERROR(__xludf.DUMMYFUNCTION("""COMPUTED_VALUE"""),"C. Suelo buscar que el trabajo se realice en equipo, D. Me gustan los deportes, H. Soy organizado (a), I. Se me facilita el trabajo físico, L. Soy bueno (a) en canto o algún instrumento, M. Soy bueno (a) con los números, N. Suelo llevar el liderazgo en un"&amp;" grupo")</f>
        <v>C. Suelo buscar que el trabajo se realice en equipo, D. Me gustan los deportes, H. Soy organizado (a), I. Se me facilita el trabajo físico, L. Soy bueno (a) en canto o algún instrumento, M. Soy bueno (a) con los números, N. Suelo llevar el liderazgo en un grupo</v>
      </c>
      <c r="Y150" s="1" t="str">
        <f ca="1">IFERROR(__xludf.DUMMYFUNCTION("""COMPUTED_VALUE"""),"No")</f>
        <v>No</v>
      </c>
      <c r="Z150" s="1"/>
    </row>
    <row r="151" spans="1:26" x14ac:dyDescent="0.35">
      <c r="A151" s="2">
        <f ca="1">IFERROR(__xludf.DUMMYFUNCTION("""COMPUTED_VALUE"""),45838.5080092592)</f>
        <v>45838.508009259203</v>
      </c>
      <c r="B151" s="1"/>
      <c r="C151" s="1" t="str">
        <f ca="1">IFERROR(__xludf.DUMMYFUNCTION("""COMPUTED_VALUE"""),"Grace, Vega Aguilar")</f>
        <v>Grace, Vega Aguilar</v>
      </c>
      <c r="D151" s="1">
        <f ca="1">IFERROR(__xludf.DUMMYFUNCTION("""COMPUTED_VALUE"""),17)</f>
        <v>17</v>
      </c>
      <c r="E151" s="1" t="str">
        <f ca="1">IFERROR(__xludf.DUMMYFUNCTION("""COMPUTED_VALUE"""),"Mujer")</f>
        <v>Mujer</v>
      </c>
      <c r="F151" s="1" t="str">
        <f ca="1">IFERROR(__xludf.DUMMYFUNCTION("""COMPUTED_VALUE"""),"Mexico City, Mexico")</f>
        <v>Mexico City, Mexico</v>
      </c>
      <c r="G151" s="1" t="str">
        <f ca="1">IFERROR(__xludf.DUMMYFUNCTION("""COMPUTED_VALUE"""),"vegaaguilargrace@gmail.com")</f>
        <v>vegaaguilargrace@gmail.com</v>
      </c>
      <c r="H151" s="1">
        <f ca="1">IFERROR(__xludf.DUMMYFUNCTION("""COMPUTED_VALUE"""),525547128660)</f>
        <v>525547128660</v>
      </c>
      <c r="I151" s="1" t="str">
        <f ca="1">IFERROR(__xludf.DUMMYFUNCTION("""COMPUTED_VALUE"""),"Semana de niños y niñas (21-25) Julio, Jóvenes de 13 – 17 años / SEM1/ (28 Julio a 02 de agosto)")</f>
        <v>Semana de niños y niñas (21-25) Julio, Jóvenes de 13 – 17 años / SEM1/ (28 Julio a 02 de agosto)</v>
      </c>
      <c r="J151" s="1" t="str">
        <f ca="1">IFERROR(__xludf.DUMMYFUNCTION("""COMPUTED_VALUE"""),"Chicas sabias en un mundo salvaje")</f>
        <v>Chicas sabias en un mundo salvaje</v>
      </c>
      <c r="K151" s="1" t="str">
        <f ca="1">IFERROR(__xludf.DUMMYFUNCTION("""COMPUTED_VALUE"""),"Vida nueva CDMX")</f>
        <v>Vida nueva CDMX</v>
      </c>
      <c r="L151" s="1" t="str">
        <f ca="1">IFERROR(__xludf.DUMMYFUNCTION("""COMPUTED_VALUE"""),"Mario del Valle")</f>
        <v>Mario del Valle</v>
      </c>
      <c r="M151" s="1">
        <f ca="1">IFERROR(__xludf.DUMMYFUNCTION("""COMPUTED_VALUE"""),525624927344)</f>
        <v>525624927344</v>
      </c>
      <c r="N151" s="1" t="str">
        <f ca="1">IFERROR(__xludf.DUMMYFUNCTION("""COMPUTED_VALUE"""),"Mariohdelvalle1@gmail.com")</f>
        <v>Mariohdelvalle1@gmail.com</v>
      </c>
      <c r="O151" s="1" t="str">
        <f ca="1">IFERROR(__xludf.DUMMYFUNCTION("""COMPUTED_VALUE"""),"Traducción")</f>
        <v>Traducción</v>
      </c>
      <c r="P151" s="1" t="str">
        <f ca="1">IFERROR(__xludf.DUMMYFUNCTION("""COMPUTED_VALUE"""),"Aún no tengo un testimonio de salvación completo, pero estoy trabajando en mi relación con Dios. He sentido Su llamado y quiero seguir creciendo espiritualmente. He servido en dos campañas de evangelización en mi iglesia, y eso me ha motivado aún más a bu"&amp;"scar de Él. Quiero estar en un entorno que me acerque más a Dios y rodearme de personas que compartan ese mismo deseo.")</f>
        <v>Aún no tengo un testimonio de salvación completo, pero estoy trabajando en mi relación con Dios. He sentido Su llamado y quiero seguir creciendo espiritualmente. He servido en dos campañas de evangelización en mi iglesia, y eso me ha motivado aún más a buscar de Él. Quiero estar en un entorno que me acerque más a Dios y rodearme de personas que compartan ese mismo deseo.</v>
      </c>
      <c r="Q151" s="1" t="str">
        <f ca="1">IFERROR(__xludf.DUMMYFUNCTION("""COMPUTED_VALUE"""),"Mi principal objetivo es ayudar apoyar a los niños para que puedan tener un muy bonito verano, y de igual forma divertirme")</f>
        <v>Mi principal objetivo es ayudar apoyar a los niños para que puedan tener un muy bonito verano, y de igual forma divertirme</v>
      </c>
      <c r="R151" s="1" t="str">
        <f ca="1">IFERROR(__xludf.DUMMYFUNCTION("""COMPUTED_VALUE"""),"Si")</f>
        <v>Si</v>
      </c>
      <c r="S151" s="1" t="str">
        <f ca="1">IFERROR(__xludf.DUMMYFUNCTION("""COMPUTED_VALUE"""),"Natación, tenis, indoor cycling, Pilates, yoga y gym")</f>
        <v>Natación, tenis, indoor cycling, Pilates, yoga y gym</v>
      </c>
      <c r="T151" s="1" t="str">
        <f ca="1">IFERROR(__xludf.DUMMYFUNCTION("""COMPUTED_VALUE"""),"No")</f>
        <v>No</v>
      </c>
      <c r="U151" s="1"/>
      <c r="V151" s="1" t="str">
        <f ca="1">IFERROR(__xludf.DUMMYFUNCTION("""COMPUTED_VALUE"""),"Estoy terminando la preparatoria")</f>
        <v>Estoy terminando la preparatoria</v>
      </c>
      <c r="W151" s="1" t="str">
        <f ca="1">IFERROR(__xludf.DUMMYFUNCTION("""COMPUTED_VALUE"""),"Creatividad, trabajo en equipo")</f>
        <v>Creatividad, trabajo en equipo</v>
      </c>
      <c r="X151" s="1" t="str">
        <f ca="1">IFERROR(__xludf.DUMMYFUNCTION("""COMPUTED_VALUE"""),"B. Me gusta animar a las personas, D. Me gustan los deportes, E. Me gusta el trabajo con niños, K. Soy creativo (a)")</f>
        <v>B. Me gusta animar a las personas, D. Me gustan los deportes, E. Me gusta el trabajo con niños, K. Soy creativo (a)</v>
      </c>
      <c r="Y151" s="1">
        <f ca="1">IFERROR(__xludf.DUMMYFUNCTION("""COMPUTED_VALUE"""),2022.2023)</f>
        <v>2022.2022999999999</v>
      </c>
      <c r="Z151" s="1"/>
    </row>
    <row r="152" spans="1:26" x14ac:dyDescent="0.35">
      <c r="A152" s="2">
        <f ca="1">IFERROR(__xludf.DUMMYFUNCTION("""COMPUTED_VALUE"""),45838.5509143518)</f>
        <v>45838.550914351799</v>
      </c>
      <c r="B152" s="1"/>
      <c r="C152" s="1" t="str">
        <f ca="1">IFERROR(__xludf.DUMMYFUNCTION("""COMPUTED_VALUE"""),"Dana, Segura Hernández")</f>
        <v>Dana, Segura Hernández</v>
      </c>
      <c r="D152" s="1">
        <f ca="1">IFERROR(__xludf.DUMMYFUNCTION("""COMPUTED_VALUE"""),19)</f>
        <v>19</v>
      </c>
      <c r="E152" s="1" t="str">
        <f ca="1">IFERROR(__xludf.DUMMYFUNCTION("""COMPUTED_VALUE"""),"Mujer")</f>
        <v>Mujer</v>
      </c>
      <c r="F152" s="1" t="str">
        <f ca="1">IFERROR(__xludf.DUMMYFUNCTION("""COMPUTED_VALUE"""),"San Luis Potosi, Mexico")</f>
        <v>San Luis Potosi, Mexico</v>
      </c>
      <c r="G152" s="1" t="str">
        <f ca="1">IFERROR(__xludf.DUMMYFUNCTION("""COMPUTED_VALUE"""),"danrousses@gmail.com")</f>
        <v>danrousses@gmail.com</v>
      </c>
      <c r="H152" s="1">
        <f ca="1">IFERROR(__xludf.DUMMYFUNCTION("""COMPUTED_VALUE"""),524401804184)</f>
        <v>524401804184</v>
      </c>
      <c r="I152" s="1" t="str">
        <f ca="1">IFERROR(__xludf.DUMMYFUNCTION("""COMPUTED_VALUE"""),"Semana de entrenamiento (07 - 13) Julio, Comunidad Jóvenes + 18 (14-19) Julio")</f>
        <v>Semana de entrenamiento (07 - 13) Julio, Comunidad Jóvenes + 18 (14-19) Julio</v>
      </c>
      <c r="J152" s="1" t="str">
        <f ca="1">IFERROR(__xludf.DUMMYFUNCTION("""COMPUTED_VALUE"""),"Biblia")</f>
        <v>Biblia</v>
      </c>
      <c r="K152" s="1" t="str">
        <f ca="1">IFERROR(__xludf.DUMMYFUNCTION("""COMPUTED_VALUE"""),"Iglesia bíblica bautista de San Luis Potosí")</f>
        <v>Iglesia bíblica bautista de San Luis Potosí</v>
      </c>
      <c r="L152" s="1" t="str">
        <f ca="1">IFERROR(__xludf.DUMMYFUNCTION("""COMPUTED_VALUE"""),"Luis Ramos Cisneros")</f>
        <v>Luis Ramos Cisneros</v>
      </c>
      <c r="M152" s="1">
        <f ca="1">IFERROR(__xludf.DUMMYFUNCTION("""COMPUTED_VALUE"""),524441306627)</f>
        <v>524441306627</v>
      </c>
      <c r="N152" s="1" t="str">
        <f ca="1">IFERROR(__xludf.DUMMYFUNCTION("""COMPUTED_VALUE"""),"ibb_pastor@yahoo.com.mx")</f>
        <v>ibb_pastor@yahoo.com.mx</v>
      </c>
      <c r="O152" s="1" t="str">
        <f ca="1">IFERROR(__xludf.DUMMYFUNCTION("""COMPUTED_VALUE"""),"Ministerio de Ruta y escuela dominical")</f>
        <v>Ministerio de Ruta y escuela dominical</v>
      </c>
      <c r="P152" s="1" t="str">
        <f ca="1">IFERROR(__xludf.DUMMYFUNCTION("""COMPUTED_VALUE"""),"Acepte a Jesús en mi corazón a la edad de 8 años, a pesar de mi corta edad,comprendí que era pecadora y metecia un castigo,le pedí que me perdonará y entrara a mi corazón.")</f>
        <v>Acepte a Jesús en mi corazón a la edad de 8 años, a pesar de mi corta edad,comprendí que era pecadora y metecia un castigo,le pedí que me perdonará y entrara a mi corazón.</v>
      </c>
      <c r="Q152" s="1" t="str">
        <f ca="1">IFERROR(__xludf.DUMMYFUNCTION("""COMPUTED_VALUE"""),"Quiero ir a servir al campamento, porque servir es algo que me llena, me hace crecer y es parte del propósito que Dios ha puesto en mi vida. Sé que a través del servicio no solo puedo ser de bendición para otros, sino también acercarme más a lo que Dios q"&amp;"uiere para mí.")</f>
        <v>Quiero ir a servir al campamento, porque servir es algo que me llena, me hace crecer y es parte del propósito que Dios ha puesto en mi vida. Sé que a través del servicio no solo puedo ser de bendición para otros, sino también acercarme más a lo que Dios quiere para mí.</v>
      </c>
      <c r="R152" s="1" t="str">
        <f ca="1">IFERROR(__xludf.DUMMYFUNCTION("""COMPUTED_VALUE"""),"No")</f>
        <v>No</v>
      </c>
      <c r="S152" s="1"/>
      <c r="T152" s="1" t="str">
        <f ca="1">IFERROR(__xludf.DUMMYFUNCTION("""COMPUTED_VALUE"""),"No")</f>
        <v>No</v>
      </c>
      <c r="U152" s="1"/>
      <c r="V152" s="1" t="str">
        <f ca="1">IFERROR(__xludf.DUMMYFUNCTION("""COMPUTED_VALUE"""),"Carrera técnica de alimentos")</f>
        <v>Carrera técnica de alimentos</v>
      </c>
      <c r="W152" s="1" t="str">
        <f ca="1">IFERROR(__xludf.DUMMYFUNCTION("""COMPUTED_VALUE"""),"Estudie un mini curso de bautismo")</f>
        <v>Estudie un mini curso de bautismo</v>
      </c>
      <c r="X152" s="1" t="str">
        <f ca="1">IFERROR(__xludf.DUMMYFUNCTION("""COMPUTED_VALUE"""),"B. Me gusta animar a las personas, G. Soy más eficiente en el trabajo individual, H. Soy organizado (a), J. Me gusta la atención a las personas, K. Soy creativo (a), O. Puedo enseñar con facilidad")</f>
        <v>B. Me gusta animar a las personas, G. Soy más eficiente en el trabajo individual, H. Soy organizado (a), J. Me gusta la atención a las personas, K. Soy creativo (a), O. Puedo enseñar con facilidad</v>
      </c>
      <c r="Y152" s="1" t="str">
        <f ca="1">IFERROR(__xludf.DUMMYFUNCTION("""COMPUTED_VALUE"""),"2023-2024")</f>
        <v>2023-2024</v>
      </c>
      <c r="Z152" s="1"/>
    </row>
    <row r="153" spans="1:26" x14ac:dyDescent="0.35">
      <c r="A153" s="2">
        <f ca="1">IFERROR(__xludf.DUMMYFUNCTION("""COMPUTED_VALUE"""),45838.6463310185)</f>
        <v>45838.646331018499</v>
      </c>
      <c r="B153" s="1"/>
      <c r="C153" s="1" t="str">
        <f ca="1">IFERROR(__xludf.DUMMYFUNCTION("""COMPUTED_VALUE"""),"Angel, Castellanos")</f>
        <v>Angel, Castellanos</v>
      </c>
      <c r="D153" s="1">
        <f ca="1">IFERROR(__xludf.DUMMYFUNCTION("""COMPUTED_VALUE"""),20)</f>
        <v>20</v>
      </c>
      <c r="E153" s="1" t="str">
        <f ca="1">IFERROR(__xludf.DUMMYFUNCTION("""COMPUTED_VALUE"""),"Hombre")</f>
        <v>Hombre</v>
      </c>
      <c r="F153" s="1" t="str">
        <f ca="1">IFERROR(__xludf.DUMMYFUNCTION("""COMPUTED_VALUE"""),"Mexico City, Mexico")</f>
        <v>Mexico City, Mexico</v>
      </c>
      <c r="G153" s="1" t="str">
        <f ca="1">IFERROR(__xludf.DUMMYFUNCTION("""COMPUTED_VALUE"""),"aangel.cc05@gmail.com")</f>
        <v>aangel.cc05@gmail.com</v>
      </c>
      <c r="H153" s="1">
        <f ca="1">IFERROR(__xludf.DUMMYFUNCTION("""COMPUTED_VALUE"""),525656748671)</f>
        <v>525656748671</v>
      </c>
      <c r="I153" s="1" t="str">
        <f ca="1">IFERROR(__xludf.DUMMYFUNCTION("""COMPUTED_VALUE"""),"Jóvenes de 13 – 17 años / SEM1/ (28 Julio a 02 de agosto)")</f>
        <v>Jóvenes de 13 – 17 años / SEM1/ (28 Julio a 02 de agosto)</v>
      </c>
      <c r="J153" s="1" t="str">
        <f ca="1">IFERROR(__xludf.DUMMYFUNCTION("""COMPUTED_VALUE"""),"Hora Silenciosa")</f>
        <v>Hora Silenciosa</v>
      </c>
      <c r="K153" s="1" t="str">
        <f ca="1">IFERROR(__xludf.DUMMYFUNCTION("""COMPUTED_VALUE"""),"IGLESIA CRISTIANA DE SAN JUAN IXTAYOPAN")</f>
        <v>IGLESIA CRISTIANA DE SAN JUAN IXTAYOPAN</v>
      </c>
      <c r="L153" s="1" t="str">
        <f ca="1">IFERROR(__xludf.DUMMYFUNCTION("""COMPUTED_VALUE"""),"Pedro Rojas")</f>
        <v>Pedro Rojas</v>
      </c>
      <c r="M153" s="1">
        <f ca="1">IFERROR(__xludf.DUMMYFUNCTION("""COMPUTED_VALUE"""),525535075750)</f>
        <v>525535075750</v>
      </c>
      <c r="N153" s="1" t="str">
        <f ca="1">IFERROR(__xludf.DUMMYFUNCTION("""COMPUTED_VALUE"""),"Pedroclasic@gmail.com")</f>
        <v>Pedroclasic@gmail.com</v>
      </c>
      <c r="O153" s="1" t="str">
        <f ca="1">IFERROR(__xludf.DUMMYFUNCTION("""COMPUTED_VALUE"""),"Servidor")</f>
        <v>Servidor</v>
      </c>
      <c r="P153" s="1" t="str">
        <f ca="1">IFERROR(__xludf.DUMMYFUNCTION("""COMPUTED_VALUE"""),"Pues pase por muchas cosas desde chico he crecido en una familia cristiana uno un momento de mi adolescencia en el que me separó de Dios, me junto con personas que no hasta que pasan muchas cosas y me arrepiento y le pido perdón a Dios de corazón y Dios m"&amp;"e estaba esperando con los brazos abiertos")</f>
        <v>Pues pase por muchas cosas desde chico he crecido en una familia cristiana uno un momento de mi adolescencia en el que me separó de Dios, me junto con personas que no hasta que pasan muchas cosas y me arrepiento y le pido perdón a Dios de corazón y Dios me estaba esperando con los brazos abiertos</v>
      </c>
      <c r="Q153" s="1" t="str">
        <f ca="1">IFERROR(__xludf.DUMMYFUNCTION("""COMPUTED_VALUE"""),"Pues me gusta ayudar, participar y me gustaría hablarle a los demás y contarles lo que me pasó y que se den cuenta que tenemos un Dios muy grande.")</f>
        <v>Pues me gusta ayudar, participar y me gustaría hablarle a los demás y contarles lo que me pasó y que se den cuenta que tenemos un Dios muy grande.</v>
      </c>
      <c r="R153" s="1" t="str">
        <f ca="1">IFERROR(__xludf.DUMMYFUNCTION("""COMPUTED_VALUE"""),"Si")</f>
        <v>Si</v>
      </c>
      <c r="S153" s="1" t="str">
        <f ca="1">IFERROR(__xludf.DUMMYFUNCTION("""COMPUTED_VALUE"""),"Futbol, frontón, básquet")</f>
        <v>Futbol, frontón, básquet</v>
      </c>
      <c r="T153" s="1" t="str">
        <f ca="1">IFERROR(__xludf.DUMMYFUNCTION("""COMPUTED_VALUE"""),"No")</f>
        <v>No</v>
      </c>
      <c r="U153" s="1"/>
      <c r="V153" s="1" t="str">
        <f ca="1">IFERROR(__xludf.DUMMYFUNCTION("""COMPUTED_VALUE"""),"Termine la prepa, voy entrar a la universidad")</f>
        <v>Termine la prepa, voy entrar a la universidad</v>
      </c>
      <c r="W153" s="1" t="str">
        <f ca="1">IFERROR(__xludf.DUMMYFUNCTION("""COMPUTED_VALUE"""),"Electricidad")</f>
        <v>Electricidad</v>
      </c>
      <c r="X153" s="1" t="str">
        <f ca="1">IFERROR(__xludf.DUMMYFUNCTION("""COMPUTED_VALUE"""),"B. Me gusta animar a las personas, D. Me gustan los deportes, F. Soy eficiente en el trabajo con herramientas, equipos y maquinarias, I. Se me facilita el trabajo físico, K. Soy creativo (a)")</f>
        <v>B. Me gusta animar a las personas, D. Me gustan los deportes, F. Soy eficiente en el trabajo con herramientas, equipos y maquinarias, I. Se me facilita el trabajo físico, K. Soy creativo (a)</v>
      </c>
      <c r="Y153" s="1" t="str">
        <f ca="1">IFERROR(__xludf.DUMMYFUNCTION("""COMPUTED_VALUE"""),"Si, ya van 6 años seguidos")</f>
        <v>Si, ya van 6 años seguidos</v>
      </c>
      <c r="Z153" s="1"/>
    </row>
    <row r="154" spans="1:26" x14ac:dyDescent="0.35">
      <c r="A154" s="2">
        <f ca="1">IFERROR(__xludf.DUMMYFUNCTION("""COMPUTED_VALUE"""),45838.9996759259)</f>
        <v>45838.999675925901</v>
      </c>
      <c r="B154" s="1"/>
      <c r="C154" s="1" t="str">
        <f ca="1">IFERROR(__xludf.DUMMYFUNCTION("""COMPUTED_VALUE"""),"Haliel, Pichardo Jaime")</f>
        <v>Haliel, Pichardo Jaime</v>
      </c>
      <c r="D154" s="1">
        <f ca="1">IFERROR(__xludf.DUMMYFUNCTION("""COMPUTED_VALUE"""),23)</f>
        <v>23</v>
      </c>
      <c r="E154" s="1" t="str">
        <f ca="1">IFERROR(__xludf.DUMMYFUNCTION("""COMPUTED_VALUE"""),"Mujer")</f>
        <v>Mujer</v>
      </c>
      <c r="F154" s="1" t="str">
        <f ca="1">IFERROR(__xludf.DUMMYFUNCTION("""COMPUTED_VALUE"""),"Mexico City, Mexico")</f>
        <v>Mexico City, Mexico</v>
      </c>
      <c r="G154" s="1" t="str">
        <f ca="1">IFERROR(__xludf.DUMMYFUNCTION("""COMPUTED_VALUE"""),"haliel@live.com")</f>
        <v>haliel@live.com</v>
      </c>
      <c r="H154" s="1">
        <f ca="1">IFERROR(__xludf.DUMMYFUNCTION("""COMPUTED_VALUE"""),525573365872)</f>
        <v>525573365872</v>
      </c>
      <c r="I154" s="1" t="str">
        <f ca="1">IFERROR(__xludf.DUMMYFUNCTION("""COMPUTED_VALUE"""),"Comunidad Jóvenes + 18 (14-19) Julio")</f>
        <v>Comunidad Jóvenes + 18 (14-19) Julio</v>
      </c>
      <c r="J154" s="1" t="str">
        <f ca="1">IFERROR(__xludf.DUMMYFUNCTION("""COMPUTED_VALUE"""),"No sigo un devocional estructurado. Lo que hago es leer la Biblia en orden y escribo en un cuaderno lo que Dios me va hablando")</f>
        <v>No sigo un devocional estructurado. Lo que hago es leer la Biblia en orden y escribo en un cuaderno lo que Dios me va hablando</v>
      </c>
      <c r="K154" s="1" t="str">
        <f ca="1">IFERROR(__xludf.DUMMYFUNCTION("""COMPUTED_VALUE"""),"Iglesia Bautista Vida Nueva")</f>
        <v>Iglesia Bautista Vida Nueva</v>
      </c>
      <c r="L154" s="1" t="str">
        <f ca="1">IFERROR(__xludf.DUMMYFUNCTION("""COMPUTED_VALUE"""),"Ricardo Pichardo")</f>
        <v>Ricardo Pichardo</v>
      </c>
      <c r="M154" s="1">
        <f ca="1">IFERROR(__xludf.DUMMYFUNCTION("""COMPUTED_VALUE"""),525523155872)</f>
        <v>525523155872</v>
      </c>
      <c r="N154" s="1" t="str">
        <f ca="1">IFERROR(__xludf.DUMMYFUNCTION("""COMPUTED_VALUE"""),"rickpichardo@hotmail.com")</f>
        <v>rickpichardo@hotmail.com</v>
      </c>
      <c r="O154" s="1" t="str">
        <f ca="1">IFERROR(__xludf.DUMMYFUNCTION("""COMPUTED_VALUE"""),"Multimedias y apoyo en la organización de reuniones o eventos")</f>
        <v>Multimedias y apoyo en la organización de reuniones o eventos</v>
      </c>
      <c r="P154" s="1" t="str">
        <f ca="1">IFERROR(__xludf.DUMMYFUNCTION("""COMPUTED_VALUE"""),"Desde pequeña he asistido a la iglesia pero fue hasta los 12 años que realmente entendí el sacrificio de Jesús por nosotros y decidí entregarle mi vida y ser bautizada. Desde entonces ha sido una vida de muchos retos y pruebas pero siempre con la certeza "&amp;"de que el Espíritu Santo vive en mi y me convence de pecado y que nada me puede separar del amor de Dios.")</f>
        <v>Desde pequeña he asistido a la iglesia pero fue hasta los 12 años que realmente entendí el sacrificio de Jesús por nosotros y decidí entregarle mi vida y ser bautizada. Desde entonces ha sido una vida de muchos retos y pruebas pero siempre con la certeza de que el Espíritu Santo vive en mi y me convence de pecado y que nada me puede separar del amor de Dios.</v>
      </c>
      <c r="Q154" s="1" t="str">
        <f ca="1">IFERROR(__xludf.DUMMYFUNCTION("""COMPUTED_VALUE"""),"Porque es una oportunidad de poner mis habilidades al servicio de Dios y de los demás y de seguir creciendo espiritualmente al estar rodeada de una comunidad cristiana, aprendiendo de otros y creando lazos que edifican.")</f>
        <v>Porque es una oportunidad de poner mis habilidades al servicio de Dios y de los demás y de seguir creciendo espiritualmente al estar rodeada de una comunidad cristiana, aprendiendo de otros y creando lazos que edifican.</v>
      </c>
      <c r="R154" s="1" t="str">
        <f ca="1">IFERROR(__xludf.DUMMYFUNCTION("""COMPUTED_VALUE"""),"No")</f>
        <v>No</v>
      </c>
      <c r="S154" s="1"/>
      <c r="T154" s="1" t="str">
        <f ca="1">IFERROR(__xludf.DUMMYFUNCTION("""COMPUTED_VALUE"""),"No")</f>
        <v>No</v>
      </c>
      <c r="U154" s="1"/>
      <c r="V154" s="1" t="str">
        <f ca="1">IFERROR(__xludf.DUMMYFUNCTION("""COMPUTED_VALUE"""),"Estudié Contaduría Pública y Finanzas")</f>
        <v>Estudié Contaduría Pública y Finanzas</v>
      </c>
      <c r="W154" s="1" t="str">
        <f ca="1">IFERROR(__xludf.DUMMYFUNCTION("""COMPUTED_VALUE"""),"Soy buena con los números y las cuentas, con la actividad física, los deportes específicamente voley y fut, y las manualidades o decoraciones.")</f>
        <v>Soy buena con los números y las cuentas, con la actividad física, los deportes específicamente voley y fut, y las manualidades o decoraciones.</v>
      </c>
      <c r="X154" s="1" t="str">
        <f ca="1">IFERROR(__xludf.DUMMYFUNCTION("""COMPUTED_VALUE"""),"A. Soy un discipulador activo, C. Suelo buscar que el trabajo se realice en equipo, D. Me gustan los deportes, I. Se me facilita el trabajo físico, M. Soy bueno (a) con los números")</f>
        <v>A. Soy un discipulador activo, C. Suelo buscar que el trabajo se realice en equipo, D. Me gustan los deportes, I. Se me facilita el trabajo físico, M. Soy bueno (a) con los números</v>
      </c>
      <c r="Y154" s="1" t="str">
        <f ca="1">IFERROR(__xludf.DUMMYFUNCTION("""COMPUTED_VALUE"""),"Si, en 2018, 2019 y 2022")</f>
        <v>Si, en 2018, 2019 y 2022</v>
      </c>
      <c r="Z154" s="1"/>
    </row>
    <row r="155" spans="1:26" x14ac:dyDescent="0.35">
      <c r="A155" s="3">
        <f ca="1">IFERROR(__xludf.DUMMYFUNCTION("""COMPUTED_VALUE"""),45839.0174537037)</f>
        <v>45839.017453703702</v>
      </c>
      <c r="B155" s="1"/>
      <c r="C155" s="1" t="str">
        <f ca="1">IFERROR(__xludf.DUMMYFUNCTION("""COMPUTED_VALUE"""),"Franco Daniel, Zamora Ortega")</f>
        <v>Franco Daniel, Zamora Ortega</v>
      </c>
      <c r="D155" s="1">
        <f ca="1">IFERROR(__xludf.DUMMYFUNCTION("""COMPUTED_VALUE"""),17)</f>
        <v>17</v>
      </c>
      <c r="E155" s="1" t="str">
        <f ca="1">IFERROR(__xludf.DUMMYFUNCTION("""COMPUTED_VALUE"""),"Hombre")</f>
        <v>Hombre</v>
      </c>
      <c r="F155" s="1" t="str">
        <f ca="1">IFERROR(__xludf.DUMMYFUNCTION("""COMPUTED_VALUE"""),"Queretaro, Mexico")</f>
        <v>Queretaro, Mexico</v>
      </c>
      <c r="G155" s="1" t="str">
        <f ca="1">IFERROR(__xludf.DUMMYFUNCTION("""COMPUTED_VALUE"""),"f.danizamora@gmail.com")</f>
        <v>f.danizamora@gmail.com</v>
      </c>
      <c r="H155" s="1">
        <f ca="1">IFERROR(__xludf.DUMMYFUNCTION("""COMPUTED_VALUE"""),524425718399)</f>
        <v>524425718399</v>
      </c>
      <c r="I155" s="1" t="str">
        <f ca="1">IFERROR(__xludf.DUMMYFUNCTION("""COMPUTED_VALUE"""),"Jóvenes de 13 – 17 años / SEM1/ (28 Julio a 02 de agosto), Jóvenes de 13 – 17 años / SEM2/ (4 - 09 agosto)")</f>
        <v>Jóvenes de 13 – 17 años / SEM1/ (28 Julio a 02 de agosto), Jóvenes de 13 – 17 años / SEM2/ (4 - 09 agosto)</v>
      </c>
      <c r="J155" s="1" t="str">
        <f ca="1">IFERROR(__xludf.DUMMYFUNCTION("""COMPUTED_VALUE"""),"Mi Biblia")</f>
        <v>Mi Biblia</v>
      </c>
      <c r="K155" s="1" t="str">
        <f ca="1">IFERROR(__xludf.DUMMYFUNCTION("""COMPUTED_VALUE"""),"MásCristo")</f>
        <v>MásCristo</v>
      </c>
      <c r="L155" s="1" t="str">
        <f ca="1">IFERROR(__xludf.DUMMYFUNCTION("""COMPUTED_VALUE"""),"Marcelino Muñoz")</f>
        <v>Marcelino Muñoz</v>
      </c>
      <c r="M155" s="1">
        <f ca="1">IFERROR(__xludf.DUMMYFUNCTION("""COMPUTED_VALUE"""),524426087048)</f>
        <v>524426087048</v>
      </c>
      <c r="N155" s="1" t="str">
        <f ca="1">IFERROR(__xludf.DUMMYFUNCTION("""COMPUTED_VALUE"""),"marce@cristoesmejor.com")</f>
        <v>marce@cristoesmejor.com</v>
      </c>
      <c r="O155" s="1" t="str">
        <f ca="1">IFERROR(__xludf.DUMMYFUNCTION("""COMPUTED_VALUE"""),"Iglesia de Niños")</f>
        <v>Iglesia de Niños</v>
      </c>
      <c r="P155" s="1" t="str">
        <f ca="1">IFERROR(__xludf.DUMMYFUNCTION("""COMPUTED_VALUE"""),"Vengo de una familia rota, con papás divorciados, y con un corazón que alguna vez estuvo perdido en distintas cosas, pecados, y buscar en lugares algo que solo Dios me puede dar. Ahora puedo decir que a pesar de que mi familia sigue rota, mi corazón está "&amp;"siendo sanado por Él, y puedo ver la diferencia de cómo yo era antes, y quien está haciendo Dios de mi ahora, aunque a veces me cuesta. Estoy en proceso de poder deleitarme en Él cada vez más:).")</f>
        <v>Vengo de una familia rota, con papás divorciados, y con un corazón que alguna vez estuvo perdido en distintas cosas, pecados, y buscar en lugares algo que solo Dios me puede dar. Ahora puedo decir que a pesar de que mi familia sigue rota, mi corazón está siendo sanado por Él, y puedo ver la diferencia de cómo yo era antes, y quien está haciendo Dios de mi ahora, aunque a veces me cuesta. Estoy en proceso de poder deleitarme en Él cada vez más:).</v>
      </c>
      <c r="Q155" s="1" t="str">
        <f ca="1">IFERROR(__xludf.DUMMYFUNCTION("""COMPUTED_VALUE"""),"Quiero servir:). Me encanta el poder estar allá sirviendo casi todo mi día y estar activo en ello. Quiero servir a los camperos en lugar deser servido como campero este año:). Quiero mostrar el amor de Cristo también así.")</f>
        <v>Quiero servir:). Me encanta el poder estar allá sirviendo casi todo mi día y estar activo en ello. Quiero servir a los camperos en lugar deser servido como campero este año:). Quiero mostrar el amor de Cristo también así.</v>
      </c>
      <c r="R155" s="1" t="str">
        <f ca="1">IFERROR(__xludf.DUMMYFUNCTION("""COMPUTED_VALUE"""),"Si")</f>
        <v>Si</v>
      </c>
      <c r="S155" s="1" t="str">
        <f ca="1">IFERROR(__xludf.DUMMYFUNCTION("""COMPUTED_VALUE"""),"Basket, pero recientemente cambié a Tocho")</f>
        <v>Basket, pero recientemente cambié a Tocho</v>
      </c>
      <c r="T155" s="1" t="str">
        <f ca="1">IFERROR(__xludf.DUMMYFUNCTION("""COMPUTED_VALUE"""),"Si")</f>
        <v>Si</v>
      </c>
      <c r="U155" s="1" t="str">
        <f ca="1">IFERROR(__xludf.DUMMYFUNCTION("""COMPUTED_VALUE"""),"Guitarra, pero no soy tan experimentado")</f>
        <v>Guitarra, pero no soy tan experimentado</v>
      </c>
      <c r="V155" s="1" t="str">
        <f ca="1">IFERROR(__xludf.DUMMYFUNCTION("""COMPUTED_VALUE"""),"Preparatoria")</f>
        <v>Preparatoria</v>
      </c>
      <c r="W155" s="1" t="str">
        <f ca="1">IFERROR(__xludf.DUMMYFUNCTION("""COMPUTED_VALUE"""),"Aprendo rápido, me gusta servir y estar activo en ello, me gusta escuchar a la gente, soy empático, atlético, creativo, y sociable")</f>
        <v>Aprendo rápido, me gusta servir y estar activo en ello, me gusta escuchar a la gente, soy empático, atlético, creativo, y sociable</v>
      </c>
      <c r="X155" s="1" t="str">
        <f ca="1">IFERROR(__xludf.DUMMYFUNCTION("""COMPUTED_VALUE"""),"B. Me gusta animar a las personas, D. Me gustan los deportes, E. Me gusta el trabajo con niños, I. Se me facilita el trabajo físico, J. Me gusta la atención a las personas, K. Soy creativo (a)")</f>
        <v>B. Me gusta animar a las personas, D. Me gustan los deportes, E. Me gusta el trabajo con niños, I. Se me facilita el trabajo físico, J. Me gusta la atención a las personas, K. Soy creativo (a)</v>
      </c>
      <c r="Y155" s="1" t="str">
        <f ca="1">IFERROR(__xludf.DUMMYFUNCTION("""COMPUTED_VALUE"""),"Si, en las temporadas de 2023 y 2024")</f>
        <v>Si, en las temporadas de 2023 y 2024</v>
      </c>
      <c r="Z155" s="1"/>
    </row>
    <row r="156" spans="1:26" x14ac:dyDescent="0.35">
      <c r="A156" s="3">
        <f ca="1">IFERROR(__xludf.DUMMYFUNCTION("""COMPUTED_VALUE"""),45839.529375)</f>
        <v>45839.529374999998</v>
      </c>
      <c r="B156" s="1"/>
      <c r="C156" s="1" t="str">
        <f ca="1">IFERROR(__xludf.DUMMYFUNCTION("""COMPUTED_VALUE"""),"Yael Emiliano, Alvarez Avila")</f>
        <v>Yael Emiliano, Alvarez Avila</v>
      </c>
      <c r="D156" s="1">
        <f ca="1">IFERROR(__xludf.DUMMYFUNCTION("""COMPUTED_VALUE"""),15)</f>
        <v>15</v>
      </c>
      <c r="E156" s="1" t="str">
        <f ca="1">IFERROR(__xludf.DUMMYFUNCTION("""COMPUTED_VALUE"""),"Hombre")</f>
        <v>Hombre</v>
      </c>
      <c r="F156" s="1" t="str">
        <f ca="1">IFERROR(__xludf.DUMMYFUNCTION("""COMPUTED_VALUE"""),"Queretaro, Mexico")</f>
        <v>Queretaro, Mexico</v>
      </c>
      <c r="G156" s="1" t="str">
        <f ca="1">IFERROR(__xludf.DUMMYFUNCTION("""COMPUTED_VALUE"""),"yaelalvarez1207@gmail.com")</f>
        <v>yaelalvarez1207@gmail.com</v>
      </c>
      <c r="H156" s="1">
        <f ca="1">IFERROR(__xludf.DUMMYFUNCTION("""COMPUTED_VALUE"""),525611908835)</f>
        <v>525611908835</v>
      </c>
      <c r="I156" s="1" t="str">
        <f ca="1">IFERROR(__xludf.DUMMYFUNCTION("""COMPUTED_VALUE"""),"Comunidad Jóvenes + 18 (14-19) Julio, Semana de niños y niñas (21-25) Julio")</f>
        <v>Comunidad Jóvenes + 18 (14-19) Julio, Semana de niños y niñas (21-25) Julio</v>
      </c>
      <c r="J156" s="1" t="str">
        <f ca="1">IFERROR(__xludf.DUMMYFUNCTION("""COMPUTED_VALUE"""),"Quiet time")</f>
        <v>Quiet time</v>
      </c>
      <c r="K156" s="1" t="str">
        <f ca="1">IFERROR(__xludf.DUMMYFUNCTION("""COMPUTED_VALUE"""),"Vida nueva para el mundo Querétaro")</f>
        <v>Vida nueva para el mundo Querétaro</v>
      </c>
      <c r="L156" s="1" t="str">
        <f ca="1">IFERROR(__xludf.DUMMYFUNCTION("""COMPUTED_VALUE"""),"David Alducin")</f>
        <v>David Alducin</v>
      </c>
      <c r="M156" s="1">
        <f ca="1">IFERROR(__xludf.DUMMYFUNCTION("""COMPUTED_VALUE"""),527229808024)</f>
        <v>527229808024</v>
      </c>
      <c r="N156" s="1" t="str">
        <f ca="1">IFERROR(__xludf.DUMMYFUNCTION("""COMPUTED_VALUE"""),"davealducin@gmail.com")</f>
        <v>davealducin@gmail.com</v>
      </c>
      <c r="O156" s="1" t="str">
        <f ca="1">IFERROR(__xludf.DUMMYFUNCTION("""COMPUTED_VALUE"""),"No tengo un ministerio actualmente")</f>
        <v>No tengo un ministerio actualmente</v>
      </c>
      <c r="P156" s="1" t="str">
        <f ca="1">IFERROR(__xludf.DUMMYFUNCTION("""COMPUTED_VALUE"""),"Mi abuela oro durante mucho tiempo para que mi familia pudiera conocer de Dios,un domingo llevamos a mi abuela a la congregación y nos quedamos con ella al servicio y así empezamos a ir cada domingo a la congregación y conocer de Dios")</f>
        <v>Mi abuela oro durante mucho tiempo para que mi familia pudiera conocer de Dios,un domingo llevamos a mi abuela a la congregación y nos quedamos con ella al servicio y así empezamos a ir cada domingo a la congregación y conocer de Dios</v>
      </c>
      <c r="Q156" s="1" t="str">
        <f ca="1">IFERROR(__xludf.DUMMYFUNCTION("""COMPUTED_VALUE"""),"Me gustaría ayudar a que más personas puedan conocer de Dios y ayudar en lo que yo pueda para que esto se cumpla")</f>
        <v>Me gustaría ayudar a que más personas puedan conocer de Dios y ayudar en lo que yo pueda para que esto se cumpla</v>
      </c>
      <c r="R156" s="1" t="str">
        <f ca="1">IFERROR(__xludf.DUMMYFUNCTION("""COMPUTED_VALUE"""),"Si")</f>
        <v>Si</v>
      </c>
      <c r="S156" s="1" t="str">
        <f ca="1">IFERROR(__xludf.DUMMYFUNCTION("""COMPUTED_VALUE"""),"Esgrima y futbol")</f>
        <v>Esgrima y futbol</v>
      </c>
      <c r="T156" s="1" t="str">
        <f ca="1">IFERROR(__xludf.DUMMYFUNCTION("""COMPUTED_VALUE"""),"No")</f>
        <v>No</v>
      </c>
      <c r="U156" s="1"/>
      <c r="V156" s="1" t="str">
        <f ca="1">IFERROR(__xludf.DUMMYFUNCTION("""COMPUTED_VALUE"""),"La preparatoria")</f>
        <v>La preparatoria</v>
      </c>
      <c r="W156" s="1" t="str">
        <f ca="1">IFERROR(__xludf.DUMMYFUNCTION("""COMPUTED_VALUE"""),"Habilidades deportivas")</f>
        <v>Habilidades deportivas</v>
      </c>
      <c r="X156" s="1" t="str">
        <f ca="1">IFERROR(__xludf.DUMMYFUNCTION("""COMPUTED_VALUE"""),"B. Me gusta animar a las personas, D. Me gustan los deportes, G. Soy más eficiente en el trabajo individual, I. Se me facilita el trabajo físico, N. Suelo llevar el liderazgo en un grupo")</f>
        <v>B. Me gusta animar a las personas, D. Me gustan los deportes, G. Soy más eficiente en el trabajo individual, I. Se me facilita el trabajo físico, N. Suelo llevar el liderazgo en un grupo</v>
      </c>
      <c r="Y156" s="1" t="str">
        <f ca="1">IFERROR(__xludf.DUMMYFUNCTION("""COMPUTED_VALUE"""),"2019,2022,2023")</f>
        <v>2019,2022,2023</v>
      </c>
      <c r="Z156" s="1"/>
    </row>
    <row r="157" spans="1:26" x14ac:dyDescent="0.35">
      <c r="A157" s="3">
        <f ca="1">IFERROR(__xludf.DUMMYFUNCTION("""COMPUTED_VALUE"""),45839.5409259259)</f>
        <v>45839.540925925903</v>
      </c>
      <c r="B157" s="1"/>
      <c r="C157" s="1" t="str">
        <f ca="1">IFERROR(__xludf.DUMMYFUNCTION("""COMPUTED_VALUE"""),"Alexa, Pérez Reséndiz")</f>
        <v>Alexa, Pérez Reséndiz</v>
      </c>
      <c r="D157" s="1">
        <f ca="1">IFERROR(__xludf.DUMMYFUNCTION("""COMPUTED_VALUE"""),17)</f>
        <v>17</v>
      </c>
      <c r="E157" s="1" t="str">
        <f ca="1">IFERROR(__xludf.DUMMYFUNCTION("""COMPUTED_VALUE"""),"Mujer")</f>
        <v>Mujer</v>
      </c>
      <c r="F157" s="1" t="str">
        <f ca="1">IFERROR(__xludf.DUMMYFUNCTION("""COMPUTED_VALUE"""),"Queretaro, Mexico")</f>
        <v>Queretaro, Mexico</v>
      </c>
      <c r="G157" s="1" t="str">
        <f ca="1">IFERROR(__xludf.DUMMYFUNCTION("""COMPUTED_VALUE"""),"lovecanada090718@gmail.com")</f>
        <v>lovecanada090718@gmail.com</v>
      </c>
      <c r="H157" s="1">
        <f ca="1">IFERROR(__xludf.DUMMYFUNCTION("""COMPUTED_VALUE"""),524272015004)</f>
        <v>524272015004</v>
      </c>
      <c r="I157" s="1" t="str">
        <f ca="1">IFERROR(__xludf.DUMMYFUNCTION("""COMPUTED_VALUE"""),"Comunidad Jóvenes + 18 (14-19) Julio, Jóvenes de 13 – 17 años / SEM2/ (4 - 09 agosto)")</f>
        <v>Comunidad Jóvenes + 18 (14-19) Julio, Jóvenes de 13 – 17 años / SEM2/ (4 - 09 agosto)</v>
      </c>
      <c r="J157" s="1" t="str">
        <f ca="1">IFERROR(__xludf.DUMMYFUNCTION("""COMPUTED_VALUE"""),"Holy Bible")</f>
        <v>Holy Bible</v>
      </c>
      <c r="K157" s="1" t="str">
        <f ca="1">IFERROR(__xludf.DUMMYFUNCTION("""COMPUTED_VALUE"""),"Más vida Qro")</f>
        <v>Más vida Qro</v>
      </c>
      <c r="L157" s="1" t="str">
        <f ca="1">IFERROR(__xludf.DUMMYFUNCTION("""COMPUTED_VALUE"""),"Andrés Spyker")</f>
        <v>Andrés Spyker</v>
      </c>
      <c r="M157" s="1">
        <f ca="1">IFERROR(__xludf.DUMMYFUNCTION("""COMPUTED_VALUE"""),524271521253)</f>
        <v>524271521253</v>
      </c>
      <c r="N157" s="1" t="str">
        <f ca="1">IFERROR(__xludf.DUMMYFUNCTION("""COMPUTED_VALUE"""),"jasy2087@gmail.com")</f>
        <v>jasy2087@gmail.com</v>
      </c>
      <c r="O157" s="1" t="str">
        <f ca="1">IFERROR(__xludf.DUMMYFUNCTION("""COMPUTED_VALUE"""),"Ayudo en producción recogiendo equipo")</f>
        <v>Ayudo en producción recogiendo equipo</v>
      </c>
      <c r="P157" s="1" t="str">
        <f ca="1">IFERROR(__xludf.DUMMYFUNCTION("""COMPUTED_VALUE"""),"Nací prácticamente en cuna cristiana , mis papás me enseñaban de la biblia desde muy chica . yo lo entendí después del campamento del 2022 , y a mis 14 años el 6 de septiembre del 2022 me convertí en Cristiana , entendí que  él es el creador y que soy una"&amp;" pecadora que lo necesita.")</f>
        <v>Nací prácticamente en cuna cristiana , mis papás me enseñaban de la biblia desde muy chica . yo lo entendí después del campamento del 2022 , y a mis 14 años el 6 de septiembre del 2022 me convertí en Cristiana , entendí que  él es el creador y que soy una pecadora que lo necesita.</v>
      </c>
      <c r="Q157" s="1" t="str">
        <f ca="1">IFERROR(__xludf.DUMMYFUNCTION("""COMPUTED_VALUE"""),"Me gustaría decir al Señor en esas dos semanas porque sé que cada párate del cuerpo de Cristo cuenta , y aunque  sea algo pequeña mi aportación sé que muchas pequeñas aportaciones hacen algo grande .Me encantaría seguir aprendiendo de él y conocer gente n"&amp;"ueva .")</f>
        <v>Me gustaría decir al Señor en esas dos semanas porque sé que cada párate del cuerpo de Cristo cuenta , y aunque  sea algo pequeña mi aportación sé que muchas pequeñas aportaciones hacen algo grande .Me encantaría seguir aprendiendo de él y conocer gente nueva .</v>
      </c>
      <c r="R157" s="1" t="str">
        <f ca="1">IFERROR(__xludf.DUMMYFUNCTION("""COMPUTED_VALUE"""),"Si")</f>
        <v>Si</v>
      </c>
      <c r="S157" s="1" t="str">
        <f ca="1">IFERROR(__xludf.DUMMYFUNCTION("""COMPUTED_VALUE"""),"Voy al gimnasio se pádel , Tennis")</f>
        <v>Voy al gimnasio se pádel , Tennis</v>
      </c>
      <c r="T157" s="1" t="str">
        <f ca="1">IFERROR(__xludf.DUMMYFUNCTION("""COMPUTED_VALUE"""),"No")</f>
        <v>No</v>
      </c>
      <c r="U157" s="1"/>
      <c r="V157" s="1" t="str">
        <f ca="1">IFERROR(__xludf.DUMMYFUNCTION("""COMPUTED_VALUE"""),"Estoy en 5 semestre")</f>
        <v>Estoy en 5 semestre</v>
      </c>
      <c r="W157" s="1" t="str">
        <f ca="1">IFERROR(__xludf.DUMMYFUNCTION("""COMPUTED_VALUE"""),"Soy buena en las ventas , también organizando ,  , me gusta la actividad física y la cocina")</f>
        <v>Soy buena en las ventas , también organizando ,  , me gusta la actividad física y la cocina</v>
      </c>
      <c r="X157" s="1" t="str">
        <f ca="1">IFERROR(__xludf.DUMMYFUNCTION("""COMPUTED_VALUE"""),"B. Me gusta animar a las personas, C. Suelo buscar que el trabajo se realice en equipo, D. Me gustan los deportes, H. Soy organizado (a), I. Se me facilita el trabajo físico, J. Me gusta la atención a las personas, K. Soy creativo (a), N. Suelo llevar el "&amp;"liderazgo en un grupo")</f>
        <v>B. Me gusta animar a las personas, C. Suelo buscar que el trabajo se realice en equipo, D. Me gustan los deportes, H. Soy organizado (a), I. Se me facilita el trabajo físico, J. Me gusta la atención a las personas, K. Soy creativo (a), N. Suelo llevar el liderazgo en un grupo</v>
      </c>
      <c r="Y157" s="1" t="str">
        <f ca="1">IFERROR(__xludf.DUMMYFUNCTION("""COMPUTED_VALUE"""),"Estuve en el 2014,2019,2022,2023,2024")</f>
        <v>Estuve en el 2014,2019,2022,2023,2024</v>
      </c>
      <c r="Z157" s="1"/>
    </row>
    <row r="158" spans="1:26" x14ac:dyDescent="0.35">
      <c r="A158" s="3">
        <f ca="1">IFERROR(__xludf.DUMMYFUNCTION("""COMPUTED_VALUE"""),45839.5452314814)</f>
        <v>45839.545231481403</v>
      </c>
      <c r="B158" s="1"/>
      <c r="C158" s="1" t="str">
        <f ca="1">IFERROR(__xludf.DUMMYFUNCTION("""COMPUTED_VALUE"""),"Keren Zoe, Hernandez Palacio")</f>
        <v>Keren Zoe, Hernandez Palacio</v>
      </c>
      <c r="D158" s="1">
        <f ca="1">IFERROR(__xludf.DUMMYFUNCTION("""COMPUTED_VALUE"""),18)</f>
        <v>18</v>
      </c>
      <c r="E158" s="1" t="str">
        <f ca="1">IFERROR(__xludf.DUMMYFUNCTION("""COMPUTED_VALUE"""),"Mujer")</f>
        <v>Mujer</v>
      </c>
      <c r="F158" s="1" t="str">
        <f ca="1">IFERROR(__xludf.DUMMYFUNCTION("""COMPUTED_VALUE"""),"Aguascalientes, Mexico")</f>
        <v>Aguascalientes, Mexico</v>
      </c>
      <c r="G158" s="1" t="str">
        <f ca="1">IFERROR(__xludf.DUMMYFUNCTION("""COMPUTED_VALUE"""),"hkerenzoe@gmail.com")</f>
        <v>hkerenzoe@gmail.com</v>
      </c>
      <c r="H158" s="1">
        <f ca="1">IFERROR(__xludf.DUMMYFUNCTION("""COMPUTED_VALUE"""),524495439150)</f>
        <v>524495439150</v>
      </c>
      <c r="I158" s="1" t="str">
        <f ca="1">IFERROR(__xludf.DUMMYFUNCTION("""COMPUTED_VALUE"""),"Semana de entrenamiento (07 - 13) Julio, Comunidad Jóvenes + 18 (14-19) Julio, Semana de niños y niñas (21-25) Julio, Jóvenes de 13 – 17 años / SEM1/ (28 Julio a 02 de agosto), Jóvenes de 13 – 17 años / SEM2/ (4 - 09 agosto)")</f>
        <v>Semana de entrenamiento (07 - 13) Julio, Comunidad Jóvenes + 18 (14-19) Julio, Semana de niños y niñas (21-25) Julio, Jóvenes de 13 – 17 años / SEM1/ (28 Julio a 02 de agosto), Jóvenes de 13 – 17 años / SEM2/ (4 - 09 agosto)</v>
      </c>
      <c r="J158" s="1" t="str">
        <f ca="1">IFERROR(__xludf.DUMMYFUNCTION("""COMPUTED_VALUE"""),"Nuevas misericordias cada mañana")</f>
        <v>Nuevas misericordias cada mañana</v>
      </c>
      <c r="K158" s="1" t="str">
        <f ca="1">IFERROR(__xludf.DUMMYFUNCTION("""COMPUTED_VALUE"""),"Iglesia bíblica cristiana")</f>
        <v>Iglesia bíblica cristiana</v>
      </c>
      <c r="L158" s="1" t="str">
        <f ca="1">IFERROR(__xludf.DUMMYFUNCTION("""COMPUTED_VALUE"""),"Salvador gonzalez")</f>
        <v>Salvador gonzalez</v>
      </c>
      <c r="M158" s="1">
        <f ca="1">IFERROR(__xludf.DUMMYFUNCTION("""COMPUTED_VALUE"""),524427508803)</f>
        <v>524427508803</v>
      </c>
      <c r="N158" s="1" t="str">
        <f ca="1">IFERROR(__xludf.DUMMYFUNCTION("""COMPUTED_VALUE"""),"siervos.ibc.2018@gmail.com")</f>
        <v>siervos.ibc.2018@gmail.com</v>
      </c>
      <c r="O158" s="1" t="str">
        <f ca="1">IFERROR(__xludf.DUMMYFUNCTION("""COMPUTED_VALUE"""),"Por ahora ninguno")</f>
        <v>Por ahora ninguno</v>
      </c>
      <c r="P158" s="1" t="str">
        <f ca="1">IFERROR(__xludf.DUMMYFUNCTION("""COMPUTED_VALUE"""),"Me convertí en creyente a los 10 años en la iglesia de Guadalajara actualmente recientemente me mude a vivir a Aguas calientes")</f>
        <v>Me convertí en creyente a los 10 años en la iglesia de Guadalajara actualmente recientemente me mude a vivir a Aguas calientes</v>
      </c>
      <c r="Q158" s="1" t="str">
        <f ca="1">IFERROR(__xludf.DUMMYFUNCTION("""COMPUTED_VALUE"""),"Porque quiero servir, y conocer mas de cristo y relacionarme con personas que me va a alentar a seguirlo")</f>
        <v>Porque quiero servir, y conocer mas de cristo y relacionarme con personas que me va a alentar a seguirlo</v>
      </c>
      <c r="R158" s="1" t="str">
        <f ca="1">IFERROR(__xludf.DUMMYFUNCTION("""COMPUTED_VALUE"""),"No")</f>
        <v>No</v>
      </c>
      <c r="S158" s="1"/>
      <c r="T158" s="1" t="str">
        <f ca="1">IFERROR(__xludf.DUMMYFUNCTION("""COMPUTED_VALUE"""),"No")</f>
        <v>No</v>
      </c>
      <c r="U158" s="1"/>
      <c r="V158" s="1" t="str">
        <f ca="1">IFERROR(__xludf.DUMMYFUNCTION("""COMPUTED_VALUE"""),"Preparatoria")</f>
        <v>Preparatoria</v>
      </c>
      <c r="W158" s="1" t="str">
        <f ca="1">IFERROR(__xludf.DUMMYFUNCTION("""COMPUTED_VALUE"""),"No")</f>
        <v>No</v>
      </c>
      <c r="X158" s="1" t="str">
        <f ca="1">IFERROR(__xludf.DUMMYFUNCTION("""COMPUTED_VALUE"""),"B. Me gusta animar a las personas, E. Me gusta el trabajo con niños, J. Me gusta la atención a las personas")</f>
        <v>B. Me gusta animar a las personas, E. Me gusta el trabajo con niños, J. Me gusta la atención a las personas</v>
      </c>
      <c r="Y158" s="1" t="str">
        <f ca="1">IFERROR(__xludf.DUMMYFUNCTION("""COMPUTED_VALUE"""),"No")</f>
        <v>No</v>
      </c>
      <c r="Z158" s="1"/>
    </row>
    <row r="159" spans="1:26" x14ac:dyDescent="0.35">
      <c r="A159" s="3">
        <f ca="1">IFERROR(__xludf.DUMMYFUNCTION("""COMPUTED_VALUE"""),45839.6658101851)</f>
        <v>45839.665810185099</v>
      </c>
      <c r="B159" s="1"/>
      <c r="C159" s="1" t="str">
        <f ca="1">IFERROR(__xludf.DUMMYFUNCTION("""COMPUTED_VALUE"""),"Estephania, Lara Aparicio")</f>
        <v>Estephania, Lara Aparicio</v>
      </c>
      <c r="D159" s="1">
        <f ca="1">IFERROR(__xludf.DUMMYFUNCTION("""COMPUTED_VALUE"""),20)</f>
        <v>20</v>
      </c>
      <c r="E159" s="1" t="str">
        <f ca="1">IFERROR(__xludf.DUMMYFUNCTION("""COMPUTED_VALUE"""),"Mujer")</f>
        <v>Mujer</v>
      </c>
      <c r="F159" s="1" t="str">
        <f ca="1">IFERROR(__xludf.DUMMYFUNCTION("""COMPUTED_VALUE"""),"Guanajuato, Mexico")</f>
        <v>Guanajuato, Mexico</v>
      </c>
      <c r="G159" s="1" t="str">
        <f ca="1">IFERROR(__xludf.DUMMYFUNCTION("""COMPUTED_VALUE"""),"estephy14@gmail.com")</f>
        <v>estephy14@gmail.com</v>
      </c>
      <c r="H159" s="1">
        <f ca="1">IFERROR(__xludf.DUMMYFUNCTION("""COMPUTED_VALUE"""),524611780502)</f>
        <v>524611780502</v>
      </c>
      <c r="I159" s="1" t="str">
        <f ca="1">IFERROR(__xludf.DUMMYFUNCTION("""COMPUTED_VALUE"""),"Jóvenes de 13 – 17 años / SEM2/ (4 - 09 agosto), Jóvenes de 13 – 17 años / SEM3/ (11 - 16 agosto)")</f>
        <v>Jóvenes de 13 – 17 años / SEM2/ (4 - 09 agosto), Jóvenes de 13 – 17 años / SEM3/ (11 - 16 agosto)</v>
      </c>
      <c r="J159" s="1" t="str">
        <f ca="1">IFERROR(__xludf.DUMMYFUNCTION("""COMPUTED_VALUE"""),"Mi Biblia")</f>
        <v>Mi Biblia</v>
      </c>
      <c r="K159" s="1" t="str">
        <f ca="1">IFERROR(__xludf.DUMMYFUNCTION("""COMPUTED_VALUE"""),"Iglesia Cristiana Bíblica de Celaya")</f>
        <v>Iglesia Cristiana Bíblica de Celaya</v>
      </c>
      <c r="L159" s="1" t="str">
        <f ca="1">IFERROR(__xludf.DUMMYFUNCTION("""COMPUTED_VALUE"""),"Roberto Lara Díaz")</f>
        <v>Roberto Lara Díaz</v>
      </c>
      <c r="M159" s="1">
        <f ca="1">IFERROR(__xludf.DUMMYFUNCTION("""COMPUTED_VALUE"""),524611402162)</f>
        <v>524611402162</v>
      </c>
      <c r="N159" s="1" t="str">
        <f ca="1">IFERROR(__xludf.DUMMYFUNCTION("""COMPUTED_VALUE"""),"thc77@icloud.com")</f>
        <v>thc77@icloud.com</v>
      </c>
      <c r="O159" s="1" t="str">
        <f ca="1">IFERROR(__xludf.DUMMYFUNCTION("""COMPUTED_VALUE"""),"Ministerio de Alabanza")</f>
        <v>Ministerio de Alabanza</v>
      </c>
      <c r="P159" s="1" t="str">
        <f ca="1">IFERROR(__xludf.DUMMYFUNCTION("""COMPUTED_VALUE"""),"De pequeña iba a una escuelita Bíblica que era un ministerio de nuestra iglesia, mi amor por Dios crecía cada vez más y más al aprender de Él y de Su Palabra, y mi amor por compartir de Él era continuo, hasta que un día claramente le dije a mi papá por ll"&amp;"amada, “Quiero recibir al Señor en mi corazón”, mi papá rápidamente salió de su trabajo y me volvió a compartir el Evangelio y recibí al Señor como mi único Salvador.")</f>
        <v>De pequeña iba a una escuelita Bíblica que era un ministerio de nuestra iglesia, mi amor por Dios crecía cada vez más y más al aprender de Él y de Su Palabra, y mi amor por compartir de Él era continuo, hasta que un día claramente le dije a mi papá por llamada, “Quiero recibir al Señor en mi corazón”, mi papá rápidamente salió de su trabajo y me volvió a compartir el Evangelio y recibí al Señor como mi único Salvador.</v>
      </c>
      <c r="Q159" s="1" t="str">
        <f ca="1">IFERROR(__xludf.DUMMYFUNCTION("""COMPUTED_VALUE"""),"He ido a los campamentos desde niña, mi último campa en Bernal fue en 2022, así es que les tengo un gran cariño por lo que Dios hace en los campamentos.
Desde niña tuve una gran admiración por los consejeros y los de la alabanza.  Observar a mis consejera"&amp;"s me motivó a tomar el camino de la consejería, en enero comencé unos estudios de Psicología Clínica en orientación Cristiana y con el deseo de agradar a Dios en ese aspecto fui consejera en otro campamento en Puebla por 3 años. Por otro lado el grupo de "&amp;"alabanza tocó mi corazón y he ido a otros campamentos de mujeres ahí mismo en PV pero organizados por las iglesias Bíblicas y he servido en la alabanza con mucho amor al Señor.
 Son dos áreas en las que sé que Dios me ha permitido servirle y lo hago con m"&amp;"ucho gozo.
El deseo de mi corazón es trabajar por el Reino y que Dios me use en llevar más almas a Cristo.")</f>
        <v>He ido a los campamentos desde niña, mi último campa en Bernal fue en 2022, así es que les tengo un gran cariño por lo que Dios hace en los campamentos.
Desde niña tuve una gran admiración por los consejeros y los de la alabanza.  Observar a mis consejeras me motivó a tomar el camino de la consejería, en enero comencé unos estudios de Psicología Clínica en orientación Cristiana y con el deseo de agradar a Dios en ese aspecto fui consejera en otro campamento en Puebla por 3 años. Por otro lado el grupo de alabanza tocó mi corazón y he ido a otros campamentos de mujeres ahí mismo en PV pero organizados por las iglesias Bíblicas y he servido en la alabanza con mucho amor al Señor.
 Son dos áreas en las que sé que Dios me ha permitido servirle y lo hago con mucho gozo.
El deseo de mi corazón es trabajar por el Reino y que Dios me use en llevar más almas a Cristo.</v>
      </c>
      <c r="R159" s="1" t="str">
        <f ca="1">IFERROR(__xludf.DUMMYFUNCTION("""COMPUTED_VALUE"""),"No")</f>
        <v>No</v>
      </c>
      <c r="S159" s="1"/>
      <c r="T159" s="1" t="str">
        <f ca="1">IFERROR(__xludf.DUMMYFUNCTION("""COMPUTED_VALUE"""),"Si")</f>
        <v>Si</v>
      </c>
      <c r="U159" s="1" t="str">
        <f ca="1">IFERROR(__xludf.DUMMYFUNCTION("""COMPUTED_VALUE"""),"Sax Alto, Piano y Canto")</f>
        <v>Sax Alto, Piano y Canto</v>
      </c>
      <c r="V159" s="1" t="str">
        <f ca="1">IFERROR(__xludf.DUMMYFUNCTION("""COMPUTED_VALUE"""),"Mercadotecnia")</f>
        <v>Mercadotecnia</v>
      </c>
      <c r="W159" s="1" t="str">
        <f ca="1">IFERROR(__xludf.DUMMYFUNCTION("""COMPUTED_VALUE"""),"Artes plásticas, Música, Social, Creativa, Manualidades, Actuar, Bailar")</f>
        <v>Artes plásticas, Música, Social, Creativa, Manualidades, Actuar, Bailar</v>
      </c>
      <c r="X159" s="1" t="str">
        <f ca="1">IFERROR(__xludf.DUMMYFUNCTION("""COMPUTED_VALUE"""),"A. Soy un discipulador activo, B. Me gusta animar a las personas, G. Soy más eficiente en el trabajo individual, H. Soy organizado (a), K. Soy creativo (a), L. Soy bueno (a) en canto o algún instrumento, N. Suelo llevar el liderazgo en un grupo, O. Puedo "&amp;"enseñar con facilidad")</f>
        <v>A. Soy un discipulador activo, B. Me gusta animar a las personas, G. Soy más eficiente en el trabajo individual, H. Soy organizado (a), K. Soy creativo (a), L. Soy bueno (a) en canto o algún instrumento, N. Suelo llevar el liderazgo en un grupo, O. Puedo enseñar con facilidad</v>
      </c>
      <c r="Y159" s="1" t="str">
        <f ca="1">IFERROR(__xludf.DUMMYFUNCTION("""COMPUTED_VALUE"""),"Si! 2015-2022")</f>
        <v>Si! 2015-2022</v>
      </c>
      <c r="Z159" s="1"/>
    </row>
    <row r="160" spans="1:26" x14ac:dyDescent="0.35">
      <c r="A160" s="3">
        <f ca="1">IFERROR(__xludf.DUMMYFUNCTION("""COMPUTED_VALUE"""),45839.6901388888)</f>
        <v>45839.6901388888</v>
      </c>
      <c r="B160" s="1"/>
      <c r="C160" s="1" t="str">
        <f ca="1">IFERROR(__xludf.DUMMYFUNCTION("""COMPUTED_VALUE"""),"Paloma, Duarte Reyes")</f>
        <v>Paloma, Duarte Reyes</v>
      </c>
      <c r="D160" s="1">
        <f ca="1">IFERROR(__xludf.DUMMYFUNCTION("""COMPUTED_VALUE"""),21)</f>
        <v>21</v>
      </c>
      <c r="E160" s="1" t="str">
        <f ca="1">IFERROR(__xludf.DUMMYFUNCTION("""COMPUTED_VALUE"""),"Mujer")</f>
        <v>Mujer</v>
      </c>
      <c r="F160" s="1" t="str">
        <f ca="1">IFERROR(__xludf.DUMMYFUNCTION("""COMPUTED_VALUE"""),"Mexico, Mexico")</f>
        <v>Mexico, Mexico</v>
      </c>
      <c r="G160" s="1" t="str">
        <f ca="1">IFERROR(__xludf.DUMMYFUNCTION("""COMPUTED_VALUE"""),"palodure03@gmail.com")</f>
        <v>palodure03@gmail.com</v>
      </c>
      <c r="H160" s="1">
        <f ca="1">IFERROR(__xludf.DUMMYFUNCTION("""COMPUTED_VALUE"""),527224960536)</f>
        <v>527224960536</v>
      </c>
      <c r="I160" s="1" t="str">
        <f ca="1">IFERROR(__xludf.DUMMYFUNCTION("""COMPUTED_VALUE"""),"Semana de entrenamiento (07 - 13) Julio, Comunidad Jóvenes + 18 (14-19) Julio, Semana de niños y niñas (21-25) Julio")</f>
        <v>Semana de entrenamiento (07 - 13) Julio, Comunidad Jóvenes + 18 (14-19) Julio, Semana de niños y niñas (21-25) Julio</v>
      </c>
      <c r="J160" s="1" t="str">
        <f ca="1">IFERROR(__xludf.DUMMYFUNCTION("""COMPUTED_VALUE"""),"Faity")</f>
        <v>Faity</v>
      </c>
      <c r="K160" s="1" t="str">
        <f ca="1">IFERROR(__xludf.DUMMYFUNCTION("""COMPUTED_VALUE"""),"El divino Salvador")</f>
        <v>El divino Salvador</v>
      </c>
      <c r="L160" s="1" t="str">
        <f ca="1">IFERROR(__xludf.DUMMYFUNCTION("""COMPUTED_VALUE"""),"Misael Alejandro Cedillo Martínez")</f>
        <v>Misael Alejandro Cedillo Martínez</v>
      </c>
      <c r="M160" s="1">
        <f ca="1">IFERROR(__xludf.DUMMYFUNCTION("""COMPUTED_VALUE"""),525560942568)</f>
        <v>525560942568</v>
      </c>
      <c r="N160" s="1" t="str">
        <f ca="1">IFERROR(__xludf.DUMMYFUNCTION("""COMPUTED_VALUE"""),"misa_brol@hotmail.com")</f>
        <v>misa_brol@hotmail.com</v>
      </c>
      <c r="O160" s="1" t="str">
        <f ca="1">IFERROR(__xludf.DUMMYFUNCTION("""COMPUTED_VALUE"""),"Educación")</f>
        <v>Educación</v>
      </c>
      <c r="P160" s="1" t="str">
        <f ca="1">IFERROR(__xludf.DUMMYFUNCTION("""COMPUTED_VALUE"""),"Yo vengo de cuna evangélica, pero acepté el señor en mi corazón. A los 15 años, el señor ha cambiado mi vida desde entonces y me gusta servir y apoyar a mi iglesia")</f>
        <v>Yo vengo de cuna evangélica, pero acepté el señor en mi corazón. A los 15 años, el señor ha cambiado mi vida desde entonces y me gusta servir y apoyar a mi iglesia</v>
      </c>
      <c r="Q160" s="1" t="str">
        <f ca="1">IFERROR(__xludf.DUMMYFUNCTION("""COMPUTED_VALUE"""),"Acudí hace dos años al campamento, me invitaron y la verdad es que sentí que hubo unción después de eso y me gustaría volver a a servir y a estar ahí")</f>
        <v>Acudí hace dos años al campamento, me invitaron y la verdad es que sentí que hubo unción después de eso y me gustaría volver a a servir y a estar ahí</v>
      </c>
      <c r="R160" s="1" t="str">
        <f ca="1">IFERROR(__xludf.DUMMYFUNCTION("""COMPUTED_VALUE"""),"No")</f>
        <v>No</v>
      </c>
      <c r="S160" s="1"/>
      <c r="T160" s="1" t="str">
        <f ca="1">IFERROR(__xludf.DUMMYFUNCTION("""COMPUTED_VALUE"""),"Si")</f>
        <v>Si</v>
      </c>
      <c r="U160" s="1" t="str">
        <f ca="1">IFERROR(__xludf.DUMMYFUNCTION("""COMPUTED_VALUE"""),"Piano")</f>
        <v>Piano</v>
      </c>
      <c r="V160" s="1" t="str">
        <f ca="1">IFERROR(__xludf.DUMMYFUNCTION("""COMPUTED_VALUE"""),"Ingeniería industrial")</f>
        <v>Ingeniería industrial</v>
      </c>
      <c r="W160" s="1" t="str">
        <f ca="1">IFERROR(__xludf.DUMMYFUNCTION("""COMPUTED_VALUE"""),"Creatividad, lectura")</f>
        <v>Creatividad, lectura</v>
      </c>
      <c r="X160" s="1" t="str">
        <f ca="1">IFERROR(__xludf.DUMMYFUNCTION("""COMPUTED_VALUE"""),"C. Suelo buscar que el trabajo se realice en equipo, E. Me gusta el trabajo con niños, K. Soy creativo (a), L. Soy bueno (a) en canto o algún instrumento, M. Soy bueno (a) con los números")</f>
        <v>C. Suelo buscar que el trabajo se realice en equipo, E. Me gusta el trabajo con niños, K. Soy creativo (a), L. Soy bueno (a) en canto o algún instrumento, M. Soy bueno (a) con los números</v>
      </c>
      <c r="Y160" s="1">
        <f ca="1">IFERROR(__xludf.DUMMYFUNCTION("""COMPUTED_VALUE"""),2023)</f>
        <v>2023</v>
      </c>
      <c r="Z160" s="1"/>
    </row>
    <row r="161" spans="1:26" x14ac:dyDescent="0.35">
      <c r="A161" s="3">
        <f ca="1">IFERROR(__xludf.DUMMYFUNCTION("""COMPUTED_VALUE"""),45839.7641782407)</f>
        <v>45839.764178240701</v>
      </c>
      <c r="B161" s="1"/>
      <c r="C161" s="1" t="str">
        <f ca="1">IFERROR(__xludf.DUMMYFUNCTION("""COMPUTED_VALUE"""),"Gabriel, Ezqueda")</f>
        <v>Gabriel, Ezqueda</v>
      </c>
      <c r="D161" s="1">
        <f ca="1">IFERROR(__xludf.DUMMYFUNCTION("""COMPUTED_VALUE"""),47)</f>
        <v>47</v>
      </c>
      <c r="E161" s="1" t="str">
        <f ca="1">IFERROR(__xludf.DUMMYFUNCTION("""COMPUTED_VALUE"""),"Hombre")</f>
        <v>Hombre</v>
      </c>
      <c r="F161" s="1" t="str">
        <f ca="1">IFERROR(__xludf.DUMMYFUNCTION("""COMPUTED_VALUE"""),"Yucatan, Mexico")</f>
        <v>Yucatan, Mexico</v>
      </c>
      <c r="G161" s="1" t="str">
        <f ca="1">IFERROR(__xludf.DUMMYFUNCTION("""COMPUTED_VALUE"""),"gabriel.ezqueda.b@gmail.com")</f>
        <v>gabriel.ezqueda.b@gmail.com</v>
      </c>
      <c r="H161" s="1">
        <f ca="1">IFERROR(__xludf.DUMMYFUNCTION("""COMPUTED_VALUE"""),529812094738)</f>
        <v>529812094738</v>
      </c>
      <c r="I161" s="1" t="str">
        <f ca="1">IFERROR(__xludf.DUMMYFUNCTION("""COMPUTED_VALUE"""),"Semana de entrenamiento (07 - 13) Julio, Comunidad Jóvenes + 18 (14-19) Julio")</f>
        <v>Semana de entrenamiento (07 - 13) Julio, Comunidad Jóvenes + 18 (14-19) Julio</v>
      </c>
      <c r="J161" s="1" t="str">
        <f ca="1">IFERROR(__xludf.DUMMYFUNCTION("""COMPUTED_VALUE"""),"Hora silenciosa")</f>
        <v>Hora silenciosa</v>
      </c>
      <c r="K161" s="1" t="str">
        <f ca="1">IFERROR(__xludf.DUMMYFUNCTION("""COMPUTED_VALUE"""),"Iglesia Bautista Mérida Norte")</f>
        <v>Iglesia Bautista Mérida Norte</v>
      </c>
      <c r="L161" s="1" t="str">
        <f ca="1">IFERROR(__xludf.DUMMYFUNCTION("""COMPUTED_VALUE"""),"Jesús Mendoza")</f>
        <v>Jesús Mendoza</v>
      </c>
      <c r="M161" s="1">
        <f ca="1">IFERROR(__xludf.DUMMYFUNCTION("""COMPUTED_VALUE"""),529994901069)</f>
        <v>529994901069</v>
      </c>
      <c r="N161" s="1" t="str">
        <f ca="1">IFERROR(__xludf.DUMMYFUNCTION("""COMPUTED_VALUE"""),"jesusmendozam@hotmail.com")</f>
        <v>jesusmendozam@hotmail.com</v>
      </c>
      <c r="O161" s="1" t="str">
        <f ca="1">IFERROR(__xludf.DUMMYFUNCTION("""COMPUTED_VALUE"""),"Titeres")</f>
        <v>Titeres</v>
      </c>
      <c r="P161" s="1" t="str">
        <f ca="1">IFERROR(__xludf.DUMMYFUNCTION("""COMPUTED_VALUE"""),"En un campamento de Palabra de Vida México la hermana Lidia Ester Naal me dio el plan de salvación, en una playa del estado de Yucatán.")</f>
        <v>En un campamento de Palabra de Vida México la hermana Lidia Ester Naal me dio el plan de salvación, en una playa del estado de Yucatán.</v>
      </c>
      <c r="Q161" s="1" t="str">
        <f ca="1">IFERROR(__xludf.DUMMYFUNCTION("""COMPUTED_VALUE"""),"Ya he participado en 5 ocasiones en el área de aventura y tengo la oportunidad de ir este año.")</f>
        <v>Ya he participado en 5 ocasiones en el área de aventura y tengo la oportunidad de ir este año.</v>
      </c>
      <c r="R161" s="1" t="str">
        <f ca="1">IFERROR(__xludf.DUMMYFUNCTION("""COMPUTED_VALUE"""),"Si")</f>
        <v>Si</v>
      </c>
      <c r="S161" s="1" t="str">
        <f ca="1">IFERROR(__xludf.DUMMYFUNCTION("""COMPUTED_VALUE"""),"Deportes de aventura, y alpinismo.")</f>
        <v>Deportes de aventura, y alpinismo.</v>
      </c>
      <c r="T161" s="1" t="str">
        <f ca="1">IFERROR(__xludf.DUMMYFUNCTION("""COMPUTED_VALUE"""),"No")</f>
        <v>No</v>
      </c>
      <c r="U161" s="1"/>
      <c r="V161" s="1" t="str">
        <f ca="1">IFERROR(__xludf.DUMMYFUNCTION("""COMPUTED_VALUE"""),"Diplomados de administración")</f>
        <v>Diplomados de administración</v>
      </c>
      <c r="W161" s="1" t="str">
        <f ca="1">IFERROR(__xludf.DUMMYFUNCTION("""COMPUTED_VALUE"""),"Gestor de proyectos de gobierno")</f>
        <v>Gestor de proyectos de gobierno</v>
      </c>
      <c r="X161" s="1" t="str">
        <f ca="1">IFERROR(__xludf.DUMMYFUNCTION("""COMPUTED_VALUE"""),"B. Me gusta animar a las personas, C. Suelo buscar que el trabajo se realice en equipo, D. Me gustan los deportes")</f>
        <v>B. Me gusta animar a las personas, C. Suelo buscar que el trabajo se realice en equipo, D. Me gustan los deportes</v>
      </c>
      <c r="Y161" s="1" t="str">
        <f ca="1">IFERROR(__xludf.DUMMYFUNCTION("""COMPUTED_VALUE"""),"2014, 2015,; 2016,; 2017,; 2018")</f>
        <v>2014, 2015,; 2016,; 2017,; 2018</v>
      </c>
      <c r="Z161" s="1"/>
    </row>
    <row r="162" spans="1:26" x14ac:dyDescent="0.35">
      <c r="A162" s="3">
        <f ca="1">IFERROR(__xludf.DUMMYFUNCTION("""COMPUTED_VALUE"""),45839.8446296296)</f>
        <v>45839.844629629602</v>
      </c>
      <c r="B162" s="1"/>
      <c r="C162" s="1" t="str">
        <f ca="1">IFERROR(__xludf.DUMMYFUNCTION("""COMPUTED_VALUE"""),"Ángel, Fregoso López")</f>
        <v>Ángel, Fregoso López</v>
      </c>
      <c r="D162" s="1">
        <f ca="1">IFERROR(__xludf.DUMMYFUNCTION("""COMPUTED_VALUE"""),19)</f>
        <v>19</v>
      </c>
      <c r="E162" s="1" t="str">
        <f ca="1">IFERROR(__xludf.DUMMYFUNCTION("""COMPUTED_VALUE"""),"Hombre")</f>
        <v>Hombre</v>
      </c>
      <c r="F162" s="1" t="str">
        <f ca="1">IFERROR(__xludf.DUMMYFUNCTION("""COMPUTED_VALUE"""),"Jalisco, Mexico")</f>
        <v>Jalisco, Mexico</v>
      </c>
      <c r="G162" s="1" t="str">
        <f ca="1">IFERROR(__xludf.DUMMYFUNCTION("""COMPUTED_VALUE"""),"angelfrechl@gmail.com")</f>
        <v>angelfrechl@gmail.com</v>
      </c>
      <c r="H162" s="1">
        <f ca="1">IFERROR(__xludf.DUMMYFUNCTION("""COMPUTED_VALUE"""),523317544255)</f>
        <v>523317544255</v>
      </c>
      <c r="I162" s="1" t="str">
        <f ca="1">IFERROR(__xludf.DUMMYFUNCTION("""COMPUTED_VALUE"""),"Semana de niños y niñas (21-25) Julio")</f>
        <v>Semana de niños y niñas (21-25) Julio</v>
      </c>
      <c r="J162" s="1" t="str">
        <f ca="1">IFERROR(__xludf.DUMMYFUNCTION("""COMPUTED_VALUE"""),"Hora Silenciosa")</f>
        <v>Hora Silenciosa</v>
      </c>
      <c r="K162" s="1" t="str">
        <f ca="1">IFERROR(__xludf.DUMMYFUNCTION("""COMPUTED_VALUE"""),"Iglesia Vida")</f>
        <v>Iglesia Vida</v>
      </c>
      <c r="L162" s="1" t="str">
        <f ca="1">IFERROR(__xludf.DUMMYFUNCTION("""COMPUTED_VALUE"""),"Neftalí Rubio Bonilla")</f>
        <v>Neftalí Rubio Bonilla</v>
      </c>
      <c r="M162" s="1">
        <f ca="1">IFERROR(__xludf.DUMMYFUNCTION("""COMPUTED_VALUE"""),524411036024)</f>
        <v>524411036024</v>
      </c>
      <c r="N162" s="1" t="str">
        <f ca="1">IFERROR(__xludf.DUMMYFUNCTION("""COMPUTED_VALUE"""),"nefaly@gmail.com")</f>
        <v>nefaly@gmail.com</v>
      </c>
      <c r="O162" s="1" t="str">
        <f ca="1">IFERROR(__xludf.DUMMYFUNCTION("""COMPUTED_VALUE"""),"Escuela Dominical")</f>
        <v>Escuela Dominical</v>
      </c>
      <c r="P162" s="1" t="str">
        <f ca="1">IFERROR(__xludf.DUMMYFUNCTION("""COMPUTED_VALUE"""),"Nací en cuna cristiana, pero fue en un campamento de Palabra de Vida en 2019 donde comprendí el verdadero valor de creer en Jesús y vivir una vida para Él.")</f>
        <v>Nací en cuna cristiana, pero fue en un campamento de Palabra de Vida en 2019 donde comprendí el verdadero valor de creer en Jesús y vivir una vida para Él.</v>
      </c>
      <c r="Q162" s="1" t="str">
        <f ca="1">IFERROR(__xludf.DUMMYFUNCTION("""COMPUTED_VALUE"""),"Creo que es una buena oportunidad de servir al Señor y conocer gente que comparte una misma fe.")</f>
        <v>Creo que es una buena oportunidad de servir al Señor y conocer gente que comparte una misma fe.</v>
      </c>
      <c r="R162" s="1" t="str">
        <f ca="1">IFERROR(__xludf.DUMMYFUNCTION("""COMPUTED_VALUE"""),"Si")</f>
        <v>Si</v>
      </c>
      <c r="S162" s="1" t="str">
        <f ca="1">IFERROR(__xludf.DUMMYFUNCTION("""COMPUTED_VALUE"""),"Natación")</f>
        <v>Natación</v>
      </c>
      <c r="T162" s="1" t="str">
        <f ca="1">IFERROR(__xludf.DUMMYFUNCTION("""COMPUTED_VALUE"""),"No")</f>
        <v>No</v>
      </c>
      <c r="U162" s="1"/>
      <c r="V162" s="1" t="str">
        <f ca="1">IFERROR(__xludf.DUMMYFUNCTION("""COMPUTED_VALUE"""),"Ingeniería en Computación")</f>
        <v>Ingeniería en Computación</v>
      </c>
      <c r="W162" s="1" t="str">
        <f ca="1">IFERROR(__xludf.DUMMYFUNCTION("""COMPUTED_VALUE"""),"Soy asistente administrativo en una agencia. Soy hábil en el manejo de Excel y muchos programas de computadora.")</f>
        <v>Soy asistente administrativo en una agencia. Soy hábil en el manejo de Excel y muchos programas de computadora.</v>
      </c>
      <c r="X162" s="1" t="str">
        <f ca="1">IFERROR(__xludf.DUMMYFUNCTION("""COMPUTED_VALUE"""),"E. Me gusta el trabajo con niños, H. Soy organizado (a), K. Soy creativo (a), M. Soy bueno (a) con los números, O. Puedo enseñar con facilidad")</f>
        <v>E. Me gusta el trabajo con niños, H. Soy organizado (a), K. Soy creativo (a), M. Soy bueno (a) con los números, O. Puedo enseñar con facilidad</v>
      </c>
      <c r="Y162" s="1" t="str">
        <f ca="1">IFERROR(__xludf.DUMMYFUNCTION("""COMPUTED_VALUE"""),"2019, 2020 y 2023")</f>
        <v>2019, 2020 y 2023</v>
      </c>
      <c r="Z162" s="1"/>
    </row>
    <row r="163" spans="1:26" x14ac:dyDescent="0.35">
      <c r="A163" s="3">
        <f ca="1">IFERROR(__xludf.DUMMYFUNCTION("""COMPUTED_VALUE"""),45839.8696412037)</f>
        <v>45839.869641203702</v>
      </c>
      <c r="B163" s="1"/>
      <c r="C163" s="1" t="str">
        <f ca="1">IFERROR(__xludf.DUMMYFUNCTION("""COMPUTED_VALUE"""),"Marco Uriel, Garcia Guerrero")</f>
        <v>Marco Uriel, Garcia Guerrero</v>
      </c>
      <c r="D163" s="1">
        <f ca="1">IFERROR(__xludf.DUMMYFUNCTION("""COMPUTED_VALUE"""),23)</f>
        <v>23</v>
      </c>
      <c r="E163" s="1" t="str">
        <f ca="1">IFERROR(__xludf.DUMMYFUNCTION("""COMPUTED_VALUE"""),"Hombre")</f>
        <v>Hombre</v>
      </c>
      <c r="F163" s="1" t="str">
        <f ca="1">IFERROR(__xludf.DUMMYFUNCTION("""COMPUTED_VALUE"""),"Tamaulipas, Mexico")</f>
        <v>Tamaulipas, Mexico</v>
      </c>
      <c r="G163" s="1" t="str">
        <f ca="1">IFERROR(__xludf.DUMMYFUNCTION("""COMPUTED_VALUE"""),"marcogg7u@hotmail.com")</f>
        <v>marcogg7u@hotmail.com</v>
      </c>
      <c r="H163" s="1">
        <f ca="1">IFERROR(__xludf.DUMMYFUNCTION("""COMPUTED_VALUE"""),528333825267)</f>
        <v>528333825267</v>
      </c>
      <c r="I163" s="1" t="str">
        <f ca="1">IFERROR(__xludf.DUMMYFUNCTION("""COMPUTED_VALUE"""),"Toda la temporada (07 de Julio al 16 de agosto)")</f>
        <v>Toda la temporada (07 de Julio al 16 de agosto)</v>
      </c>
      <c r="J163" s="1" t="str">
        <f ca="1">IFERROR(__xludf.DUMMYFUNCTION("""COMPUTED_VALUE"""),"hora silenciosa")</f>
        <v>hora silenciosa</v>
      </c>
      <c r="K163" s="1" t="str">
        <f ca="1">IFERROR(__xludf.DUMMYFUNCTION("""COMPUTED_VALUE"""),"iglesia bautista el calvario")</f>
        <v>iglesia bautista el calvario</v>
      </c>
      <c r="L163" s="1" t="str">
        <f ca="1">IFERROR(__xludf.DUMMYFUNCTION("""COMPUTED_VALUE"""),"marco antonio garcia montoya")</f>
        <v>marco antonio garcia montoya</v>
      </c>
      <c r="M163" s="1">
        <f ca="1">IFERROR(__xludf.DUMMYFUNCTION("""COMPUTED_VALUE"""),528333504123)</f>
        <v>528333504123</v>
      </c>
      <c r="N163" s="1" t="str">
        <f ca="1">IFERROR(__xludf.DUMMYFUNCTION("""COMPUTED_VALUE"""),"marcoantoniopastor75@gmail.com")</f>
        <v>marcoantoniopastor75@gmail.com</v>
      </c>
      <c r="O163" s="1" t="str">
        <f ca="1">IFERROR(__xludf.DUMMYFUNCTION("""COMPUTED_VALUE"""),"Lider Club Biblico")</f>
        <v>Lider Club Biblico</v>
      </c>
      <c r="P163" s="1" t="str">
        <f ca="1">IFERROR(__xludf.DUMMYFUNCTION("""COMPUTED_VALUE"""),"Acepte a los 13 años después de un culto de semana santa, al reflexionar sobre lo que se conmemoraba, pero hubo un verdadero cambio en mi a los 15 en una fogata de campamento de palabra de vida donde consagre mi vida a Dios y me di cuenta que no vivía lo "&amp;"que decía creer.")</f>
        <v>Acepte a los 13 años después de un culto de semana santa, al reflexionar sobre lo que se conmemoraba, pero hubo un verdadero cambio en mi a los 15 en una fogata de campamento de palabra de vida donde consagre mi vida a Dios y me di cuenta que no vivía lo que decía creer.</v>
      </c>
      <c r="Q163" s="1" t="str">
        <f ca="1">IFERROR(__xludf.DUMMYFUNCTION("""COMPUTED_VALUE"""),"Para colaborar en la predicación del evangelio y consagración de jovenes y adolescentes que participen en el campamento.")</f>
        <v>Para colaborar en la predicación del evangelio y consagración de jovenes y adolescentes que participen en el campamento.</v>
      </c>
      <c r="R163" s="1" t="str">
        <f ca="1">IFERROR(__xludf.DUMMYFUNCTION("""COMPUTED_VALUE"""),"No")</f>
        <v>No</v>
      </c>
      <c r="S163" s="1"/>
      <c r="T163" s="1" t="str">
        <f ca="1">IFERROR(__xludf.DUMMYFUNCTION("""COMPUTED_VALUE"""),"Si")</f>
        <v>Si</v>
      </c>
      <c r="U163" s="1" t="str">
        <f ca="1">IFERROR(__xludf.DUMMYFUNCTION("""COMPUTED_VALUE"""),"Piano")</f>
        <v>Piano</v>
      </c>
      <c r="V163" s="1" t="str">
        <f ca="1">IFERROR(__xludf.DUMMYFUNCTION("""COMPUTED_VALUE"""),"Economía")</f>
        <v>Economía</v>
      </c>
      <c r="W163" s="1" t="str">
        <f ca="1">IFERROR(__xludf.DUMMYFUNCTION("""COMPUTED_VALUE"""),"Lic. en Música")</f>
        <v>Lic. en Música</v>
      </c>
      <c r="X163" s="1" t="str">
        <f ca="1">IFERROR(__xludf.DUMMYFUNCTION("""COMPUTED_VALUE"""),"C. Suelo buscar que el trabajo se realice en equipo, E. Me gusta el trabajo con niños, F. Soy eficiente en el trabajo con herramientas, equipos y maquinarias, H. Soy organizado (a), I. Se me facilita el trabajo físico, K. Soy creativo (a), L. Soy bueno (a"&amp;") en canto o algún instrumento, M. Soy bueno (a) con los números, N. Suelo llevar el liderazgo en un grupo, O. Puedo enseñar con facilidad")</f>
        <v>C. Suelo buscar que el trabajo se realice en equipo, E. Me gusta el trabajo con niños, F. Soy eficiente en el trabajo con herramientas, equipos y maquinarias, H. Soy organizado (a), I. Se me facilita el trabajo físico, K. Soy creativo (a), L. Soy bueno (a) en canto o algún instrumento, M. Soy bueno (a) con los números, N. Suelo llevar el liderazgo en un grupo, O. Puedo enseñar con facilidad</v>
      </c>
      <c r="Y163" s="1" t="str">
        <f ca="1">IFERROR(__xludf.DUMMYFUNCTION("""COMPUTED_VALUE"""),"2013,2014 y 2015")</f>
        <v>2013,2014 y 2015</v>
      </c>
      <c r="Z163" s="1"/>
    </row>
    <row r="164" spans="1:26" x14ac:dyDescent="0.35">
      <c r="A164" s="3">
        <f ca="1">IFERROR(__xludf.DUMMYFUNCTION("""COMPUTED_VALUE"""),45840.6255671296)</f>
        <v>45840.625567129602</v>
      </c>
      <c r="B164" s="1"/>
      <c r="C164" s="1" t="str">
        <f ca="1">IFERROR(__xludf.DUMMYFUNCTION("""COMPUTED_VALUE"""),"MARCOS EFRAIN, PEÑA TORRES")</f>
        <v>MARCOS EFRAIN, PEÑA TORRES</v>
      </c>
      <c r="D164" s="1">
        <f ca="1">IFERROR(__xludf.DUMMYFUNCTION("""COMPUTED_VALUE"""),26)</f>
        <v>26</v>
      </c>
      <c r="E164" s="1" t="str">
        <f ca="1">IFERROR(__xludf.DUMMYFUNCTION("""COMPUTED_VALUE"""),"Hombre")</f>
        <v>Hombre</v>
      </c>
      <c r="F164" s="1" t="str">
        <f ca="1">IFERROR(__xludf.DUMMYFUNCTION("""COMPUTED_VALUE"""),"Mexico, Mexico")</f>
        <v>Mexico, Mexico</v>
      </c>
      <c r="G164" s="1" t="str">
        <f ca="1">IFERROR(__xludf.DUMMYFUNCTION("""COMPUTED_VALUE"""),"marcuspt06@hotmail.com")</f>
        <v>marcuspt06@hotmail.com</v>
      </c>
      <c r="H164" s="1">
        <f ca="1">IFERROR(__xludf.DUMMYFUNCTION("""COMPUTED_VALUE"""),525571963096)</f>
        <v>525571963096</v>
      </c>
      <c r="I164" s="1" t="str">
        <f ca="1">IFERROR(__xludf.DUMMYFUNCTION("""COMPUTED_VALUE"""),"Comunidad Jóvenes + 18 (14-19) Julio, Semana de niños y niñas (21-25) Julio, Jóvenes de 13 – 17 años / SEM1/ (28 Julio a 02 de agosto)")</f>
        <v>Comunidad Jóvenes + 18 (14-19) Julio, Semana de niños y niñas (21-25) Julio, Jóvenes de 13 – 17 años / SEM1/ (28 Julio a 02 de agosto)</v>
      </c>
      <c r="J164" s="1" t="str">
        <f ca="1">IFERROR(__xludf.DUMMYFUNCTION("""COMPUTED_VALUE"""),"leer biblia diario")</f>
        <v>leer biblia diario</v>
      </c>
      <c r="K164" s="1" t="str">
        <f ca="1">IFERROR(__xludf.DUMMYFUNCTION("""COMPUTED_VALUE"""),"iglesia bautista vida nueva coyoacan")</f>
        <v>iglesia bautista vida nueva coyoacan</v>
      </c>
      <c r="L164" s="1" t="str">
        <f ca="1">IFERROR(__xludf.DUMMYFUNCTION("""COMPUTED_VALUE"""),"ricardo pichardo")</f>
        <v>ricardo pichardo</v>
      </c>
      <c r="M164" s="1">
        <f ca="1">IFERROR(__xludf.DUMMYFUNCTION("""COMPUTED_VALUE"""),525523155872)</f>
        <v>525523155872</v>
      </c>
      <c r="N164" s="1" t="str">
        <f ca="1">IFERROR(__xludf.DUMMYFUNCTION("""COMPUTED_VALUE"""),"rickpichardo@hotmail.com")</f>
        <v>rickpichardo@hotmail.com</v>
      </c>
      <c r="O164" s="1" t="str">
        <f ca="1">IFERROR(__xludf.DUMMYFUNCTION("""COMPUTED_VALUE"""),"alabanza y multimedia")</f>
        <v>alabanza y multimedia</v>
      </c>
      <c r="P164" s="1" t="str">
        <f ca="1">IFERROR(__xludf.DUMMYFUNCTION("""COMPUTED_VALUE"""),"yo naci en una famila cristiana, pero siendo sincero fue hasta el 2019 que yo confirme mi salvacion en cristo despues de una fogata en el campamento de PV")</f>
        <v>yo naci en una famila cristiana, pero siendo sincero fue hasta el 2019 que yo confirme mi salvacion en cristo despues de una fogata en el campamento de PV</v>
      </c>
      <c r="Q164" s="1" t="str">
        <f ca="1">IFERROR(__xludf.DUMMYFUNCTION("""COMPUTED_VALUE"""),"me gusta ser parte de la obra que jesucristo nos da a nosotros para que otros le conozcan")</f>
        <v>me gusta ser parte de la obra que jesucristo nos da a nosotros para que otros le conozcan</v>
      </c>
      <c r="R164" s="1" t="str">
        <f ca="1">IFERROR(__xludf.DUMMYFUNCTION("""COMPUTED_VALUE"""),"No")</f>
        <v>No</v>
      </c>
      <c r="S164" s="1"/>
      <c r="T164" s="1" t="str">
        <f ca="1">IFERROR(__xludf.DUMMYFUNCTION("""COMPUTED_VALUE"""),"Si")</f>
        <v>Si</v>
      </c>
      <c r="U164" s="1" t="str">
        <f ca="1">IFERROR(__xludf.DUMMYFUNCTION("""COMPUTED_VALUE"""),"guitarra")</f>
        <v>guitarra</v>
      </c>
      <c r="V164" s="1" t="str">
        <f ca="1">IFERROR(__xludf.DUMMYFUNCTION("""COMPUTED_VALUE"""),"estudie diseño y produccion audiovisual")</f>
        <v>estudie diseño y produccion audiovisual</v>
      </c>
      <c r="W164" s="1" t="str">
        <f ca="1">IFERROR(__xludf.DUMMYFUNCTION("""COMPUTED_VALUE"""),"soy fotografo y filmakeer asi como diseñador")</f>
        <v>soy fotografo y filmakeer asi como diseñador</v>
      </c>
      <c r="X164" s="1" t="str">
        <f ca="1">IFERROR(__xludf.DUMMYFUNCTION("""COMPUTED_VALUE"""),"A. Soy un discipulador activo, B. Me gusta animar a las personas, C. Suelo buscar que el trabajo se realice en equipo, D. Me gustan los deportes, F. Soy eficiente en el trabajo con herramientas, equipos y maquinarias, G. Soy más eficiente en el trabajo in"&amp;"dividual, H. Soy organizado (a), K. Soy creativo (a), L. Soy bueno (a) en canto o algún instrumento, N. Suelo llevar el liderazgo en un grupo")</f>
        <v>A. Soy un discipulador activo, B. Me gusta animar a las personas, C. Suelo buscar que el trabajo se realice en equipo, D. Me gustan los deportes, F. Soy eficiente en el trabajo con herramientas, equipos y maquinarias, G. Soy más eficiente en el trabajo individual, H. Soy organizado (a), K. Soy creativo (a), L. Soy bueno (a) en canto o algún instrumento, N. Suelo llevar el liderazgo en un grupo</v>
      </c>
      <c r="Y164" s="1" t="str">
        <f ca="1">IFERROR(__xludf.DUMMYFUNCTION("""COMPUTED_VALUE"""),"fui campero desde el 2012 y despues fui equipo en varias tempradas mas")</f>
        <v>fui campero desde el 2012 y despues fui equipo en varias tempradas mas</v>
      </c>
      <c r="Z164" s="1"/>
    </row>
    <row r="165" spans="1:26" x14ac:dyDescent="0.35">
      <c r="A165" s="3">
        <f ca="1">IFERROR(__xludf.DUMMYFUNCTION("""COMPUTED_VALUE"""),45840.6321064814)</f>
        <v>45840.632106481396</v>
      </c>
      <c r="B165" s="1"/>
      <c r="C165" s="1" t="str">
        <f ca="1">IFERROR(__xludf.DUMMYFUNCTION("""COMPUTED_VALUE"""),"Juan, Trejo Trejo")</f>
        <v>Juan, Trejo Trejo</v>
      </c>
      <c r="D165" s="1">
        <f ca="1">IFERROR(__xludf.DUMMYFUNCTION("""COMPUTED_VALUE"""),25)</f>
        <v>25</v>
      </c>
      <c r="E165" s="1" t="str">
        <f ca="1">IFERROR(__xludf.DUMMYFUNCTION("""COMPUTED_VALUE"""),"Hombre")</f>
        <v>Hombre</v>
      </c>
      <c r="F165" s="1" t="str">
        <f ca="1">IFERROR(__xludf.DUMMYFUNCTION("""COMPUTED_VALUE"""),"Queretaro, Mexico")</f>
        <v>Queretaro, Mexico</v>
      </c>
      <c r="G165" s="1" t="str">
        <f ca="1">IFERROR(__xludf.DUMMYFUNCTION("""COMPUTED_VALUE"""),"juantrejo_ing_civil@hotmail.com")</f>
        <v>juantrejo_ing_civil@hotmail.com</v>
      </c>
      <c r="H165" s="1">
        <f ca="1">IFERROR(__xludf.DUMMYFUNCTION("""COMPUTED_VALUE"""),524423000100)</f>
        <v>524423000100</v>
      </c>
      <c r="I165" s="1" t="str">
        <f ca="1">IFERROR(__xludf.DUMMYFUNCTION("""COMPUTED_VALUE"""),"Comunidad Jóvenes + 18 (14-19) Julio")</f>
        <v>Comunidad Jóvenes + 18 (14-19) Julio</v>
      </c>
      <c r="J165" s="1" t="str">
        <f ca="1">IFERROR(__xludf.DUMMYFUNCTION("""COMPUTED_VALUE"""),"Hora silenciosa")</f>
        <v>Hora silenciosa</v>
      </c>
      <c r="K165" s="1" t="str">
        <f ca="1">IFERROR(__xludf.DUMMYFUNCTION("""COMPUTED_VALUE"""),"Torre fuerte en Querétaro")</f>
        <v>Torre fuerte en Querétaro</v>
      </c>
      <c r="L165" s="1" t="str">
        <f ca="1">IFERROR(__xludf.DUMMYFUNCTION("""COMPUTED_VALUE"""),"José Juan Trejo López")</f>
        <v>José Juan Trejo López</v>
      </c>
      <c r="M165" s="1">
        <f ca="1">IFERROR(__xludf.DUMMYFUNCTION("""COMPUTED_VALUE"""),524422724005)</f>
        <v>524422724005</v>
      </c>
      <c r="N165" s="1" t="str">
        <f ca="1">IFERROR(__xludf.DUMMYFUNCTION("""COMPUTED_VALUE"""),"cpi.arq@hotmail.com")</f>
        <v>cpi.arq@hotmail.com</v>
      </c>
      <c r="O165" s="1" t="str">
        <f ca="1">IFERROR(__xludf.DUMMYFUNCTION("""COMPUTED_VALUE"""),"Pastor de jóvenes")</f>
        <v>Pastor de jóvenes</v>
      </c>
      <c r="P165" s="1" t="str">
        <f ca="1">IFERROR(__xludf.DUMMYFUNCTION("""COMPUTED_VALUE"""),"Nací en familia pastoral mi papá es mi pastor y gracias a Dios tuve el privilegio de estar dentro de comunidad, recibí a cristo a los 12 años mi mamá me predicó y me bauticé a los 16 años")</f>
        <v>Nací en familia pastoral mi papá es mi pastor y gracias a Dios tuve el privilegio de estar dentro de comunidad, recibí a cristo a los 12 años mi mamá me predicó y me bauticé a los 16 años</v>
      </c>
      <c r="Q165" s="1" t="str">
        <f ca="1">IFERROR(__xludf.DUMMYFUNCTION("""COMPUTED_VALUE"""),"Llevo 9 años sirviendo a Él ministerio en pdv como equipante y me ha dado la gracias y bendición de poder ser consejero los últimos 3 años y es una bendición enorme a mi vida")</f>
        <v>Llevo 9 años sirviendo a Él ministerio en pdv como equipante y me ha dado la gracias y bendición de poder ser consejero los últimos 3 años y es una bendición enorme a mi vida</v>
      </c>
      <c r="R165" s="1" t="str">
        <f ca="1">IFERROR(__xludf.DUMMYFUNCTION("""COMPUTED_VALUE"""),"Si")</f>
        <v>Si</v>
      </c>
      <c r="S165" s="1" t="str">
        <f ca="1">IFERROR(__xludf.DUMMYFUNCTION("""COMPUTED_VALUE"""),"Crossfit")</f>
        <v>Crossfit</v>
      </c>
      <c r="T165" s="1" t="str">
        <f ca="1">IFERROR(__xludf.DUMMYFUNCTION("""COMPUTED_VALUE"""),"Si")</f>
        <v>Si</v>
      </c>
      <c r="U165" s="1" t="str">
        <f ca="1">IFERROR(__xludf.DUMMYFUNCTION("""COMPUTED_VALUE"""),"Cajón peruano")</f>
        <v>Cajón peruano</v>
      </c>
      <c r="V165" s="1" t="str">
        <f ca="1">IFERROR(__xludf.DUMMYFUNCTION("""COMPUTED_VALUE"""),"Soy ingeniero civil y estudió la maestría en obra")</f>
        <v>Soy ingeniero civil y estudió la maestría en obra</v>
      </c>
      <c r="W165" s="1" t="str">
        <f ca="1">IFERROR(__xludf.DUMMYFUNCTION("""COMPUTED_VALUE"""),"Son varias pero una de ella me encanta poder disfrutar de mi carrera y el ministerio que tengo en la iglesia")</f>
        <v>Son varias pero una de ella me encanta poder disfrutar de mi carrera y el ministerio que tengo en la iglesia</v>
      </c>
      <c r="X165" s="1" t="str">
        <f ca="1">IFERROR(__xludf.DUMMYFUNCTION("""COMPUTED_VALUE"""),"A. Soy un discipulador activo, B. Me gusta animar a las personas, C. Suelo buscar que el trabajo se realice en equipo, H. Soy organizado (a), J. Me gusta la atención a las personas, L. Soy bueno (a) en canto o algún instrumento, N. Suelo llevar el lideraz"&amp;"go en un grupo, O. Puedo enseñar con facilidad")</f>
        <v>A. Soy un discipulador activo, B. Me gusta animar a las personas, C. Suelo buscar que el trabajo se realice en equipo, H. Soy organizado (a), J. Me gusta la atención a las personas, L. Soy bueno (a) en canto o algún instrumento, N. Suelo llevar el liderazgo en un grupo, O. Puedo enseñar con facilidad</v>
      </c>
      <c r="Y165" s="1" t="str">
        <f ca="1">IFERROR(__xludf.DUMMYFUNCTION("""COMPUTED_VALUE"""),"Si fui campero del 2012 hasta el 2020 y de el 2021 al 2025 he sido equipante")</f>
        <v>Si fui campero del 2012 hasta el 2020 y de el 2021 al 2025 he sido equipante</v>
      </c>
      <c r="Z165" s="1"/>
    </row>
    <row r="166" spans="1:26" x14ac:dyDescent="0.35">
      <c r="A166" s="3">
        <f ca="1">IFERROR(__xludf.DUMMYFUNCTION("""COMPUTED_VALUE"""),45840.7097569444)</f>
        <v>45840.709756944401</v>
      </c>
      <c r="B166" s="1"/>
      <c r="C166" s="1" t="str">
        <f ca="1">IFERROR(__xludf.DUMMYFUNCTION("""COMPUTED_VALUE"""),"Giuliana, Moguel")</f>
        <v>Giuliana, Moguel</v>
      </c>
      <c r="D166" s="1">
        <f ca="1">IFERROR(__xludf.DUMMYFUNCTION("""COMPUTED_VALUE"""),20)</f>
        <v>20</v>
      </c>
      <c r="E166" s="1" t="str">
        <f ca="1">IFERROR(__xludf.DUMMYFUNCTION("""COMPUTED_VALUE"""),"Mujer")</f>
        <v>Mujer</v>
      </c>
      <c r="F166" s="1" t="str">
        <f ca="1">IFERROR(__xludf.DUMMYFUNCTION("""COMPUTED_VALUE"""),"San Luis Potosi, Mexico")</f>
        <v>San Luis Potosi, Mexico</v>
      </c>
      <c r="G166" s="1" t="str">
        <f ca="1">IFERROR(__xludf.DUMMYFUNCTION("""COMPUTED_VALUE"""),"giuliana.mogl@gmail.com")</f>
        <v>giuliana.mogl@gmail.com</v>
      </c>
      <c r="H166" s="1">
        <f ca="1">IFERROR(__xludf.DUMMYFUNCTION("""COMPUTED_VALUE"""),524443376460)</f>
        <v>524443376460</v>
      </c>
      <c r="I166" s="1" t="str">
        <f ca="1">IFERROR(__xludf.DUMMYFUNCTION("""COMPUTED_VALUE"""),"Semana de entrenamiento (07 - 13) Julio, Semana de niños y niñas (21-25) Julio, Jóvenes de 13 – 17 años / SEM1/ (28 Julio a 02 de agosto)")</f>
        <v>Semana de entrenamiento (07 - 13) Julio, Semana de niños y niñas (21-25) Julio, Jóvenes de 13 – 17 años / SEM1/ (28 Julio a 02 de agosto)</v>
      </c>
      <c r="J166" s="1" t="str">
        <f ca="1">IFERROR(__xludf.DUMMYFUNCTION("""COMPUTED_VALUE"""),"Join the journey (Watermark church), planes de YouVersion")</f>
        <v>Join the journey (Watermark church), planes de YouVersion</v>
      </c>
      <c r="K166" s="1" t="str">
        <f ca="1">IFERROR(__xludf.DUMMYFUNCTION("""COMPUTED_VALUE"""),"Iglesia Bíblica Bautista de San Luis Potosí")</f>
        <v>Iglesia Bíblica Bautista de San Luis Potosí</v>
      </c>
      <c r="L166" s="1" t="str">
        <f ca="1">IFERROR(__xludf.DUMMYFUNCTION("""COMPUTED_VALUE"""),"Manuel Díaz")</f>
        <v>Manuel Díaz</v>
      </c>
      <c r="M166" s="1">
        <f ca="1">IFERROR(__xludf.DUMMYFUNCTION("""COMPUTED_VALUE"""),524448404914)</f>
        <v>524448404914</v>
      </c>
      <c r="N166" s="1" t="str">
        <f ca="1">IFERROR(__xludf.DUMMYFUNCTION("""COMPUTED_VALUE"""),"manuel.diaz.alvarez.2512@gmail.com")</f>
        <v>manuel.diaz.alvarez.2512@gmail.com</v>
      </c>
      <c r="O166" s="1" t="str">
        <f ca="1">IFERROR(__xludf.DUMMYFUNCTION("""COMPUTED_VALUE"""),"Social Media Jóvenes")</f>
        <v>Social Media Jóvenes</v>
      </c>
      <c r="P166" s="1" t="str">
        <f ca="1">IFERROR(__xludf.DUMMYFUNCTION("""COMPUTED_VALUE"""),"En un campamento del 2015 me compartieron el evangelio, entendiendo mi condición por fe acepté a Jesús como mi único y suficiente salvador. Ahora vivo con gozo y gratitud al saber que he nacido de nuevo y que día con día el Señor sigue mostrando su amor p"&amp;"aciencia y fidelidad en mi vida.")</f>
        <v>En un campamento del 2015 me compartieron el evangelio, entendiendo mi condición por fe acepté a Jesús como mi único y suficiente salvador. Ahora vivo con gozo y gratitud al saber que he nacido de nuevo y que día con día el Señor sigue mostrando su amor paciencia y fidelidad en mi vida.</v>
      </c>
      <c r="Q166" s="1" t="str">
        <f ca="1">IFERROR(__xludf.DUMMYFUNCTION("""COMPUTED_VALUE"""),"Quiero ser parte del equipo de verano porque siempre me llena de gozo servir en campamentos. Para mí ha sido una experiencia muy bonita, divertida y también retadora. Me hace crecer, tanto personalmente como espiritualmente, y me ayuda a depender más de D"&amp;"ios, sabiendo que solo Él me da la fortaleza para todo lo que implica esa semana.
También me motiva a seguir compartiendo el evangelio con más personas y a seguir conociendo más su Palabra para poder compartirla mejor. Y me encanta poder convivir con otro"&amp;"s que comparten mi fe, hacer nuevos amigos y tener un buen tiempo sirviendo juntos.")</f>
        <v>Quiero ser parte del equipo de verano porque siempre me llena de gozo servir en campamentos. Para mí ha sido una experiencia muy bonita, divertida y también retadora. Me hace crecer, tanto personalmente como espiritualmente, y me ayuda a depender más de Dios, sabiendo que solo Él me da la fortaleza para todo lo que implica esa semana.
También me motiva a seguir compartiendo el evangelio con más personas y a seguir conociendo más su Palabra para poder compartirla mejor. Y me encanta poder convivir con otros que comparten mi fe, hacer nuevos amigos y tener un buen tiempo sirviendo juntos.</v>
      </c>
      <c r="R166" s="1" t="str">
        <f ca="1">IFERROR(__xludf.DUMMYFUNCTION("""COMPUTED_VALUE"""),"Si")</f>
        <v>Si</v>
      </c>
      <c r="S166" s="1" t="str">
        <f ca="1">IFERROR(__xludf.DUMMYFUNCTION("""COMPUTED_VALUE"""),"Volley")</f>
        <v>Volley</v>
      </c>
      <c r="T166" s="1" t="str">
        <f ca="1">IFERROR(__xludf.DUMMYFUNCTION("""COMPUTED_VALUE"""),"No")</f>
        <v>No</v>
      </c>
      <c r="U166" s="1"/>
      <c r="V166" s="1" t="str">
        <f ca="1">IFERROR(__xludf.DUMMYFUNCTION("""COMPUTED_VALUE"""),"Psicopedagogía")</f>
        <v>Psicopedagogía</v>
      </c>
      <c r="W166" s="1" t="str">
        <f ca="1">IFERROR(__xludf.DUMMYFUNCTION("""COMPUTED_VALUE"""),"Algunas de mis habilidades son la organización, la fotografía y la creatividad. También se me facilita relacionarme con las personas y disfruto el trabajo en equipo.")</f>
        <v>Algunas de mis habilidades son la organización, la fotografía y la creatividad. También se me facilita relacionarme con las personas y disfruto el trabajo en equipo.</v>
      </c>
      <c r="X166" s="1" t="str">
        <f ca="1">IFERROR(__xludf.DUMMYFUNCTION("""COMPUTED_VALUE"""),"B. Me gusta animar a las personas, C. Suelo buscar que el trabajo se realice en equipo, D. Me gustan los deportes, E. Me gusta el trabajo con niños, H. Soy organizado (a), J. Me gusta la atención a las personas, K. Soy creativo (a), L. Soy bueno (a) en ca"&amp;"nto o algún instrumento, N. Suelo llevar el liderazgo en un grupo, O. Puedo enseñar con facilidad")</f>
        <v>B. Me gusta animar a las personas, C. Suelo buscar que el trabajo se realice en equipo, D. Me gustan los deportes, E. Me gusta el trabajo con niños, H. Soy organizado (a), J. Me gusta la atención a las personas, K. Soy creativo (a), L. Soy bueno (a) en canto o algún instrumento, N. Suelo llevar el liderazgo en un grupo, O. Puedo enseñar con facilidad</v>
      </c>
      <c r="Y166" s="1" t="str">
        <f ca="1">IFERROR(__xludf.DUMMYFUNCTION("""COMPUTED_VALUE"""),"Sí, 2015")</f>
        <v>Sí, 2015</v>
      </c>
      <c r="Z166" s="1"/>
    </row>
    <row r="167" spans="1:26" x14ac:dyDescent="0.35">
      <c r="A167" s="3">
        <f ca="1">IFERROR(__xludf.DUMMYFUNCTION("""COMPUTED_VALUE"""),45840.8677430555)</f>
        <v>45840.867743055504</v>
      </c>
      <c r="B167" s="1"/>
      <c r="C167" s="1" t="str">
        <f ca="1">IFERROR(__xludf.DUMMYFUNCTION("""COMPUTED_VALUE"""),"Karla, Uc Collí")</f>
        <v>Karla, Uc Collí</v>
      </c>
      <c r="D167" s="1">
        <f ca="1">IFERROR(__xludf.DUMMYFUNCTION("""COMPUTED_VALUE"""),25)</f>
        <v>25</v>
      </c>
      <c r="E167" s="1" t="str">
        <f ca="1">IFERROR(__xludf.DUMMYFUNCTION("""COMPUTED_VALUE"""),"Mujer")</f>
        <v>Mujer</v>
      </c>
      <c r="F167" s="1" t="str">
        <f ca="1">IFERROR(__xludf.DUMMYFUNCTION("""COMPUTED_VALUE"""),"Queretaro, Mexico")</f>
        <v>Queretaro, Mexico</v>
      </c>
      <c r="G167" s="1" t="str">
        <f ca="1">IFERROR(__xludf.DUMMYFUNCTION("""COMPUTED_VALUE"""),"karlamadai723@gmail.com")</f>
        <v>karlamadai723@gmail.com</v>
      </c>
      <c r="H167" s="1">
        <f ca="1">IFERROR(__xludf.DUMMYFUNCTION("""COMPUTED_VALUE"""),524411037941)</f>
        <v>524411037941</v>
      </c>
      <c r="I167" s="1" t="str">
        <f ca="1">IFERROR(__xludf.DUMMYFUNCTION("""COMPUTED_VALUE"""),"Semana de niños y niñas (21-25) Julio")</f>
        <v>Semana de niños y niñas (21-25) Julio</v>
      </c>
      <c r="J167" s="1" t="str">
        <f ca="1">IFERROR(__xludf.DUMMYFUNCTION("""COMPUTED_VALUE"""),"youversion")</f>
        <v>youversion</v>
      </c>
      <c r="K167" s="1" t="str">
        <f ca="1">IFERROR(__xludf.DUMMYFUNCTION("""COMPUTED_VALUE"""),"conexión vertical")</f>
        <v>conexión vertical</v>
      </c>
      <c r="L167" s="1" t="str">
        <f ca="1">IFERROR(__xludf.DUMMYFUNCTION("""COMPUTED_VALUE"""),"marcelo jorquera")</f>
        <v>marcelo jorquera</v>
      </c>
      <c r="M167" s="1">
        <f ca="1">IFERROR(__xludf.DUMMYFUNCTION("""COMPUTED_VALUE"""),524411000876)</f>
        <v>524411000876</v>
      </c>
      <c r="N167" s="1" t="str">
        <f ca="1">IFERROR(__xludf.DUMMYFUNCTION("""COMPUTED_VALUE"""),"mdjorquerap@gmail.com")</f>
        <v>mdjorquerap@gmail.com</v>
      </c>
      <c r="O167" s="1" t="str">
        <f ca="1">IFERROR(__xludf.DUMMYFUNCTION("""COMPUTED_VALUE"""),"redes sociales")</f>
        <v>redes sociales</v>
      </c>
      <c r="P167" s="1" t="str">
        <f ca="1">IFERROR(__xludf.DUMMYFUNCTION("""COMPUTED_VALUE"""),"a los 5 en la guardería de pdv una misionera compartió conmigo el evangelio y ese entendí que necesitaba a un Salvador y acepté a Cristo en mi corazón, estoy segura que pasaré con el la eternidad.")</f>
        <v>a los 5 en la guardería de pdv una misionera compartió conmigo el evangelio y ese entendí que necesitaba a un Salvador y acepté a Cristo en mi corazón, estoy segura que pasaré con el la eternidad.</v>
      </c>
      <c r="Q167" s="1" t="str">
        <f ca="1">IFERROR(__xludf.DUMMYFUNCTION("""COMPUTED_VALUE"""),"para poder servir y ayudar")</f>
        <v>para poder servir y ayudar</v>
      </c>
      <c r="R167" s="1" t="str">
        <f ca="1">IFERROR(__xludf.DUMMYFUNCTION("""COMPUTED_VALUE"""),"Si")</f>
        <v>Si</v>
      </c>
      <c r="S167" s="1" t="str">
        <f ca="1">IFERROR(__xludf.DUMMYFUNCTION("""COMPUTED_VALUE"""),"futbol y voleybol")</f>
        <v>futbol y voleybol</v>
      </c>
      <c r="T167" s="1" t="str">
        <f ca="1">IFERROR(__xludf.DUMMYFUNCTION("""COMPUTED_VALUE"""),"No")</f>
        <v>No</v>
      </c>
      <c r="U167" s="1"/>
      <c r="V167" s="1" t="str">
        <f ca="1">IFERROR(__xludf.DUMMYFUNCTION("""COMPUTED_VALUE"""),"fisioterapia")</f>
        <v>fisioterapia</v>
      </c>
      <c r="W167" s="1" t="str">
        <f ca="1">IFERROR(__xludf.DUMMYFUNCTION("""COMPUTED_VALUE"""),"soy buena platicando")</f>
        <v>soy buena platicando</v>
      </c>
      <c r="X167" s="1" t="str">
        <f ca="1">IFERROR(__xludf.DUMMYFUNCTION("""COMPUTED_VALUE"""),"B. Me gusta animar a las personas, J. Me gusta la atención a las personas, O. Puedo enseñar con facilidad")</f>
        <v>B. Me gusta animar a las personas, J. Me gusta la atención a las personas, O. Puedo enseñar con facilidad</v>
      </c>
      <c r="Y167" s="1" t="str">
        <f ca="1">IFERROR(__xludf.DUMMYFUNCTION("""COMPUTED_VALUE"""),"desde 2008 al 2014")</f>
        <v>desde 2008 al 2014</v>
      </c>
      <c r="Z167" s="1"/>
    </row>
    <row r="168" spans="1:26" x14ac:dyDescent="0.35">
      <c r="A168" s="3">
        <f ca="1">IFERROR(__xludf.DUMMYFUNCTION("""COMPUTED_VALUE"""),45841.4820023148)</f>
        <v>45841.482002314799</v>
      </c>
      <c r="B168" s="1"/>
      <c r="C168" s="1" t="str">
        <f ca="1">IFERROR(__xludf.DUMMYFUNCTION("""COMPUTED_VALUE"""),"Maryam, Morales García")</f>
        <v>Maryam, Morales García</v>
      </c>
      <c r="D168" s="1">
        <f ca="1">IFERROR(__xludf.DUMMYFUNCTION("""COMPUTED_VALUE"""),16)</f>
        <v>16</v>
      </c>
      <c r="E168" s="1" t="str">
        <f ca="1">IFERROR(__xludf.DUMMYFUNCTION("""COMPUTED_VALUE"""),"Mujer")</f>
        <v>Mujer</v>
      </c>
      <c r="F168" s="1" t="str">
        <f ca="1">IFERROR(__xludf.DUMMYFUNCTION("""COMPUTED_VALUE"""),"Queretaro, Mexico")</f>
        <v>Queretaro, Mexico</v>
      </c>
      <c r="G168" s="1" t="str">
        <f ca="1">IFERROR(__xludf.DUMMYFUNCTION("""COMPUTED_VALUE"""),"maryammorales230309@gmail.com")</f>
        <v>maryammorales230309@gmail.com</v>
      </c>
      <c r="H168" s="1">
        <f ca="1">IFERROR(__xludf.DUMMYFUNCTION("""COMPUTED_VALUE"""),524425519821)</f>
        <v>524425519821</v>
      </c>
      <c r="I168" s="1" t="str">
        <f ca="1">IFERROR(__xludf.DUMMYFUNCTION("""COMPUTED_VALUE"""),"Jóvenes de 13 – 17 años / SEM2/ (4 - 09 agosto)")</f>
        <v>Jóvenes de 13 – 17 años / SEM2/ (4 - 09 agosto)</v>
      </c>
      <c r="J168" s="1" t="str">
        <f ca="1">IFERROR(__xludf.DUMMYFUNCTION("""COMPUTED_VALUE"""),"Padre Nuestro, Descubre el poder de la oración")</f>
        <v>Padre Nuestro, Descubre el poder de la oración</v>
      </c>
      <c r="K168" s="1" t="str">
        <f ca="1">IFERROR(__xludf.DUMMYFUNCTION("""COMPUTED_VALUE"""),"Ministerios de Reconsilación")</f>
        <v>Ministerios de Reconsilación</v>
      </c>
      <c r="L168" s="1" t="str">
        <f ca="1">IFERROR(__xludf.DUMMYFUNCTION("""COMPUTED_VALUE"""),"Abel Sanchez")</f>
        <v>Abel Sanchez</v>
      </c>
      <c r="M168" s="1">
        <f ca="1">IFERROR(__xludf.DUMMYFUNCTION("""COMPUTED_VALUE"""),524422009595)</f>
        <v>524422009595</v>
      </c>
      <c r="N168" s="1" t="str">
        <f ca="1">IFERROR(__xludf.DUMMYFUNCTION("""COMPUTED_VALUE"""),"vasni.rg@gmail.com")</f>
        <v>vasni.rg@gmail.com</v>
      </c>
      <c r="O168" s="1" t="str">
        <f ca="1">IFERROR(__xludf.DUMMYFUNCTION("""COMPUTED_VALUE"""),"Club Biblico")</f>
        <v>Club Biblico</v>
      </c>
      <c r="P168" s="1" t="str">
        <f ca="1">IFERROR(__xludf.DUMMYFUNCTION("""COMPUTED_VALUE"""),"En un campamento de Bernal entregue mi vida al Señor Jesús")</f>
        <v>En un campamento de Bernal entregue mi vida al Señor Jesús</v>
      </c>
      <c r="Q168" s="1" t="str">
        <f ca="1">IFERROR(__xludf.DUMMYFUNCTION("""COMPUTED_VALUE"""),"Para aprovechar mi verano y servir")</f>
        <v>Para aprovechar mi verano y servir</v>
      </c>
      <c r="R168" s="1" t="str">
        <f ca="1">IFERROR(__xludf.DUMMYFUNCTION("""COMPUTED_VALUE"""),"Si")</f>
        <v>Si</v>
      </c>
      <c r="S168" s="1" t="str">
        <f ca="1">IFERROR(__xludf.DUMMYFUNCTION("""COMPUTED_VALUE"""),"Tocho Bandera")</f>
        <v>Tocho Bandera</v>
      </c>
      <c r="T168" s="1" t="str">
        <f ca="1">IFERROR(__xludf.DUMMYFUNCTION("""COMPUTED_VALUE"""),"Si")</f>
        <v>Si</v>
      </c>
      <c r="U168" s="1" t="str">
        <f ca="1">IFERROR(__xludf.DUMMYFUNCTION("""COMPUTED_VALUE"""),"Bateria y Piano")</f>
        <v>Bateria y Piano</v>
      </c>
      <c r="V168" s="1" t="str">
        <f ca="1">IFERROR(__xludf.DUMMYFUNCTION("""COMPUTED_VALUE"""),"La Preparatoria")</f>
        <v>La Preparatoria</v>
      </c>
      <c r="W168" s="1" t="str">
        <f ca="1">IFERROR(__xludf.DUMMYFUNCTION("""COMPUTED_VALUE"""),"Aprendo rápido")</f>
        <v>Aprendo rápido</v>
      </c>
      <c r="X168" s="1" t="str">
        <f ca="1">IFERROR(__xludf.DUMMYFUNCTION("""COMPUTED_VALUE"""),"C. Suelo buscar que el trabajo se realice en equipo, D. Me gustan los deportes, H. Soy organizado (a), I. Se me facilita el trabajo físico, K. Soy creativo (a), L. Soy bueno (a) en canto o algún instrumento")</f>
        <v>C. Suelo buscar que el trabajo se realice en equipo, D. Me gustan los deportes, H. Soy organizado (a), I. Se me facilita el trabajo físico, K. Soy creativo (a), L. Soy bueno (a) en canto o algún instrumento</v>
      </c>
      <c r="Y168" s="1" t="str">
        <f ca="1">IFERROR(__xludf.DUMMYFUNCTION("""COMPUTED_VALUE"""),"Si, 2019, 2020, 2023, 2024")</f>
        <v>Si, 2019, 2020, 2023, 2024</v>
      </c>
      <c r="Z168" s="1"/>
    </row>
    <row r="169" spans="1:26" x14ac:dyDescent="0.35">
      <c r="A169" s="3">
        <f ca="1">IFERROR(__xludf.DUMMYFUNCTION("""COMPUTED_VALUE"""),45842.3424189814)</f>
        <v>45842.342418981403</v>
      </c>
      <c r="B169" s="1"/>
      <c r="C169" s="1" t="str">
        <f ca="1">IFERROR(__xludf.DUMMYFUNCTION("""COMPUTED_VALUE"""),"Edith, Monroy Palomo")</f>
        <v>Edith, Monroy Palomo</v>
      </c>
      <c r="D169" s="1">
        <f ca="1">IFERROR(__xludf.DUMMYFUNCTION("""COMPUTED_VALUE"""),19)</f>
        <v>19</v>
      </c>
      <c r="E169" s="1" t="str">
        <f ca="1">IFERROR(__xludf.DUMMYFUNCTION("""COMPUTED_VALUE"""),"Mujer")</f>
        <v>Mujer</v>
      </c>
      <c r="F169" s="1" t="str">
        <f ca="1">IFERROR(__xludf.DUMMYFUNCTION("""COMPUTED_VALUE"""),"San Luis Potosi, Mexico")</f>
        <v>San Luis Potosi, Mexico</v>
      </c>
      <c r="G169" s="1" t="str">
        <f ca="1">IFERROR(__xludf.DUMMYFUNCTION("""COMPUTED_VALUE"""),"monroy.palomo.edith@gmail.com")</f>
        <v>monroy.palomo.edith@gmail.com</v>
      </c>
      <c r="H169" s="1" t="str">
        <f ca="1">IFERROR(__xludf.DUMMYFUNCTION("""COMPUTED_VALUE"""),"#ERROR!")</f>
        <v>#ERROR!</v>
      </c>
      <c r="I169" s="1" t="str">
        <f ca="1">IFERROR(__xludf.DUMMYFUNCTION("""COMPUTED_VALUE"""),"Comunidad Jóvenes + 18 (14-19) Julio, Semana de niños y niñas (21-25) Julio, Jóvenes de 13 – 17 años / SEM1/ (28 Julio a 02 de agosto)")</f>
        <v>Comunidad Jóvenes + 18 (14-19) Julio, Semana de niños y niñas (21-25) Julio, Jóvenes de 13 – 17 años / SEM1/ (28 Julio a 02 de agosto)</v>
      </c>
      <c r="J169" s="1" t="str">
        <f ca="1">IFERROR(__xludf.DUMMYFUNCTION("""COMPUTED_VALUE"""),"HS, you version y personal")</f>
        <v>HS, you version y personal</v>
      </c>
      <c r="K169" s="1" t="str">
        <f ca="1">IFERROR(__xludf.DUMMYFUNCTION("""COMPUTED_VALUE"""),"Iglesia Bíblica Bautista de SLP")</f>
        <v>Iglesia Bíblica Bautista de SLP</v>
      </c>
      <c r="L169" s="1" t="str">
        <f ca="1">IFERROR(__xludf.DUMMYFUNCTION("""COMPUTED_VALUE"""),"Manuel Díaz")</f>
        <v>Manuel Díaz</v>
      </c>
      <c r="M169" s="1">
        <f ca="1">IFERROR(__xludf.DUMMYFUNCTION("""COMPUTED_VALUE"""),524448404914)</f>
        <v>524448404914</v>
      </c>
      <c r="N169" s="1" t="str">
        <f ca="1">IFERROR(__xludf.DUMMYFUNCTION("""COMPUTED_VALUE"""),"manuel.diaz.alvarez.2512@gmail.com")</f>
        <v>manuel.diaz.alvarez.2512@gmail.com</v>
      </c>
      <c r="O169" s="1" t="str">
        <f ca="1">IFERROR(__xludf.DUMMYFUNCTION("""COMPUTED_VALUE"""),"Cuneros, coro juvenil y apoyo de social media")</f>
        <v>Cuneros, coro juvenil y apoyo de social media</v>
      </c>
      <c r="P169" s="1" t="str">
        <f ca="1">IFERROR(__xludf.DUMMYFUNCTION("""COMPUTED_VALUE"""),"Llegué a la iglesia a mis 3 años pero conocí verdaderamente un relación con Dios a profundidad hasta mis 14 años en un campamento de Palabra de Vida.")</f>
        <v>Llegué a la iglesia a mis 3 años pero conocí verdaderamente un relación con Dios a profundidad hasta mis 14 años en un campamento de Palabra de Vida.</v>
      </c>
      <c r="Q169" s="1" t="str">
        <f ca="1">IFERROR(__xludf.DUMMYFUNCTION("""COMPUTED_VALUE"""),"Me encanta ver todo lo que Dios puede hacer en diferentes vidas, el proceso de y el acompañamiento que llevan los jóvenes. Disfruto mucho formar parte de eso y a la par es una experiencia muy bonita y divertida")</f>
        <v>Me encanta ver todo lo que Dios puede hacer en diferentes vidas, el proceso de y el acompañamiento que llevan los jóvenes. Disfruto mucho formar parte de eso y a la par es una experiencia muy bonita y divertida</v>
      </c>
      <c r="R169" s="1" t="str">
        <f ca="1">IFERROR(__xludf.DUMMYFUNCTION("""COMPUTED_VALUE"""),"Si")</f>
        <v>Si</v>
      </c>
      <c r="S169" s="1" t="str">
        <f ca="1">IFERROR(__xludf.DUMMYFUNCTION("""COMPUTED_VALUE"""),"Volley")</f>
        <v>Volley</v>
      </c>
      <c r="T169" s="1" t="str">
        <f ca="1">IFERROR(__xludf.DUMMYFUNCTION("""COMPUTED_VALUE"""),"Si")</f>
        <v>Si</v>
      </c>
      <c r="U169" s="1" t="str">
        <f ca="1">IFERROR(__xludf.DUMMYFUNCTION("""COMPUTED_VALUE"""),"Canto")</f>
        <v>Canto</v>
      </c>
      <c r="V169" s="1" t="str">
        <f ca="1">IFERROR(__xludf.DUMMYFUNCTION("""COMPUTED_VALUE"""),"Lic en nutrición")</f>
        <v>Lic en nutrición</v>
      </c>
      <c r="W169" s="1" t="str">
        <f ca="1">IFERROR(__xludf.DUMMYFUNCTION("""COMPUTED_VALUE"""),"Repostería, cocina y nutrición")</f>
        <v>Repostería, cocina y nutrición</v>
      </c>
      <c r="X169" s="1" t="str">
        <f ca="1">IFERROR(__xludf.DUMMYFUNCTION("""COMPUTED_VALUE"""),"B. Me gusta animar a las personas, E. Me gusta el trabajo con niños, H. Soy organizado (a), J. Me gusta la atención a las personas, L. Soy bueno (a) en canto o algún instrumento, N. Suelo llevar el liderazgo en un grupo, O. Puedo enseñar con facilidad")</f>
        <v>B. Me gusta animar a las personas, E. Me gusta el trabajo con niños, H. Soy organizado (a), J. Me gusta la atención a las personas, L. Soy bueno (a) en canto o algún instrumento, N. Suelo llevar el liderazgo en un grupo, O. Puedo enseñar con facilidad</v>
      </c>
      <c r="Y169" s="1" t="str">
        <f ca="1">IFERROR(__xludf.DUMMYFUNCTION("""COMPUTED_VALUE"""),"Síp, desde 2012 hasta 2022")</f>
        <v>Síp, desde 2012 hasta 2022</v>
      </c>
      <c r="Z169" s="1"/>
    </row>
    <row r="170" spans="1:26" x14ac:dyDescent="0.35">
      <c r="A170" s="3">
        <f ca="1">IFERROR(__xludf.DUMMYFUNCTION("""COMPUTED_VALUE"""),45842.4503009259)</f>
        <v>45842.450300925899</v>
      </c>
      <c r="B170" s="1"/>
      <c r="C170" s="1" t="str">
        <f ca="1">IFERROR(__xludf.DUMMYFUNCTION("""COMPUTED_VALUE"""),"Sonia Maritza, González Paz")</f>
        <v>Sonia Maritza, González Paz</v>
      </c>
      <c r="D170" s="1">
        <f ca="1">IFERROR(__xludf.DUMMYFUNCTION("""COMPUTED_VALUE"""),25)</f>
        <v>25</v>
      </c>
      <c r="E170" s="1" t="str">
        <f ca="1">IFERROR(__xludf.DUMMYFUNCTION("""COMPUTED_VALUE"""),"Mujer")</f>
        <v>Mujer</v>
      </c>
      <c r="F170" s="1" t="str">
        <f ca="1">IFERROR(__xludf.DUMMYFUNCTION("""COMPUTED_VALUE"""),"Morelos, Mexico")</f>
        <v>Morelos, Mexico</v>
      </c>
      <c r="G170" s="1" t="str">
        <f ca="1">IFERROR(__xludf.DUMMYFUNCTION("""COMPUTED_VALUE"""),"gonzalez.paz.son@gmail.com")</f>
        <v>gonzalez.paz.son@gmail.com</v>
      </c>
      <c r="H170" s="1">
        <f ca="1">IFERROR(__xludf.DUMMYFUNCTION("""COMPUTED_VALUE"""),527773408708)</f>
        <v>527773408708</v>
      </c>
      <c r="I170" s="1" t="str">
        <f ca="1">IFERROR(__xludf.DUMMYFUNCTION("""COMPUTED_VALUE"""),"Jóvenes de 13 – 17 años / SEM1/ (28 Julio a 02 de agosto)")</f>
        <v>Jóvenes de 13 – 17 años / SEM1/ (28 Julio a 02 de agosto)</v>
      </c>
      <c r="J170" s="1" t="str">
        <f ca="1">IFERROR(__xludf.DUMMYFUNCTION("""COMPUTED_VALUE"""),"Mi experiencia con Dios")</f>
        <v>Mi experiencia con Dios</v>
      </c>
      <c r="K170" s="1" t="str">
        <f ca="1">IFERROR(__xludf.DUMMYFUNCTION("""COMPUTED_VALUE"""),"Mahanaim")</f>
        <v>Mahanaim</v>
      </c>
      <c r="L170" s="1" t="str">
        <f ca="1">IFERROR(__xludf.DUMMYFUNCTION("""COMPUTED_VALUE"""),"Fernando Bermudez")</f>
        <v>Fernando Bermudez</v>
      </c>
      <c r="M170" s="1">
        <f ca="1">IFERROR(__xludf.DUMMYFUNCTION("""COMPUTED_VALUE"""),527351258023)</f>
        <v>527351258023</v>
      </c>
      <c r="N170" s="1" t="str">
        <f ca="1">IFERROR(__xludf.DUMMYFUNCTION("""COMPUTED_VALUE"""),"ferberca48@gmail.com")</f>
        <v>ferberca48@gmail.com</v>
      </c>
      <c r="O170" s="1" t="str">
        <f ca="1">IFERROR(__xludf.DUMMYFUNCTION("""COMPUTED_VALUE"""),"No estoy en algún ministerio")</f>
        <v>No estoy en algún ministerio</v>
      </c>
      <c r="P170" s="1" t="str">
        <f ca="1">IFERROR(__xludf.DUMMYFUNCTION("""COMPUTED_VALUE"""),"Crecí en una iglesia católica y mis padres se separaron, a los 6 años mi madre nos llevó a la iglesia cristiana y desde ahí comencé a conocer de Dios. A los 15 años en el campamento yo tome una decisión consciente de ser salva")</f>
        <v>Crecí en una iglesia católica y mis padres se separaron, a los 6 años mi madre nos llevó a la iglesia cristiana y desde ahí comencé a conocer de Dios. A los 15 años en el campamento yo tome una decisión consciente de ser salva</v>
      </c>
      <c r="Q170" s="1" t="str">
        <f ca="1">IFERROR(__xludf.DUMMYFUNCTION("""COMPUTED_VALUE"""),"Me encantaría aportar algo y ser de bendición, que más personas conozcan a Dios")</f>
        <v>Me encantaría aportar algo y ser de bendición, que más personas conozcan a Dios</v>
      </c>
      <c r="R170" s="1" t="str">
        <f ca="1">IFERROR(__xludf.DUMMYFUNCTION("""COMPUTED_VALUE"""),"No")</f>
        <v>No</v>
      </c>
      <c r="S170" s="1"/>
      <c r="T170" s="1" t="str">
        <f ca="1">IFERROR(__xludf.DUMMYFUNCTION("""COMPUTED_VALUE"""),"No")</f>
        <v>No</v>
      </c>
      <c r="U170" s="1"/>
      <c r="V170" s="1" t="str">
        <f ca="1">IFERROR(__xludf.DUMMYFUNCTION("""COMPUTED_VALUE"""),"Medicina")</f>
        <v>Medicina</v>
      </c>
      <c r="W170" s="1" t="str">
        <f ca="1">IFERROR(__xludf.DUMMYFUNCTION("""COMPUTED_VALUE"""),"Soy médico")</f>
        <v>Soy médico</v>
      </c>
      <c r="X170" s="1" t="str">
        <f ca="1">IFERROR(__xludf.DUMMYFUNCTION("""COMPUTED_VALUE"""),"B. Me gusta animar a las personas, D. Me gustan los deportes, J. Me gusta la atención a las personas, K. Soy creativo (a), O. Puedo enseñar con facilidad")</f>
        <v>B. Me gusta animar a las personas, D. Me gustan los deportes, J. Me gusta la atención a las personas, K. Soy creativo (a), O. Puedo enseñar con facilidad</v>
      </c>
      <c r="Y170" s="1" t="str">
        <f ca="1">IFERROR(__xludf.DUMMYFUNCTION("""COMPUTED_VALUE"""),"Si, 2012 y 2015")</f>
        <v>Si, 2012 y 2015</v>
      </c>
      <c r="Z170" s="1"/>
    </row>
    <row r="171" spans="1:26" x14ac:dyDescent="0.35">
      <c r="A171" s="3">
        <f ca="1">IFERROR(__xludf.DUMMYFUNCTION("""COMPUTED_VALUE"""),45842.7478935185)</f>
        <v>45842.747893518499</v>
      </c>
      <c r="B171" s="1"/>
      <c r="C171" s="1" t="str">
        <f ca="1">IFERROR(__xludf.DUMMYFUNCTION("""COMPUTED_VALUE"""),"Israel, Dorantes Saucedo")</f>
        <v>Israel, Dorantes Saucedo</v>
      </c>
      <c r="D171" s="1">
        <f ca="1">IFERROR(__xludf.DUMMYFUNCTION("""COMPUTED_VALUE"""),20)</f>
        <v>20</v>
      </c>
      <c r="E171" s="1" t="str">
        <f ca="1">IFERROR(__xludf.DUMMYFUNCTION("""COMPUTED_VALUE"""),"Hombre")</f>
        <v>Hombre</v>
      </c>
      <c r="F171" s="1" t="str">
        <f ca="1">IFERROR(__xludf.DUMMYFUNCTION("""COMPUTED_VALUE"""),"Queretaro, Mexico")</f>
        <v>Queretaro, Mexico</v>
      </c>
      <c r="G171" s="1" t="str">
        <f ca="1">IFERROR(__xludf.DUMMYFUNCTION("""COMPUTED_VALUE"""),"isra.ds@hotmail.com")</f>
        <v>isra.ds@hotmail.com</v>
      </c>
      <c r="H171" s="1">
        <f ca="1">IFERROR(__xludf.DUMMYFUNCTION("""COMPUTED_VALUE"""),524411163603)</f>
        <v>524411163603</v>
      </c>
      <c r="I171" s="1" t="str">
        <f ca="1">IFERROR(__xludf.DUMMYFUNCTION("""COMPUTED_VALUE"""),"Jóvenes de 13 – 17 años / SEM2/ (4 - 09 agosto), Jóvenes de 13 – 17 años / SEM3/ (11 - 16 agosto)")</f>
        <v>Jóvenes de 13 – 17 años / SEM2/ (4 - 09 agosto), Jóvenes de 13 – 17 años / SEM3/ (11 - 16 agosto)</v>
      </c>
      <c r="J171" s="1" t="str">
        <f ca="1">IFERROR(__xludf.DUMMYFUNCTION("""COMPUTED_VALUE"""),"YourVersion")</f>
        <v>YourVersion</v>
      </c>
      <c r="K171" s="1" t="str">
        <f ca="1">IFERROR(__xludf.DUMMYFUNCTION("""COMPUTED_VALUE"""),"Horizonte Tequisquiapan")</f>
        <v>Horizonte Tequisquiapan</v>
      </c>
      <c r="L171" s="1" t="str">
        <f ca="1">IFERROR(__xludf.DUMMYFUNCTION("""COMPUTED_VALUE"""),"Victor Hugo Ventura Vazquez")</f>
        <v>Victor Hugo Ventura Vazquez</v>
      </c>
      <c r="M171" s="1">
        <f ca="1">IFERROR(__xludf.DUMMYFUNCTION("""COMPUTED_VALUE"""),524422301269)</f>
        <v>524422301269</v>
      </c>
      <c r="N171" s="1" t="str">
        <f ca="1">IFERROR(__xludf.DUMMYFUNCTION("""COMPUTED_VALUE"""),"venturahugo10@gmail.com")</f>
        <v>venturahugo10@gmail.com</v>
      </c>
      <c r="O171" s="1" t="str">
        <f ca="1">IFERROR(__xludf.DUMMYFUNCTION("""COMPUTED_VALUE"""),"Proyeccion, Y staff en grupo de jovenes")</f>
        <v>Proyeccion, Y staff en grupo de jovenes</v>
      </c>
      <c r="P171" s="1" t="str">
        <f ca="1">IFERROR(__xludf.DUMMYFUNCTION("""COMPUTED_VALUE"""),"Nací en una familia cristiana, pero fue hasta los 17 años, en 2022, que conocí verdaderamente a Cristo. Ese año volví a la iglesia, esta vez en Horizonte Tx, y fue en el campamento, durante la fogata, donde lo acepté como mi Salvador. Desde entonces, mi v"&amp;"ida ha sido transformada. Ahora sirvo en mi iglesia y, al terminar mi carrera, deseo prepararme más en un instituto bíblico.")</f>
        <v>Nací en una familia cristiana, pero fue hasta los 17 años, en 2022, que conocí verdaderamente a Cristo. Ese año volví a la iglesia, esta vez en Horizonte Tx, y fue en el campamento, durante la fogata, donde lo acepté como mi Salvador. Desde entonces, mi vida ha sido transformada. Ahora sirvo en mi iglesia y, al terminar mi carrera, deseo prepararme más en un instituto bíblico.</v>
      </c>
      <c r="Q171" s="1" t="str">
        <f ca="1">IFERROR(__xludf.DUMMYFUNCTION("""COMPUTED_VALUE"""),"Deseo ser parte del equipo porque he aprendido que incluso en tareas que parecen pequeñas, como lavar platos u ollas, podemos servir a Cristo y ser de testimonio. Estuve en el área de lavado en 2022 y 2023, y Dios me ha mostrado que todo servicio, por sen"&amp;"cillo que parezca, tiene propósito cuando se hace para Él.")</f>
        <v>Deseo ser parte del equipo porque he aprendido que incluso en tareas que parecen pequeñas, como lavar platos u ollas, podemos servir a Cristo y ser de testimonio. Estuve en el área de lavado en 2022 y 2023, y Dios me ha mostrado que todo servicio, por sencillo que parezca, tiene propósito cuando se hace para Él.</v>
      </c>
      <c r="R171" s="1" t="str">
        <f ca="1">IFERROR(__xludf.DUMMYFUNCTION("""COMPUTED_VALUE"""),"No")</f>
        <v>No</v>
      </c>
      <c r="S171" s="1"/>
      <c r="T171" s="1" t="str">
        <f ca="1">IFERROR(__xludf.DUMMYFUNCTION("""COMPUTED_VALUE"""),"No")</f>
        <v>No</v>
      </c>
      <c r="U171" s="1"/>
      <c r="V171" s="1" t="str">
        <f ca="1">IFERROR(__xludf.DUMMYFUNCTION("""COMPUTED_VALUE"""),"Soy Tecnico Programador y estudio Administración")</f>
        <v>Soy Tecnico Programador y estudio Administración</v>
      </c>
      <c r="W171" s="1" t="str">
        <f ca="1">IFERROR(__xludf.DUMMYFUNCTION("""COMPUTED_VALUE"""),"Estudié programación técnica y estudio Administración. Tengo habilidades para el trabajo en equipo, Logica, Resolución de Problemas coordinación y servir en lo práctico, lavado.")</f>
        <v>Estudié programación técnica y estudio Administración. Tengo habilidades para el trabajo en equipo, Logica, Resolución de Problemas coordinación y servir en lo práctico, lavado.</v>
      </c>
      <c r="X171" s="1" t="str">
        <f ca="1">IFERROR(__xludf.DUMMYFUNCTION("""COMPUTED_VALUE"""),"C. Suelo buscar que el trabajo se realice en equipo, D. Me gustan los deportes, I. Se me facilita el trabajo físico, M. Soy bueno (a) con los números")</f>
        <v>C. Suelo buscar que el trabajo se realice en equipo, D. Me gustan los deportes, I. Se me facilita el trabajo físico, M. Soy bueno (a) con los números</v>
      </c>
      <c r="Y171" s="1" t="str">
        <f ca="1">IFERROR(__xludf.DUMMYFUNCTION("""COMPUTED_VALUE"""),"2017,2018, 2022 +18 y equipante en 2022 toda la temporada y 2023 2 semanas.")</f>
        <v>2017,2018, 2022 +18 y equipante en 2022 toda la temporada y 2023 2 semanas.</v>
      </c>
      <c r="Z171" s="1"/>
    </row>
    <row r="172" spans="1:26" x14ac:dyDescent="0.35">
      <c r="A172" s="3">
        <f ca="1">IFERROR(__xludf.DUMMYFUNCTION("""COMPUTED_VALUE"""),45842.7578935185)</f>
        <v>45842.757893518501</v>
      </c>
      <c r="B172" s="1"/>
      <c r="C172" s="1" t="str">
        <f ca="1">IFERROR(__xludf.DUMMYFUNCTION("""COMPUTED_VALUE"""),"Fredel Nahum, Ojeda Dzul")</f>
        <v>Fredel Nahum, Ojeda Dzul</v>
      </c>
      <c r="D172" s="1">
        <f ca="1">IFERROR(__xludf.DUMMYFUNCTION("""COMPUTED_VALUE"""),19)</f>
        <v>19</v>
      </c>
      <c r="E172" s="1" t="str">
        <f ca="1">IFERROR(__xludf.DUMMYFUNCTION("""COMPUTED_VALUE"""),"Hombre")</f>
        <v>Hombre</v>
      </c>
      <c r="F172" s="1" t="str">
        <f ca="1">IFERROR(__xludf.DUMMYFUNCTION("""COMPUTED_VALUE"""),"Campeche, Mexico")</f>
        <v>Campeche, Mexico</v>
      </c>
      <c r="G172" s="1" t="str">
        <f ca="1">IFERROR(__xludf.DUMMYFUNCTION("""COMPUTED_VALUE"""),"fredelnahum@gmail.com")</f>
        <v>fredelnahum@gmail.com</v>
      </c>
      <c r="H172" s="1">
        <f ca="1">IFERROR(__xludf.DUMMYFUNCTION("""COMPUTED_VALUE"""),529982055169)</f>
        <v>529982055169</v>
      </c>
      <c r="I172" s="1" t="str">
        <f ca="1">IFERROR(__xludf.DUMMYFUNCTION("""COMPUTED_VALUE"""),"Jóvenes de 13 – 17 años / SEM1/ (28 Julio a 02 de agosto), Jóvenes de 13 – 17 años / SEM2/ (4 - 09 agosto)")</f>
        <v>Jóvenes de 13 – 17 años / SEM1/ (28 Julio a 02 de agosto), Jóvenes de 13 – 17 años / SEM2/ (4 - 09 agosto)</v>
      </c>
      <c r="J172" s="1" t="str">
        <f ca="1">IFERROR(__xludf.DUMMYFUNCTION("""COMPUTED_VALUE"""),"El pan diario")</f>
        <v>El pan diario</v>
      </c>
      <c r="K172" s="1" t="str">
        <f ca="1">IFERROR(__xludf.DUMMYFUNCTION("""COMPUTED_VALUE"""),"Iglesia el buen pastor -becal campeche")</f>
        <v>Iglesia el buen pastor -becal campeche</v>
      </c>
      <c r="L172" s="1" t="str">
        <f ca="1">IFERROR(__xludf.DUMMYFUNCTION("""COMPUTED_VALUE"""),"Abraham colli")</f>
        <v>Abraham colli</v>
      </c>
      <c r="M172" s="1">
        <f ca="1">IFERROR(__xludf.DUMMYFUNCTION("""COMPUTED_VALUE"""),529992467451)</f>
        <v>529992467451</v>
      </c>
      <c r="N172" s="1" t="str">
        <f ca="1">IFERROR(__xludf.DUMMYFUNCTION("""COMPUTED_VALUE"""),"abraham_colli@hotmail.con")</f>
        <v>abraham_colli@hotmail.con</v>
      </c>
      <c r="O172" s="1" t="str">
        <f ca="1">IFERROR(__xludf.DUMMYFUNCTION("""COMPUTED_VALUE"""),"En ministerio de Alabanza")</f>
        <v>En ministerio de Alabanza</v>
      </c>
      <c r="P172" s="1" t="str">
        <f ca="1">IFERROR(__xludf.DUMMYFUNCTION("""COMPUTED_VALUE"""),"Por que vengo de una familia cristiana ,mi bisabuelo fue pastor y desde niño eh estado en el templo de Dios sirviendo")</f>
        <v>Por que vengo de una familia cristiana ,mi bisabuelo fue pastor y desde niño eh estado en el templo de Dios sirviendo</v>
      </c>
      <c r="Q172" s="1" t="str">
        <f ca="1">IFERROR(__xludf.DUMMYFUNCTION("""COMPUTED_VALUE"""),"Por que me gustaria conocer y aprender mas de la palabra y por que me invitaron unos familiares")</f>
        <v>Por que me gustaria conocer y aprender mas de la palabra y por que me invitaron unos familiares</v>
      </c>
      <c r="R172" s="1" t="str">
        <f ca="1">IFERROR(__xludf.DUMMYFUNCTION("""COMPUTED_VALUE"""),"Si")</f>
        <v>Si</v>
      </c>
      <c r="S172" s="1" t="str">
        <f ca="1">IFERROR(__xludf.DUMMYFUNCTION("""COMPUTED_VALUE"""),"Basketball")</f>
        <v>Basketball</v>
      </c>
      <c r="T172" s="1" t="str">
        <f ca="1">IFERROR(__xludf.DUMMYFUNCTION("""COMPUTED_VALUE"""),"Si")</f>
        <v>Si</v>
      </c>
      <c r="U172" s="1" t="str">
        <f ca="1">IFERROR(__xludf.DUMMYFUNCTION("""COMPUTED_VALUE"""),"Guitarra")</f>
        <v>Guitarra</v>
      </c>
      <c r="V172" s="1" t="str">
        <f ca="1">IFERROR(__xludf.DUMMYFUNCTION("""COMPUTED_VALUE"""),"Ingeniera Mecatronica")</f>
        <v>Ingeniera Mecatronica</v>
      </c>
      <c r="W172" s="1" t="str">
        <f ca="1">IFERROR(__xludf.DUMMYFUNCTION("""COMPUTED_VALUE"""),"en las matemáticas")</f>
        <v>en las matemáticas</v>
      </c>
      <c r="X172" s="1" t="str">
        <f ca="1">IFERROR(__xludf.DUMMYFUNCTION("""COMPUTED_VALUE"""),"D. Me gustan los deportes, H. Soy organizado (a), K. Soy creativo (a), L. Soy bueno (a) en canto o algún instrumento, M. Soy bueno (a) con los números")</f>
        <v>D. Me gustan los deportes, H. Soy organizado (a), K. Soy creativo (a), L. Soy bueno (a) en canto o algún instrumento, M. Soy bueno (a) con los números</v>
      </c>
      <c r="Y172" s="1" t="str">
        <f ca="1">IFERROR(__xludf.DUMMYFUNCTION("""COMPUTED_VALUE"""),"No , es mi primera vez")</f>
        <v>No , es mi primera vez</v>
      </c>
      <c r="Z172" s="1"/>
    </row>
    <row r="173" spans="1:26" x14ac:dyDescent="0.35">
      <c r="A173" s="3">
        <f ca="1">IFERROR(__xludf.DUMMYFUNCTION("""COMPUTED_VALUE"""),45842.8172453703)</f>
        <v>45842.817245370301</v>
      </c>
      <c r="B173" s="1"/>
      <c r="C173" s="1" t="str">
        <f ca="1">IFERROR(__xludf.DUMMYFUNCTION("""COMPUTED_VALUE"""),"Ana laura, Dominguez castro")</f>
        <v>Ana laura, Dominguez castro</v>
      </c>
      <c r="D173" s="1">
        <f ca="1">IFERROR(__xludf.DUMMYFUNCTION("""COMPUTED_VALUE"""),18)</f>
        <v>18</v>
      </c>
      <c r="E173" s="1" t="str">
        <f ca="1">IFERROR(__xludf.DUMMYFUNCTION("""COMPUTED_VALUE"""),"Mujer")</f>
        <v>Mujer</v>
      </c>
      <c r="F173" s="1" t="str">
        <f ca="1">IFERROR(__xludf.DUMMYFUNCTION("""COMPUTED_VALUE"""),"Durango, Mexico")</f>
        <v>Durango, Mexico</v>
      </c>
      <c r="G173" s="1" t="str">
        <f ca="1">IFERROR(__xludf.DUMMYFUNCTION("""COMPUTED_VALUE"""),"analauradominguezcastro@gmail.com")</f>
        <v>analauradominguezcastro@gmail.com</v>
      </c>
      <c r="H173" s="1">
        <f ca="1">IFERROR(__xludf.DUMMYFUNCTION("""COMPUTED_VALUE"""),528712267561)</f>
        <v>528712267561</v>
      </c>
      <c r="I173" s="1" t="str">
        <f ca="1">IFERROR(__xludf.DUMMYFUNCTION("""COMPUTED_VALUE"""),"Semana de entrenamiento (07 - 13) Julio, Semana de niños y niñas (21-25) Julio")</f>
        <v>Semana de entrenamiento (07 - 13) Julio, Semana de niños y niñas (21-25) Julio</v>
      </c>
      <c r="J173" s="1" t="str">
        <f ca="1">IFERROR(__xludf.DUMMYFUNCTION("""COMPUTED_VALUE"""),"Pan diario")</f>
        <v>Pan diario</v>
      </c>
      <c r="K173" s="1" t="str">
        <f ca="1">IFERROR(__xludf.DUMMYFUNCTION("""COMPUTED_VALUE"""),"Filadelfia")</f>
        <v>Filadelfia</v>
      </c>
      <c r="L173" s="1" t="str">
        <f ca="1">IFERROR(__xludf.DUMMYFUNCTION("""COMPUTED_VALUE"""),"Raúl Saenz")</f>
        <v>Raúl Saenz</v>
      </c>
      <c r="M173" s="1">
        <f ca="1">IFERROR(__xludf.DUMMYFUNCTION("""COMPUTED_VALUE"""),526251304896)</f>
        <v>526251304896</v>
      </c>
      <c r="N173" s="1" t="str">
        <f ca="1">IFERROR(__xludf.DUMMYFUNCTION("""COMPUTED_VALUE"""),"isacraul_48@hotmail.com")</f>
        <v>isacraul_48@hotmail.com</v>
      </c>
      <c r="O173" s="1" t="str">
        <f ca="1">IFERROR(__xludf.DUMMYFUNCTION("""COMPUTED_VALUE"""),"Con niños")</f>
        <v>Con niños</v>
      </c>
      <c r="P173" s="1" t="str">
        <f ca="1">IFERROR(__xludf.DUMMYFUNCTION("""COMPUTED_VALUE"""),"Conocí de Dios desde mi niñez pero experimenté mi salvación hasta 14 años y desde ahí he tenido el anhelo de servir junto a jóvenes que comparten mi fe")</f>
        <v>Conocí de Dios desde mi niñez pero experimenté mi salvación hasta 14 años y desde ahí he tenido el anhelo de servir junto a jóvenes que comparten mi fe</v>
      </c>
      <c r="Q173" s="1" t="str">
        <f ca="1">IFERROR(__xludf.DUMMYFUNCTION("""COMPUTED_VALUE"""),"Quiero poner en práctica el conocimiento que Dios me ha dado y poner mis habilidades al servicio de otros jóvenes para que conozcan de Dios")</f>
        <v>Quiero poner en práctica el conocimiento que Dios me ha dado y poner mis habilidades al servicio de otros jóvenes para que conozcan de Dios</v>
      </c>
      <c r="R173" s="1" t="str">
        <f ca="1">IFERROR(__xludf.DUMMYFUNCTION("""COMPUTED_VALUE"""),"Si")</f>
        <v>Si</v>
      </c>
      <c r="S173" s="1" t="str">
        <f ca="1">IFERROR(__xludf.DUMMYFUNCTION("""COMPUTED_VALUE"""),"Tocho")</f>
        <v>Tocho</v>
      </c>
      <c r="T173" s="1" t="str">
        <f ca="1">IFERROR(__xludf.DUMMYFUNCTION("""COMPUTED_VALUE"""),"No")</f>
        <v>No</v>
      </c>
      <c r="U173" s="1"/>
      <c r="V173" s="1" t="str">
        <f ca="1">IFERROR(__xludf.DUMMYFUNCTION("""COMPUTED_VALUE"""),"Preparatoria")</f>
        <v>Preparatoria</v>
      </c>
      <c r="W173" s="1" t="str">
        <f ca="1">IFERROR(__xludf.DUMMYFUNCTION("""COMPUTED_VALUE"""),"Soy estudiante, deportiva y hago repostería")</f>
        <v>Soy estudiante, deportiva y hago repostería</v>
      </c>
      <c r="X173" s="1" t="str">
        <f ca="1">IFERROR(__xludf.DUMMYFUNCTION("""COMPUTED_VALUE"""),"B. Me gusta animar a las personas, D. Me gustan los deportes, E. Me gusta el trabajo con niños, F. Soy eficiente en el trabajo con herramientas, equipos y maquinarias, G. Soy más eficiente en el trabajo individual, H. Soy organizado (a), I. Se me facilita"&amp;" el trabajo físico, J. Me gusta la atención a las personas, K. Soy creativo (a), O. Puedo enseñar con facilidad")</f>
        <v>B. Me gusta animar a las personas, D. Me gustan los deportes, E. Me gusta el trabajo con niños, F. Soy eficiente en el trabajo con herramientas, equipos y maquinarias, G. Soy más eficiente en el trabajo individual, H. Soy organizado (a), I. Se me facilita el trabajo físico, J. Me gusta la atención a las personas, K. Soy creativo (a), O. Puedo enseñar con facilidad</v>
      </c>
      <c r="Y173" s="1" t="str">
        <f ca="1">IFERROR(__xludf.DUMMYFUNCTION("""COMPUTED_VALUE"""),"No, pero de vdd tengo un gran deseo de poder asistir")</f>
        <v>No, pero de vdd tengo un gran deseo de poder asistir</v>
      </c>
      <c r="Z173" s="1"/>
    </row>
    <row r="174" spans="1:26" x14ac:dyDescent="0.35">
      <c r="A174" s="3">
        <f ca="1">IFERROR(__xludf.DUMMYFUNCTION("""COMPUTED_VALUE"""),45842.9629861111)</f>
        <v>45842.962986111103</v>
      </c>
      <c r="B174" s="1"/>
      <c r="C174" s="1" t="str">
        <f ca="1">IFERROR(__xludf.DUMMYFUNCTION("""COMPUTED_VALUE"""),"Daniela, Espinoza Casanova")</f>
        <v>Daniela, Espinoza Casanova</v>
      </c>
      <c r="D174" s="1">
        <f ca="1">IFERROR(__xludf.DUMMYFUNCTION("""COMPUTED_VALUE"""),24)</f>
        <v>24</v>
      </c>
      <c r="E174" s="1" t="str">
        <f ca="1">IFERROR(__xludf.DUMMYFUNCTION("""COMPUTED_VALUE"""),"Mujer")</f>
        <v>Mujer</v>
      </c>
      <c r="F174" s="1" t="str">
        <f ca="1">IFERROR(__xludf.DUMMYFUNCTION("""COMPUTED_VALUE"""),"Campeche, Mexico")</f>
        <v>Campeche, Mexico</v>
      </c>
      <c r="G174" s="1" t="str">
        <f ca="1">IFERROR(__xludf.DUMMYFUNCTION("""COMPUTED_VALUE"""),"danie.esp.c@gmail.com")</f>
        <v>danie.esp.c@gmail.com</v>
      </c>
      <c r="H174" s="1">
        <f ca="1">IFERROR(__xludf.DUMMYFUNCTION("""COMPUTED_VALUE"""),529381527416)</f>
        <v>529381527416</v>
      </c>
      <c r="I174" s="1" t="str">
        <f ca="1">IFERROR(__xludf.DUMMYFUNCTION("""COMPUTED_VALUE"""),"Jóvenes de 13 – 17 años / SEM2/ (4 - 09 agosto), Jóvenes de 13 – 17 años / SEM3/ (11 - 16 agosto), Toda la temporada (07 de Julio al 16 de agosto)")</f>
        <v>Jóvenes de 13 – 17 años / SEM2/ (4 - 09 agosto), Jóvenes de 13 – 17 años / SEM3/ (11 - 16 agosto), Toda la temporada (07 de Julio al 16 de agosto)</v>
      </c>
      <c r="J174" s="1" t="str">
        <f ca="1">IFERROR(__xludf.DUMMYFUNCTION("""COMPUTED_VALUE"""),"VSC")</f>
        <v>VSC</v>
      </c>
      <c r="K174" s="1" t="str">
        <f ca="1">IFERROR(__xludf.DUMMYFUNCTION("""COMPUTED_VALUE"""),"Vida sc")</f>
        <v>Vida sc</v>
      </c>
      <c r="L174" s="1" t="str">
        <f ca="1">IFERROR(__xludf.DUMMYFUNCTION("""COMPUTED_VALUE"""),"J. Natividad Ramos Garcia")</f>
        <v>J. Natividad Ramos Garcia</v>
      </c>
      <c r="M174" s="1">
        <f ca="1">IFERROR(__xludf.DUMMYFUNCTION("""COMPUTED_VALUE"""),529381032007)</f>
        <v>529381032007</v>
      </c>
      <c r="N174" s="1" t="str">
        <f ca="1">IFERROR(__xludf.DUMMYFUNCTION("""COMPUTED_VALUE"""),"jnatividadramosg@gmail.com")</f>
        <v>jnatividadramosg@gmail.com</v>
      </c>
      <c r="O174" s="1" t="str">
        <f ca="1">IFERROR(__xludf.DUMMYFUNCTION("""COMPUTED_VALUE"""),"Ministerio de jóvenes, enseñanza")</f>
        <v>Ministerio de jóvenes, enseñanza</v>
      </c>
      <c r="P174" s="1" t="str">
        <f ca="1">IFERROR(__xludf.DUMMYFUNCTION("""COMPUTED_VALUE"""),"Tome una decisión por Cristo, a la edad de 8 años, fue comprender que vivía en pecado, que el único que podía salvarme, es Cristo y que tenía que creer lo que hizo, que murió y resucitó para darnos vida eterna en Él")</f>
        <v>Tome una decisión por Cristo, a la edad de 8 años, fue comprender que vivía en pecado, que el único que podía salvarme, es Cristo y que tenía que creer lo que hizo, que murió y resucitó para darnos vida eterna en Él</v>
      </c>
      <c r="Q174" s="1" t="str">
        <f ca="1">IFERROR(__xludf.DUMMYFUNCTION("""COMPUTED_VALUE"""),"Me gustaría poder apoyar en el servicio y que más jóvenes pueda ser impactados con el evangelio")</f>
        <v>Me gustaría poder apoyar en el servicio y que más jóvenes pueda ser impactados con el evangelio</v>
      </c>
      <c r="R174" s="1" t="str">
        <f ca="1">IFERROR(__xludf.DUMMYFUNCTION("""COMPUTED_VALUE"""),"No")</f>
        <v>No</v>
      </c>
      <c r="S174" s="1"/>
      <c r="T174" s="1" t="str">
        <f ca="1">IFERROR(__xludf.DUMMYFUNCTION("""COMPUTED_VALUE"""),"No")</f>
        <v>No</v>
      </c>
      <c r="U174" s="1"/>
      <c r="V174" s="1" t="str">
        <f ca="1">IFERROR(__xludf.DUMMYFUNCTION("""COMPUTED_VALUE"""),"En este momento no estoy estudia")</f>
        <v>En este momento no estoy estudia</v>
      </c>
      <c r="W174" s="1" t="str">
        <f ca="1">IFERROR(__xludf.DUMMYFUNCTION("""COMPUTED_VALUE"""),"Enseñar")</f>
        <v>Enseñar</v>
      </c>
      <c r="X174" s="1" t="str">
        <f ca="1">IFERROR(__xludf.DUMMYFUNCTION("""COMPUTED_VALUE"""),"A. Soy un discipulador activo, B. Me gusta animar a las personas, C. Suelo buscar que el trabajo se realice en equipo, H. Soy organizado (a), J. Me gusta la atención a las personas, O. Puedo enseñar con facilidad")</f>
        <v>A. Soy un discipulador activo, B. Me gusta animar a las personas, C. Suelo buscar que el trabajo se realice en equipo, H. Soy organizado (a), J. Me gusta la atención a las personas, O. Puedo enseñar con facilidad</v>
      </c>
      <c r="Y174" s="1" t="str">
        <f ca="1">IFERROR(__xludf.DUMMYFUNCTION("""COMPUTED_VALUE"""),"Sí, 2017-2019")</f>
        <v>Sí, 2017-2019</v>
      </c>
      <c r="Z174" s="1"/>
    </row>
    <row r="175" spans="1:26" x14ac:dyDescent="0.35">
      <c r="A175" s="3">
        <f ca="1">IFERROR(__xludf.DUMMYFUNCTION("""COMPUTED_VALUE"""),45843.3511805555)</f>
        <v>45843.351180555503</v>
      </c>
      <c r="B175" s="1"/>
      <c r="C175" s="1" t="str">
        <f ca="1">IFERROR(__xludf.DUMMYFUNCTION("""COMPUTED_VALUE"""),"Yaritza Mitzel, Tun Mas")</f>
        <v>Yaritza Mitzel, Tun Mas</v>
      </c>
      <c r="D175" s="1">
        <f ca="1">IFERROR(__xludf.DUMMYFUNCTION("""COMPUTED_VALUE"""),22)</f>
        <v>22</v>
      </c>
      <c r="E175" s="1" t="str">
        <f ca="1">IFERROR(__xludf.DUMMYFUNCTION("""COMPUTED_VALUE"""),"Mujer")</f>
        <v>Mujer</v>
      </c>
      <c r="F175" s="1" t="str">
        <f ca="1">IFERROR(__xludf.DUMMYFUNCTION("""COMPUTED_VALUE"""),"Campeche, Mexico")</f>
        <v>Campeche, Mexico</v>
      </c>
      <c r="G175" s="1" t="str">
        <f ca="1">IFERROR(__xludf.DUMMYFUNCTION("""COMPUTED_VALUE"""),"florecita_tun_mas@hotmai.com")</f>
        <v>florecita_tun_mas@hotmai.com</v>
      </c>
      <c r="H175" s="1">
        <f ca="1">IFERROR(__xludf.DUMMYFUNCTION("""COMPUTED_VALUE"""),529341342344)</f>
        <v>529341342344</v>
      </c>
      <c r="I175" s="1" t="str">
        <f ca="1">IFERROR(__xludf.DUMMYFUNCTION("""COMPUTED_VALUE"""),"Jóvenes de 13 – 17 años / SEM1/ (28 Julio a 02 de agosto), Jóvenes de 13 – 17 años / SEM2/ (4 - 09 agosto), Jóvenes de 13 – 17 años / SEM3/ (11 - 16 agosto)")</f>
        <v>Jóvenes de 13 – 17 años / SEM1/ (28 Julio a 02 de agosto), Jóvenes de 13 – 17 años / SEM2/ (4 - 09 agosto), Jóvenes de 13 – 17 años / SEM3/ (11 - 16 agosto)</v>
      </c>
      <c r="J175" s="1" t="str">
        <f ca="1">IFERROR(__xludf.DUMMYFUNCTION("""COMPUTED_VALUE"""),"De la iglesia VSC")</f>
        <v>De la iglesia VSC</v>
      </c>
      <c r="K175" s="1" t="str">
        <f ca="1">IFERROR(__xludf.DUMMYFUNCTION("""COMPUTED_VALUE"""),"Vida Sociedad Cutural")</f>
        <v>Vida Sociedad Cutural</v>
      </c>
      <c r="L175" s="1" t="str">
        <f ca="1">IFERROR(__xludf.DUMMYFUNCTION("""COMPUTED_VALUE"""),"Jose Natividad Ramos")</f>
        <v>Jose Natividad Ramos</v>
      </c>
      <c r="M175" s="1">
        <f ca="1">IFERROR(__xludf.DUMMYFUNCTION("""COMPUTED_VALUE"""),529381032007)</f>
        <v>529381032007</v>
      </c>
      <c r="N175" s="1" t="str">
        <f ca="1">IFERROR(__xludf.DUMMYFUNCTION("""COMPUTED_VALUE"""),"jnatividadramosg@gmail.com")</f>
        <v>jnatividadramosg@gmail.com</v>
      </c>
      <c r="O175" s="1" t="str">
        <f ca="1">IFERROR(__xludf.DUMMYFUNCTION("""COMPUTED_VALUE"""),"Multiedia")</f>
        <v>Multiedia</v>
      </c>
      <c r="P175" s="1" t="str">
        <f ca="1">IFERROR(__xludf.DUMMYFUNCTION("""COMPUTED_VALUE"""),"Mis padres conocieron a Cristo cuando tenía 10 años aproximadamente, esto causo muchos conflictos en casa, y principalente a mi, le tome mucho rencor a mi padre. Nunca he negado la existencia de Dios, sin embargo, si habia mucho choque de ideas, fue un pr"&amp;"oceso largo. Fue hasta 2021 que acepte a Cristo y el caminar con la iglesia.")</f>
        <v>Mis padres conocieron a Cristo cuando tenía 10 años aproximadamente, esto causo muchos conflictos en casa, y principalente a mi, le tome mucho rencor a mi padre. Nunca he negado la existencia de Dios, sin embargo, si habia mucho choque de ideas, fue un proceso largo. Fue hasta 2021 que acepte a Cristo y el caminar con la iglesia.</v>
      </c>
      <c r="Q175" s="1" t="str">
        <f ca="1">IFERROR(__xludf.DUMMYFUNCTION("""COMPUTED_VALUE"""),"Creo que el servicio es una manera de desarrollar el caracter, y más allá de eso poner en la obra de lseñor nuestras habilidades para bendición de otros.")</f>
        <v>Creo que el servicio es una manera de desarrollar el caracter, y más allá de eso poner en la obra de lseñor nuestras habilidades para bendición de otros.</v>
      </c>
      <c r="R175" s="1" t="str">
        <f ca="1">IFERROR(__xludf.DUMMYFUNCTION("""COMPUTED_VALUE"""),"No")</f>
        <v>No</v>
      </c>
      <c r="S175" s="1"/>
      <c r="T175" s="1" t="str">
        <f ca="1">IFERROR(__xludf.DUMMYFUNCTION("""COMPUTED_VALUE"""),"No")</f>
        <v>No</v>
      </c>
      <c r="U175" s="1"/>
      <c r="V175" s="1" t="str">
        <f ca="1">IFERROR(__xludf.DUMMYFUNCTION("""COMPUTED_VALUE"""),"Diseño Multimedia")</f>
        <v>Diseño Multimedia</v>
      </c>
      <c r="W175" s="1" t="str">
        <f ca="1">IFERROR(__xludf.DUMMYFUNCTION("""COMPUTED_VALUE"""),"Fotografía, Manualidades")</f>
        <v>Fotografía, Manualidades</v>
      </c>
      <c r="X175" s="1" t="str">
        <f ca="1">IFERROR(__xludf.DUMMYFUNCTION("""COMPUTED_VALUE"""),"D. Me gustan los deportes, F. Soy eficiente en el trabajo con herramientas, equipos y maquinarias, G. Soy más eficiente en el trabajo individual, I. Se me facilita el trabajo físico, K. Soy creativo (a)")</f>
        <v>D. Me gustan los deportes, F. Soy eficiente en el trabajo con herramientas, equipos y maquinarias, G. Soy más eficiente en el trabajo individual, I. Se me facilita el trabajo físico, K. Soy creativo (a)</v>
      </c>
      <c r="Y175" s="1" t="str">
        <f ca="1">IFERROR(__xludf.DUMMYFUNCTION("""COMPUTED_VALUE"""),"2017 y 2019")</f>
        <v>2017 y 2019</v>
      </c>
      <c r="Z175" s="1"/>
    </row>
    <row r="176" spans="1:26" x14ac:dyDescent="0.35">
      <c r="A176" s="3">
        <f ca="1">IFERROR(__xludf.DUMMYFUNCTION("""COMPUTED_VALUE"""),45843.4139351851)</f>
        <v>45843.413935185097</v>
      </c>
      <c r="B176" s="1"/>
      <c r="C176" s="1" t="str">
        <f ca="1">IFERROR(__xludf.DUMMYFUNCTION("""COMPUTED_VALUE"""),"Ruth, Espinoza Casanova")</f>
        <v>Ruth, Espinoza Casanova</v>
      </c>
      <c r="D176" s="1">
        <f ca="1">IFERROR(__xludf.DUMMYFUNCTION("""COMPUTED_VALUE"""),21)</f>
        <v>21</v>
      </c>
      <c r="E176" s="1" t="str">
        <f ca="1">IFERROR(__xludf.DUMMYFUNCTION("""COMPUTED_VALUE"""),"Mujer")</f>
        <v>Mujer</v>
      </c>
      <c r="F176" s="1" t="str">
        <f ca="1">IFERROR(__xludf.DUMMYFUNCTION("""COMPUTED_VALUE"""),"Campeche, Mexico")</f>
        <v>Campeche, Mexico</v>
      </c>
      <c r="G176" s="1" t="str">
        <f ca="1">IFERROR(__xludf.DUMMYFUNCTION("""COMPUTED_VALUE"""),"ruthespcas@icloud.com")</f>
        <v>ruthespcas@icloud.com</v>
      </c>
      <c r="H176" s="1">
        <f ca="1">IFERROR(__xludf.DUMMYFUNCTION("""COMPUTED_VALUE"""),529381236332)</f>
        <v>529381236332</v>
      </c>
      <c r="I176" s="1" t="str">
        <f ca="1">IFERROR(__xludf.DUMMYFUNCTION("""COMPUTED_VALUE"""),"Jóvenes de 13 – 17 años / SEM1/ (28 Julio a 02 de agosto), Jóvenes de 13 – 17 años / SEM2/ (4 - 09 agosto), Jóvenes de 13 – 17 años / SEM3/ (11 - 16 agosto)")</f>
        <v>Jóvenes de 13 – 17 años / SEM1/ (28 Julio a 02 de agosto), Jóvenes de 13 – 17 años / SEM2/ (4 - 09 agosto), Jóvenes de 13 – 17 años / SEM3/ (11 - 16 agosto)</v>
      </c>
      <c r="J176" s="1" t="str">
        <f ca="1">IFERROR(__xludf.DUMMYFUNCTION("""COMPUTED_VALUE"""),"VSC")</f>
        <v>VSC</v>
      </c>
      <c r="K176" s="1" t="str">
        <f ca="1">IFERROR(__xludf.DUMMYFUNCTION("""COMPUTED_VALUE"""),"Vida Sociedad Cultural")</f>
        <v>Vida Sociedad Cultural</v>
      </c>
      <c r="L176" s="1" t="str">
        <f ca="1">IFERROR(__xludf.DUMMYFUNCTION("""COMPUTED_VALUE"""),"J. Natividad Ramos García")</f>
        <v>J. Natividad Ramos García</v>
      </c>
      <c r="M176" s="1">
        <f ca="1">IFERROR(__xludf.DUMMYFUNCTION("""COMPUTED_VALUE"""),529381032007)</f>
        <v>529381032007</v>
      </c>
      <c r="N176" s="1" t="str">
        <f ca="1">IFERROR(__xludf.DUMMYFUNCTION("""COMPUTED_VALUE"""),"jnatividadramosg@gmail.com")</f>
        <v>jnatividadramosg@gmail.com</v>
      </c>
      <c r="O176" s="1" t="str">
        <f ca="1">IFERROR(__xludf.DUMMYFUNCTION("""COMPUTED_VALUE"""),"Ministerio de jóvenes, líder de una célula, instructora de un estudio bíblico (NP1, enseñanza)")</f>
        <v>Ministerio de jóvenes, líder de una célula, instructora de un estudio bíblico (NP1, enseñanza)</v>
      </c>
      <c r="P176" s="1" t="str">
        <f ca="1">IFERROR(__xludf.DUMMYFUNCTION("""COMPUTED_VALUE"""),"Crecí en un hogar cristiano, pero no comprendía el evangelio ni mi condición de pecado, hasta que en una clase de niños entendí mi condición y el regalo tan inmenso que tenemos en Jesucristo, fue cuando reconocí a Cristo como mi Señor y Salvador.")</f>
        <v>Crecí en un hogar cristiano, pero no comprendía el evangelio ni mi condición de pecado, hasta que en una clase de niños entendí mi condición y el regalo tan inmenso que tenemos en Jesucristo, fue cuando reconocí a Cristo como mi Señor y Salvador.</v>
      </c>
      <c r="Q176" s="1" t="str">
        <f ca="1">IFERROR(__xludf.DUMMYFUNCTION("""COMPUTED_VALUE"""),"Me gustaría ir a apoyar en el servicio")</f>
        <v>Me gustaría ir a apoyar en el servicio</v>
      </c>
      <c r="R176" s="1" t="str">
        <f ca="1">IFERROR(__xludf.DUMMYFUNCTION("""COMPUTED_VALUE"""),"No")</f>
        <v>No</v>
      </c>
      <c r="S176" s="1"/>
      <c r="T176" s="1" t="str">
        <f ca="1">IFERROR(__xludf.DUMMYFUNCTION("""COMPUTED_VALUE"""),"No")</f>
        <v>No</v>
      </c>
      <c r="U176" s="1"/>
      <c r="V176" s="1" t="str">
        <f ca="1">IFERROR(__xludf.DUMMYFUNCTION("""COMPUTED_VALUE"""),"Mercadotecnia y Publicidad")</f>
        <v>Mercadotecnia y Publicidad</v>
      </c>
      <c r="W176" s="1" t="str">
        <f ca="1">IFERROR(__xludf.DUMMYFUNCTION("""COMPUTED_VALUE"""),"Enseñar")</f>
        <v>Enseñar</v>
      </c>
      <c r="X176" s="1" t="str">
        <f ca="1">IFERROR(__xludf.DUMMYFUNCTION("""COMPUTED_VALUE"""),"A. Soy un discipulador activo, B. Me gusta animar a las personas, C. Suelo buscar que el trabajo se realice en equipo, E. Me gusta el trabajo con niños, J. Me gusta la atención a las personas, O. Puedo enseñar con facilidad")</f>
        <v>A. Soy un discipulador activo, B. Me gusta animar a las personas, C. Suelo buscar que el trabajo se realice en equipo, E. Me gusta el trabajo con niños, J. Me gusta la atención a las personas, O. Puedo enseñar con facilidad</v>
      </c>
      <c r="Y176" s="1" t="str">
        <f ca="1">IFERROR(__xludf.DUMMYFUNCTION("""COMPUTED_VALUE"""),"2017 al 2019")</f>
        <v>2017 al 2019</v>
      </c>
      <c r="Z176" s="1"/>
    </row>
    <row r="177" spans="1:26" x14ac:dyDescent="0.35">
      <c r="A177" s="3">
        <f ca="1">IFERROR(__xludf.DUMMYFUNCTION("""COMPUTED_VALUE"""),45843.4666666666)</f>
        <v>45843.466666666602</v>
      </c>
      <c r="B177" s="1"/>
      <c r="C177" s="1" t="str">
        <f ca="1">IFERROR(__xludf.DUMMYFUNCTION("""COMPUTED_VALUE"""),"Juan Miguel, Cortés Ramirez")</f>
        <v>Juan Miguel, Cortés Ramirez</v>
      </c>
      <c r="D177" s="1">
        <f ca="1">IFERROR(__xludf.DUMMYFUNCTION("""COMPUTED_VALUE"""),24)</f>
        <v>24</v>
      </c>
      <c r="E177" s="1" t="str">
        <f ca="1">IFERROR(__xludf.DUMMYFUNCTION("""COMPUTED_VALUE"""),"Hombre")</f>
        <v>Hombre</v>
      </c>
      <c r="F177" s="1" t="str">
        <f ca="1">IFERROR(__xludf.DUMMYFUNCTION("""COMPUTED_VALUE"""),"Jalisco, Mexico")</f>
        <v>Jalisco, Mexico</v>
      </c>
      <c r="G177" s="1" t="str">
        <f ca="1">IFERROR(__xludf.DUMMYFUNCTION("""COMPUTED_VALUE"""),"casarebelde@hotmail.com")</f>
        <v>casarebelde@hotmail.com</v>
      </c>
      <c r="H177" s="1">
        <f ca="1">IFERROR(__xludf.DUMMYFUNCTION("""COMPUTED_VALUE"""),523310246406)</f>
        <v>523310246406</v>
      </c>
      <c r="I177" s="1" t="str">
        <f ca="1">IFERROR(__xludf.DUMMYFUNCTION("""COMPUTED_VALUE"""),"Comunidad Jóvenes + 18 (14-19) Julio, Semana de niños y niñas (21-25) Julio")</f>
        <v>Comunidad Jóvenes + 18 (14-19) Julio, Semana de niños y niñas (21-25) Julio</v>
      </c>
      <c r="J177" s="1" t="str">
        <f ca="1">IFERROR(__xludf.DUMMYFUNCTION("""COMPUTED_VALUE"""),"Palabra de vida")</f>
        <v>Palabra de vida</v>
      </c>
      <c r="K177" s="1" t="str">
        <f ca="1">IFERROR(__xludf.DUMMYFUNCTION("""COMPUTED_VALUE"""),"Vida")</f>
        <v>Vida</v>
      </c>
      <c r="L177" s="1" t="str">
        <f ca="1">IFERROR(__xludf.DUMMYFUNCTION("""COMPUTED_VALUE"""),"Neftalí Rubio")</f>
        <v>Neftalí Rubio</v>
      </c>
      <c r="M177" s="1">
        <f ca="1">IFERROR(__xludf.DUMMYFUNCTION("""COMPUTED_VALUE"""),524411036024)</f>
        <v>524411036024</v>
      </c>
      <c r="N177" s="1" t="str">
        <f ca="1">IFERROR(__xludf.DUMMYFUNCTION("""COMPUTED_VALUE"""),"nefaly@gmail.com")</f>
        <v>nefaly@gmail.com</v>
      </c>
      <c r="O177" s="1" t="str">
        <f ca="1">IFERROR(__xludf.DUMMYFUNCTION("""COMPUTED_VALUE"""),"Evangelismo y liderazgo dentro del grupo de jóvenes")</f>
        <v>Evangelismo y liderazgo dentro del grupo de jóvenes</v>
      </c>
      <c r="P177" s="1" t="str">
        <f ca="1">IFERROR(__xludf.DUMMYFUNCTION("""COMPUTED_VALUE"""),"2017 conozco sobre mi salvación,Dios y la palabra, 2019 decido aceptar a Cristo como mi salvador en campamentos de Bernal y de ahí para adelante")</f>
        <v>2017 conozco sobre mi salvación,Dios y la palabra, 2019 decido aceptar a Cristo como mi salvador en campamentos de Bernal y de ahí para adelante</v>
      </c>
      <c r="Q177" s="1" t="str">
        <f ca="1">IFERROR(__xludf.DUMMYFUNCTION("""COMPUTED_VALUE"""),"Llevo 3 años haciéndolo y sirviendo en parte de programa y una de las metas el servir a Cristo")</f>
        <v>Llevo 3 años haciéndolo y sirviendo en parte de programa y una de las metas el servir a Cristo</v>
      </c>
      <c r="R177" s="1" t="str">
        <f ca="1">IFERROR(__xludf.DUMMYFUNCTION("""COMPUTED_VALUE"""),"Si")</f>
        <v>Si</v>
      </c>
      <c r="S177" s="1" t="str">
        <f ca="1">IFERROR(__xludf.DUMMYFUNCTION("""COMPUTED_VALUE"""),"Ciclismo, Running, senderismo")</f>
        <v>Ciclismo, Running, senderismo</v>
      </c>
      <c r="T177" s="1" t="str">
        <f ca="1">IFERROR(__xludf.DUMMYFUNCTION("""COMPUTED_VALUE"""),"No")</f>
        <v>No</v>
      </c>
      <c r="U177" s="1"/>
      <c r="V177" s="1" t="str">
        <f ca="1">IFERROR(__xludf.DUMMYFUNCTION("""COMPUTED_VALUE"""),"Actualmente trabajo")</f>
        <v>Actualmente trabajo</v>
      </c>
      <c r="W177" s="1" t="str">
        <f ca="1">IFERROR(__xludf.DUMMYFUNCTION("""COMPUTED_VALUE"""),"Mecánica, pensamiento crítico y analítico, buen control bajo presión, creatividad ante la resolución de problemas")</f>
        <v>Mecánica, pensamiento crítico y analítico, buen control bajo presión, creatividad ante la resolución de problemas</v>
      </c>
      <c r="X177" s="1" t="str">
        <f ca="1">IFERROR(__xludf.DUMMYFUNCTION("""COMPUTED_VALUE"""),"C. Suelo buscar que el trabajo se realice en equipo, D. Me gustan los deportes, F. Soy eficiente en el trabajo con herramientas, equipos y maquinarias, H. Soy organizado (a), I. Se me facilita el trabajo físico, K. Soy creativo (a), N. Suelo llevar el lid"&amp;"erazgo en un grupo")</f>
        <v>C. Suelo buscar que el trabajo se realice en equipo, D. Me gustan los deportes, F. Soy eficiente en el trabajo con herramientas, equipos y maquinarias, H. Soy organizado (a), I. Se me facilita el trabajo físico, K. Soy creativo (a), N. Suelo llevar el liderazgo en un grupo</v>
      </c>
      <c r="Y177" s="1" t="str">
        <f ca="1">IFERROR(__xludf.DUMMYFUNCTION("""COMPUTED_VALUE"""),"Si, temporada 2017,2018,2021")</f>
        <v>Si, temporada 2017,2018,2021</v>
      </c>
      <c r="Z177" s="1"/>
    </row>
    <row r="178" spans="1:26" x14ac:dyDescent="0.35">
      <c r="A178" s="3">
        <f ca="1">IFERROR(__xludf.DUMMYFUNCTION("""COMPUTED_VALUE"""),45843.8439930555)</f>
        <v>45843.843993055503</v>
      </c>
      <c r="B178" s="1"/>
      <c r="C178" s="1" t="str">
        <f ca="1">IFERROR(__xludf.DUMMYFUNCTION("""COMPUTED_VALUE"""),"David Josué, Acosta González")</f>
        <v>David Josué, Acosta González</v>
      </c>
      <c r="D178" s="1">
        <f ca="1">IFERROR(__xludf.DUMMYFUNCTION("""COMPUTED_VALUE"""),26)</f>
        <v>26</v>
      </c>
      <c r="E178" s="1" t="str">
        <f ca="1">IFERROR(__xludf.DUMMYFUNCTION("""COMPUTED_VALUE"""),"Hombre")</f>
        <v>Hombre</v>
      </c>
      <c r="F178" s="1" t="str">
        <f ca="1">IFERROR(__xludf.DUMMYFUNCTION("""COMPUTED_VALUE"""),"Tamaulipas, Mexico")</f>
        <v>Tamaulipas, Mexico</v>
      </c>
      <c r="G178" s="1" t="str">
        <f ca="1">IFERROR(__xludf.DUMMYFUNCTION("""COMPUTED_VALUE"""),"david9905@live.com.mx")</f>
        <v>david9905@live.com.mx</v>
      </c>
      <c r="H178" s="1">
        <f ca="1">IFERROR(__xludf.DUMMYFUNCTION("""COMPUTED_VALUE"""),528333898666)</f>
        <v>528333898666</v>
      </c>
      <c r="I178" s="1" t="str">
        <f ca="1">IFERROR(__xludf.DUMMYFUNCTION("""COMPUTED_VALUE"""),"Toda la temporada (07 de Julio al 16 de agosto)")</f>
        <v>Toda la temporada (07 de Julio al 16 de agosto)</v>
      </c>
      <c r="J178" s="1" t="str">
        <f ca="1">IFERROR(__xludf.DUMMYFUNCTION("""COMPUTED_VALUE"""),"Lectura bíblica por un año")</f>
        <v>Lectura bíblica por un año</v>
      </c>
      <c r="K178" s="1" t="str">
        <f ca="1">IFERROR(__xludf.DUMMYFUNCTION("""COMPUTED_VALUE"""),"Iglesia Bautista El Calvario")</f>
        <v>Iglesia Bautista El Calvario</v>
      </c>
      <c r="L178" s="1" t="str">
        <f ca="1">IFERROR(__xludf.DUMMYFUNCTION("""COMPUTED_VALUE"""),"Marco Antonio García Montoya")</f>
        <v>Marco Antonio García Montoya</v>
      </c>
      <c r="M178" s="1">
        <f ca="1">IFERROR(__xludf.DUMMYFUNCTION("""COMPUTED_VALUE"""),528333504123)</f>
        <v>528333504123</v>
      </c>
      <c r="N178" s="1" t="str">
        <f ca="1">IFERROR(__xludf.DUMMYFUNCTION("""COMPUTED_VALUE"""),"marcoantoniopastor75@gmail.com")</f>
        <v>marcoantoniopastor75@gmail.com</v>
      </c>
      <c r="O178" s="1" t="str">
        <f ca="1">IFERROR(__xludf.DUMMYFUNCTION("""COMPUTED_VALUE"""),"Alabanza")</f>
        <v>Alabanza</v>
      </c>
      <c r="P178" s="1" t="str">
        <f ca="1">IFERROR(__xludf.DUMMYFUNCTION("""COMPUTED_VALUE"""),"Mi vida antes de conocer a Cristo no tenía un propósito en específico, vivía por vivir, gracias a Dios cuando le conocí en un campa de palabra de vida, Dios puso un propósito en mí.")</f>
        <v>Mi vida antes de conocer a Cristo no tenía un propósito en específico, vivía por vivir, gracias a Dios cuando le conocí en un campa de palabra de vida, Dios puso un propósito en mí.</v>
      </c>
      <c r="Q178" s="1" t="str">
        <f ca="1">IFERROR(__xludf.DUMMYFUNCTION("""COMPUTED_VALUE"""),"Gracias a Dios se acomodaron las cosas para que pudiera servir en toda la temporada, ya me ha dado la oportunidad de servir en el campa en otras ocasiones y ha sido de mucha bendición a mi vida")</f>
        <v>Gracias a Dios se acomodaron las cosas para que pudiera servir en toda la temporada, ya me ha dado la oportunidad de servir en el campa en otras ocasiones y ha sido de mucha bendición a mi vida</v>
      </c>
      <c r="R178" s="1" t="str">
        <f ca="1">IFERROR(__xludf.DUMMYFUNCTION("""COMPUTED_VALUE"""),"Si")</f>
        <v>Si</v>
      </c>
      <c r="S178" s="1" t="str">
        <f ca="1">IFERROR(__xludf.DUMMYFUNCTION("""COMPUTED_VALUE"""),"Futbol")</f>
        <v>Futbol</v>
      </c>
      <c r="T178" s="1" t="str">
        <f ca="1">IFERROR(__xludf.DUMMYFUNCTION("""COMPUTED_VALUE"""),"Si")</f>
        <v>Si</v>
      </c>
      <c r="U178" s="1" t="str">
        <f ca="1">IFERROR(__xludf.DUMMYFUNCTION("""COMPUTED_VALUE"""),"Guitarra, bajo, teclado")</f>
        <v>Guitarra, bajo, teclado</v>
      </c>
      <c r="V178" s="1" t="str">
        <f ca="1">IFERROR(__xludf.DUMMYFUNCTION("""COMPUTED_VALUE"""),"Licenciatura en Música")</f>
        <v>Licenciatura en Música</v>
      </c>
      <c r="W178" s="1" t="str">
        <f ca="1">IFERROR(__xludf.DUMMYFUNCTION("""COMPUTED_VALUE"""),"Música, dibujar")</f>
        <v>Música, dibujar</v>
      </c>
      <c r="X178" s="1" t="str">
        <f ca="1">IFERROR(__xludf.DUMMYFUNCTION("""COMPUTED_VALUE"""),"B. Me gusta animar a las personas, C. Suelo buscar que el trabajo se realice en equipo, D. Me gustan los deportes, E. Me gusta el trabajo con niños, F. Soy eficiente en el trabajo con herramientas, equipos y maquinarias, H. Soy organizado (a), I. Se me fa"&amp;"cilita el trabajo físico, J. Me gusta la atención a las personas, K. Soy creativo (a), L. Soy bueno (a) en canto o algún instrumento, M. Soy bueno (a) con los números, N. Suelo llevar el liderazgo en un grupo, O. Puedo enseñar con facilidad")</f>
        <v>B. Me gusta animar a las personas, C. Suelo buscar que el trabajo se realice en equipo, D. Me gustan los deportes, E. Me gusta el trabajo con niños, F. Soy eficiente en el trabajo con herramientas, equipos y maquinarias, H. Soy organizado (a), I. Se me facilita el trabajo físico, J. Me gusta la atención a las personas, K. Soy creativo (a), L. Soy bueno (a) en canto o algún instrumento, M. Soy bueno (a) con los números, N. Suelo llevar el liderazgo en un grupo, O. Puedo enseñar con facilidad</v>
      </c>
      <c r="Y178" s="1" t="str">
        <f ca="1">IFERROR(__xludf.DUMMYFUNCTION("""COMPUTED_VALUE"""),"Si, apartir del año 2014")</f>
        <v>Si, apartir del año 2014</v>
      </c>
      <c r="Z178" s="1"/>
    </row>
    <row r="179" spans="1:26" x14ac:dyDescent="0.35">
      <c r="A179" s="3">
        <f ca="1">IFERROR(__xludf.DUMMYFUNCTION("""COMPUTED_VALUE"""),45843.9308912037)</f>
        <v>45843.930891203701</v>
      </c>
      <c r="B179" s="1"/>
      <c r="C179" s="1" t="str">
        <f ca="1">IFERROR(__xludf.DUMMYFUNCTION("""COMPUTED_VALUE"""),"Nahomi Gabriela, Castañeda Alderete")</f>
        <v>Nahomi Gabriela, Castañeda Alderete</v>
      </c>
      <c r="D179" s="1">
        <f ca="1">IFERROR(__xludf.DUMMYFUNCTION("""COMPUTED_VALUE"""),17)</f>
        <v>17</v>
      </c>
      <c r="E179" s="1" t="str">
        <f ca="1">IFERROR(__xludf.DUMMYFUNCTION("""COMPUTED_VALUE"""),"Mujer")</f>
        <v>Mujer</v>
      </c>
      <c r="F179" s="1" t="str">
        <f ca="1">IFERROR(__xludf.DUMMYFUNCTION("""COMPUTED_VALUE"""),"Veracruz, Mexico")</f>
        <v>Veracruz, Mexico</v>
      </c>
      <c r="G179" s="1" t="str">
        <f ca="1">IFERROR(__xludf.DUMMYFUNCTION("""COMPUTED_VALUE"""),"Nahomicastaalde1@gmail.com")</f>
        <v>Nahomicastaalde1@gmail.com</v>
      </c>
      <c r="H179" s="1">
        <f ca="1">IFERROR(__xludf.DUMMYFUNCTION("""COMPUTED_VALUE"""),522721420044)</f>
        <v>522721420044</v>
      </c>
      <c r="I179" s="1" t="str">
        <f ca="1">IFERROR(__xludf.DUMMYFUNCTION("""COMPUTED_VALUE"""),"Comunidad Jóvenes + 18 (14-19) Julio, Semana de niños y niñas (21-25) Julio, Jóvenes de 13 – 17 años / SEM1/ (28 Julio a 02 de agosto)")</f>
        <v>Comunidad Jóvenes + 18 (14-19) Julio, Semana de niños y niñas (21-25) Julio, Jóvenes de 13 – 17 años / SEM1/ (28 Julio a 02 de agosto)</v>
      </c>
      <c r="J179" s="1" t="str">
        <f ca="1">IFERROR(__xludf.DUMMYFUNCTION("""COMPUTED_VALUE"""),"Indescriptible de Loui Giglio")</f>
        <v>Indescriptible de Loui Giglio</v>
      </c>
      <c r="K179" s="1" t="str">
        <f ca="1">IFERROR(__xludf.DUMMYFUNCTION("""COMPUTED_VALUE"""),"Poniente 18")</f>
        <v>Poniente 18</v>
      </c>
      <c r="L179" s="1" t="str">
        <f ca="1">IFERROR(__xludf.DUMMYFUNCTION("""COMPUTED_VALUE"""),"Rafael Silvestre")</f>
        <v>Rafael Silvestre</v>
      </c>
      <c r="M179" s="1">
        <f ca="1">IFERROR(__xludf.DUMMYFUNCTION("""COMPUTED_VALUE"""),522721547310)</f>
        <v>522721547310</v>
      </c>
      <c r="N179" s="1" t="str">
        <f ca="1">IFERROR(__xludf.DUMMYFUNCTION("""COMPUTED_VALUE"""),"rafael.sil.ro@hotmail.com")</f>
        <v>rafael.sil.ro@hotmail.com</v>
      </c>
      <c r="O179" s="1" t="str">
        <f ca="1">IFERROR(__xludf.DUMMYFUNCTION("""COMPUTED_VALUE"""),"Apoyo Club bíblico infantil")</f>
        <v>Apoyo Club bíblico infantil</v>
      </c>
      <c r="P179" s="1" t="str">
        <f ca="1">IFERROR(__xludf.DUMMYFUNCTION("""COMPUTED_VALUE"""),"Desde pequeña asistí con mi abuela al templo y aprendí historias y versículos de la biblia, cuando tenía 16 años entendí que era pecadora, estaba mal delante de Dios y necesitaba que Dios me perdonara, platicando con mi abuela me dijo que tenía que recono"&amp;"cer mis pecados y sentir arrepentimiento delante de Dios, así que confesé mis pecados y confesé a Cristo como mi Salvador.")</f>
        <v>Desde pequeña asistí con mi abuela al templo y aprendí historias y versículos de la biblia, cuando tenía 16 años entendí que era pecadora, estaba mal delante de Dios y necesitaba que Dios me perdonara, platicando con mi abuela me dijo que tenía que reconocer mis pecados y sentir arrepentimiento delante de Dios, así que confesé mis pecados y confesé a Cristo como mi Salvador.</v>
      </c>
      <c r="Q179" s="1" t="str">
        <f ca="1">IFERROR(__xludf.DUMMYFUNCTION("""COMPUTED_VALUE"""),"Mis amigos fueron parte del equipo el año pasado y me animaron a formar parte, quiero conocer a mas chicos que amen servir a Dios y aprender de las predicaciones.")</f>
        <v>Mis amigos fueron parte del equipo el año pasado y me animaron a formar parte, quiero conocer a mas chicos que amen servir a Dios y aprender de las predicaciones.</v>
      </c>
      <c r="R179" s="1" t="str">
        <f ca="1">IFERROR(__xludf.DUMMYFUNCTION("""COMPUTED_VALUE"""),"Si")</f>
        <v>Si</v>
      </c>
      <c r="S179" s="1" t="str">
        <f ca="1">IFERROR(__xludf.DUMMYFUNCTION("""COMPUTED_VALUE"""),"Natación")</f>
        <v>Natación</v>
      </c>
      <c r="T179" s="1" t="str">
        <f ca="1">IFERROR(__xludf.DUMMYFUNCTION("""COMPUTED_VALUE"""),"Si")</f>
        <v>Si</v>
      </c>
      <c r="U179" s="1" t="str">
        <f ca="1">IFERROR(__xludf.DUMMYFUNCTION("""COMPUTED_VALUE"""),"Ukelele")</f>
        <v>Ukelele</v>
      </c>
      <c r="V179" s="1" t="str">
        <f ca="1">IFERROR(__xludf.DUMMYFUNCTION("""COMPUTED_VALUE"""),"Bachillerato")</f>
        <v>Bachillerato</v>
      </c>
      <c r="W179" s="1" t="str">
        <f ca="1">IFERROR(__xludf.DUMMYFUNCTION("""COMPUTED_VALUE"""),"Manualidades, pintar.")</f>
        <v>Manualidades, pintar.</v>
      </c>
      <c r="X179" s="1" t="str">
        <f ca="1">IFERROR(__xludf.DUMMYFUNCTION("""COMPUTED_VALUE"""),"E. Me gusta el trabajo con niños, F. Soy eficiente en el trabajo con herramientas, equipos y maquinarias, H. Soy organizado (a), K. Soy creativo (a)")</f>
        <v>E. Me gusta el trabajo con niños, F. Soy eficiente en el trabajo con herramientas, equipos y maquinarias, H. Soy organizado (a), K. Soy creativo (a)</v>
      </c>
      <c r="Y179" s="1" t="str">
        <f ca="1">IFERROR(__xludf.DUMMYFUNCTION("""COMPUTED_VALUE"""),"No")</f>
        <v>No</v>
      </c>
      <c r="Z179" s="1"/>
    </row>
    <row r="180" spans="1:26" x14ac:dyDescent="0.35">
      <c r="A180" s="3">
        <f ca="1">IFERROR(__xludf.DUMMYFUNCTION("""COMPUTED_VALUE"""),45844.5342129629)</f>
        <v>45844.534212962899</v>
      </c>
      <c r="B180" s="1"/>
      <c r="C180" s="1" t="str">
        <f ca="1">IFERROR(__xludf.DUMMYFUNCTION("""COMPUTED_VALUE"""),"Zuriel, Priske Alanis")</f>
        <v>Zuriel, Priske Alanis</v>
      </c>
      <c r="D180" s="1">
        <f ca="1">IFERROR(__xludf.DUMMYFUNCTION("""COMPUTED_VALUE"""),17)</f>
        <v>17</v>
      </c>
      <c r="E180" s="1" t="str">
        <f ca="1">IFERROR(__xludf.DUMMYFUNCTION("""COMPUTED_VALUE"""),"Hombre")</f>
        <v>Hombre</v>
      </c>
      <c r="F180" s="1" t="str">
        <f ca="1">IFERROR(__xludf.DUMMYFUNCTION("""COMPUTED_VALUE"""),"Queretaro, Mexico")</f>
        <v>Queretaro, Mexico</v>
      </c>
      <c r="G180" s="1" t="str">
        <f ca="1">IFERROR(__xludf.DUMMYFUNCTION("""COMPUTED_VALUE"""),"zurielpriske@gmail.com")</f>
        <v>zurielpriske@gmail.com</v>
      </c>
      <c r="H180" s="1">
        <f ca="1">IFERROR(__xludf.DUMMYFUNCTION("""COMPUTED_VALUE"""),524141234139)</f>
        <v>524141234139</v>
      </c>
      <c r="I180" s="1" t="str">
        <f ca="1">IFERROR(__xludf.DUMMYFUNCTION("""COMPUTED_VALUE"""),"Comunidad Jóvenes + 18 (14-19) Julio, Jóvenes de 13 – 17 años / SEM1/ (28 Julio a 02 de agosto), Jóvenes de 13 – 17 años / SEM2/ (4 - 09 agosto)")</f>
        <v>Comunidad Jóvenes + 18 (14-19) Julio, Jóvenes de 13 – 17 años / SEM1/ (28 Julio a 02 de agosto), Jóvenes de 13 – 17 años / SEM2/ (4 - 09 agosto)</v>
      </c>
      <c r="J180" s="1" t="str">
        <f ca="1">IFERROR(__xludf.DUMMYFUNCTION("""COMPUTED_VALUE"""),"HS")</f>
        <v>HS</v>
      </c>
      <c r="K180" s="1" t="str">
        <f ca="1">IFERROR(__xludf.DUMMYFUNCTION("""COMPUTED_VALUE"""),"IBM TX")</f>
        <v>IBM TX</v>
      </c>
      <c r="L180" s="1" t="str">
        <f ca="1">IFERROR(__xludf.DUMMYFUNCTION("""COMPUTED_VALUE"""),"Coleman Dale Victor Priske Bond")</f>
        <v>Coleman Dale Victor Priske Bond</v>
      </c>
      <c r="M180" s="1">
        <f ca="1">IFERROR(__xludf.DUMMYFUNCTION("""COMPUTED_VALUE"""),524141017265)</f>
        <v>524141017265</v>
      </c>
      <c r="N180" s="1" t="str">
        <f ca="1">IFERROR(__xludf.DUMMYFUNCTION("""COMPUTED_VALUE"""),"colemanpriske@gmail.com")</f>
        <v>colemanpriske@gmail.com</v>
      </c>
      <c r="O180" s="1" t="str">
        <f ca="1">IFERROR(__xludf.DUMMYFUNCTION("""COMPUTED_VALUE"""),"ninguno")</f>
        <v>ninguno</v>
      </c>
      <c r="P180" s="1" t="str">
        <f ca="1">IFERROR(__xludf.DUMMYFUNCTION("""COMPUTED_VALUE"""),"mi papá  es el pastor de mi iglesai, entoces desde pequeño se me predicó sin embargo no fue hata que tenía al rededor de los 12 años que en un campamento de Guadalajara entendí el evangelio.")</f>
        <v>mi papá  es el pastor de mi iglesai, entoces desde pequeño se me predicó sin embargo no fue hata que tenía al rededor de los 12 años que en un campamento de Guadalajara entendí el evangelio.</v>
      </c>
      <c r="Q180" s="1" t="str">
        <f ca="1">IFERROR(__xludf.DUMMYFUNCTION("""COMPUTED_VALUE"""),"para servir a Dios, ayudar a otros y para ayudar a las personas para poder acercarse a Dios a traves de un campamento")</f>
        <v>para servir a Dios, ayudar a otros y para ayudar a las personas para poder acercarse a Dios a traves de un campamento</v>
      </c>
      <c r="R180" s="1" t="str">
        <f ca="1">IFERROR(__xludf.DUMMYFUNCTION("""COMPUTED_VALUE"""),"Si")</f>
        <v>Si</v>
      </c>
      <c r="S180" s="1" t="str">
        <f ca="1">IFERROR(__xludf.DUMMYFUNCTION("""COMPUTED_VALUE"""),"gimnasio y correr")</f>
        <v>gimnasio y correr</v>
      </c>
      <c r="T180" s="1" t="str">
        <f ca="1">IFERROR(__xludf.DUMMYFUNCTION("""COMPUTED_VALUE"""),"No")</f>
        <v>No</v>
      </c>
      <c r="U180" s="1"/>
      <c r="V180" s="1" t="str">
        <f ca="1">IFERROR(__xludf.DUMMYFUNCTION("""COMPUTED_VALUE"""),"acabo de terminar la preparatoria, y estoy esperando resultados de la universidad")</f>
        <v>acabo de terminar la preparatoria, y estoy esperando resultados de la universidad</v>
      </c>
      <c r="W180" s="1" t="str">
        <f ca="1">IFERROR(__xludf.DUMMYFUNCTION("""COMPUTED_VALUE"""),"soy alguien que me considero muy bueno con habilidades matematicas y sociales, se me facilita el trato con la gente y la resolucion de conflictos, aparte de el calculo mental y el trabajo bajo presion. aparte tengo un titulo tecnico en ventas")</f>
        <v>soy alguien que me considero muy bueno con habilidades matematicas y sociales, se me facilita el trato con la gente y la resolucion de conflictos, aparte de el calculo mental y el trabajo bajo presion. aparte tengo un titulo tecnico en ventas</v>
      </c>
      <c r="X180" s="1" t="str">
        <f ca="1">IFERROR(__xludf.DUMMYFUNCTION("""COMPUTED_VALUE"""),"A. Soy un discipulador activo, B. Me gusta animar a las personas, C. Suelo buscar que el trabajo se realice en equipo, D. Me gustan los deportes, E. Me gusta el trabajo con niños, I. Se me facilita el trabajo físico, J. Me gusta la atención a las personas"&amp;", M. Soy bueno (a) con los números, N. Suelo llevar el liderazgo en un grupo")</f>
        <v>A. Soy un discipulador activo, B. Me gusta animar a las personas, C. Suelo buscar que el trabajo se realice en equipo, D. Me gustan los deportes, E. Me gusta el trabajo con niños, I. Se me facilita el trabajo físico, J. Me gusta la atención a las personas, M. Soy bueno (a) con los números, N. Suelo llevar el liderazgo en un grupo</v>
      </c>
      <c r="Y180" s="1" t="str">
        <f ca="1">IFERROR(__xludf.DUMMYFUNCTION("""COMPUTED_VALUE"""),"en la temporada 2024 y 2023")</f>
        <v>en la temporada 2024 y 2023</v>
      </c>
      <c r="Z180" s="1"/>
    </row>
    <row r="181" spans="1:26" x14ac:dyDescent="0.35">
      <c r="A181" s="3">
        <f ca="1">IFERROR(__xludf.DUMMYFUNCTION("""COMPUTED_VALUE"""),45844.6149537037)</f>
        <v>45844.614953703698</v>
      </c>
      <c r="B181" s="1"/>
      <c r="C181" s="1" t="str">
        <f ca="1">IFERROR(__xludf.DUMMYFUNCTION("""COMPUTED_VALUE"""),"Villalba Palagot Aramis, Aramis")</f>
        <v>Villalba Palagot Aramis, Aramis</v>
      </c>
      <c r="D181" s="1">
        <f ca="1">IFERROR(__xludf.DUMMYFUNCTION("""COMPUTED_VALUE"""),18)</f>
        <v>18</v>
      </c>
      <c r="E181" s="1" t="str">
        <f ca="1">IFERROR(__xludf.DUMMYFUNCTION("""COMPUTED_VALUE"""),"Hombre")</f>
        <v>Hombre</v>
      </c>
      <c r="F181" s="1" t="str">
        <f ca="1">IFERROR(__xludf.DUMMYFUNCTION("""COMPUTED_VALUE"""),"Puebla, Mexico")</f>
        <v>Puebla, Mexico</v>
      </c>
      <c r="G181" s="1" t="str">
        <f ca="1">IFERROR(__xludf.DUMMYFUNCTION("""COMPUTED_VALUE"""),"villalbaaramis@gmail.com")</f>
        <v>villalbaaramis@gmail.com</v>
      </c>
      <c r="H181" s="1">
        <f ca="1">IFERROR(__xludf.DUMMYFUNCTION("""COMPUTED_VALUE"""),522217708452)</f>
        <v>522217708452</v>
      </c>
      <c r="I181" s="1" t="str">
        <f ca="1">IFERROR(__xludf.DUMMYFUNCTION("""COMPUTED_VALUE"""),"Jóvenes de 13 – 17 años / SEM1/ (28 Julio a 02 de agosto)")</f>
        <v>Jóvenes de 13 – 17 años / SEM1/ (28 Julio a 02 de agosto)</v>
      </c>
      <c r="J181" s="1" t="str">
        <f ca="1">IFERROR(__xludf.DUMMYFUNCTION("""COMPUTED_VALUE"""),"Oración")</f>
        <v>Oración</v>
      </c>
      <c r="K181" s="1" t="str">
        <f ca="1">IFERROR(__xludf.DUMMYFUNCTION("""COMPUTED_VALUE"""),"Church project puebla")</f>
        <v>Church project puebla</v>
      </c>
      <c r="L181" s="1" t="str">
        <f ca="1">IFERROR(__xludf.DUMMYFUNCTION("""COMPUTED_VALUE"""),"Ruben")</f>
        <v>Ruben</v>
      </c>
      <c r="M181" s="1">
        <f ca="1">IFERROR(__xludf.DUMMYFUNCTION("""COMPUTED_VALUE"""),522214029970)</f>
        <v>522214029970</v>
      </c>
      <c r="N181" s="1" t="str">
        <f ca="1">IFERROR(__xludf.DUMMYFUNCTION("""COMPUTED_VALUE"""),"rubensdave@outlookcloud.com")</f>
        <v>rubensdave@outlookcloud.com</v>
      </c>
      <c r="O181" s="1" t="str">
        <f ca="1">IFERROR(__xludf.DUMMYFUNCTION("""COMPUTED_VALUE"""),"Orar por alguien")</f>
        <v>Orar por alguien</v>
      </c>
      <c r="P181" s="1" t="str">
        <f ca="1">IFERROR(__xludf.DUMMYFUNCTION("""COMPUTED_VALUE"""),"Por que sin el yo no soy nadie pero en el encontre la salvación")</f>
        <v>Por que sin el yo no soy nadie pero en el encontre la salvación</v>
      </c>
      <c r="Q181" s="1" t="str">
        <f ca="1">IFERROR(__xludf.DUMMYFUNCTION("""COMPUTED_VALUE"""),"Por que me interesa ser parte de ese equipo")</f>
        <v>Por que me interesa ser parte de ese equipo</v>
      </c>
      <c r="R181" s="1" t="str">
        <f ca="1">IFERROR(__xludf.DUMMYFUNCTION("""COMPUTED_VALUE"""),"Si")</f>
        <v>Si</v>
      </c>
      <c r="S181" s="1" t="str">
        <f ca="1">IFERROR(__xludf.DUMMYFUNCTION("""COMPUTED_VALUE"""),"Voleibol")</f>
        <v>Voleibol</v>
      </c>
      <c r="T181" s="1" t="str">
        <f ca="1">IFERROR(__xludf.DUMMYFUNCTION("""COMPUTED_VALUE"""),"No")</f>
        <v>No</v>
      </c>
      <c r="U181" s="1"/>
      <c r="V181" s="1" t="str">
        <f ca="1">IFERROR(__xludf.DUMMYFUNCTION("""COMPUTED_VALUE"""),"La prepa")</f>
        <v>La prepa</v>
      </c>
      <c r="W181" s="1" t="str">
        <f ca="1">IFERROR(__xludf.DUMMYFUNCTION("""COMPUTED_VALUE"""),"Soldar")</f>
        <v>Soldar</v>
      </c>
      <c r="X181" s="1" t="str">
        <f ca="1">IFERROR(__xludf.DUMMYFUNCTION("""COMPUTED_VALUE"""),"A. Soy un discipulador activo, B. Me gusta animar a las personas, C. Suelo buscar que el trabajo se realice en equipo, J. Me gusta la atención a las personas")</f>
        <v>A. Soy un discipulador activo, B. Me gusta animar a las personas, C. Suelo buscar que el trabajo se realice en equipo, J. Me gusta la atención a las personas</v>
      </c>
      <c r="Y181" s="1" t="str">
        <f ca="1">IFERROR(__xludf.DUMMYFUNCTION("""COMPUTED_VALUE"""),"No es la primera vez")</f>
        <v>No es la primera vez</v>
      </c>
      <c r="Z181" s="1"/>
    </row>
    <row r="182" spans="1:26" x14ac:dyDescent="0.35">
      <c r="A182" s="3">
        <f ca="1">IFERROR(__xludf.DUMMYFUNCTION("""COMPUTED_VALUE"""),45844.6945023148)</f>
        <v>45844.6945023148</v>
      </c>
      <c r="B182" s="1"/>
      <c r="C182" s="1" t="str">
        <f ca="1">IFERROR(__xludf.DUMMYFUNCTION("""COMPUTED_VALUE"""),"Marian Yukari, Malagón Lima")</f>
        <v>Marian Yukari, Malagón Lima</v>
      </c>
      <c r="D182" s="1">
        <f ca="1">IFERROR(__xludf.DUMMYFUNCTION("""COMPUTED_VALUE"""),18)</f>
        <v>18</v>
      </c>
      <c r="E182" s="1" t="str">
        <f ca="1">IFERROR(__xludf.DUMMYFUNCTION("""COMPUTED_VALUE"""),"Mujer")</f>
        <v>Mujer</v>
      </c>
      <c r="F182" s="1" t="str">
        <f ca="1">IFERROR(__xludf.DUMMYFUNCTION("""COMPUTED_VALUE"""),"Queretaro, Mexico")</f>
        <v>Queretaro, Mexico</v>
      </c>
      <c r="G182" s="1" t="str">
        <f ca="1">IFERROR(__xludf.DUMMYFUNCTION("""COMPUTED_VALUE"""),"marianmalagon9@gmail.com")</f>
        <v>marianmalagon9@gmail.com</v>
      </c>
      <c r="H182" s="1">
        <f ca="1">IFERROR(__xludf.DUMMYFUNCTION("""COMPUTED_VALUE"""),524412128454)</f>
        <v>524412128454</v>
      </c>
      <c r="I182" s="1" t="str">
        <f ca="1">IFERROR(__xludf.DUMMYFUNCTION("""COMPUTED_VALUE"""),"Jóvenes de 13 – 17 años / SEM1/ (28 Julio a 02 de agosto)")</f>
        <v>Jóvenes de 13 – 17 años / SEM1/ (28 Julio a 02 de agosto)</v>
      </c>
      <c r="J182" s="1" t="str">
        <f ca="1">IFERROR(__xludf.DUMMYFUNCTION("""COMPUTED_VALUE"""),"Ya soy cristiana, ahora qué?")</f>
        <v>Ya soy cristiana, ahora qué?</v>
      </c>
      <c r="K182" s="1" t="str">
        <f ca="1">IFERROR(__xludf.DUMMYFUNCTION("""COMPUTED_VALUE"""),"Horizonte Tequisquiapan")</f>
        <v>Horizonte Tequisquiapan</v>
      </c>
      <c r="L182" s="1" t="str">
        <f ca="1">IFERROR(__xludf.DUMMYFUNCTION("""COMPUTED_VALUE"""),"Victor Hugo Ventura Vazquez")</f>
        <v>Victor Hugo Ventura Vazquez</v>
      </c>
      <c r="M182" s="1">
        <f ca="1">IFERROR(__xludf.DUMMYFUNCTION("""COMPUTED_VALUE"""),524422301269)</f>
        <v>524422301269</v>
      </c>
      <c r="N182" s="1" t="str">
        <f ca="1">IFERROR(__xludf.DUMMYFUNCTION("""COMPUTED_VALUE"""),"venturahugo10@gmail.com")</f>
        <v>venturahugo10@gmail.com</v>
      </c>
      <c r="O182" s="1" t="str">
        <f ca="1">IFERROR(__xludf.DUMMYFUNCTION("""COMPUTED_VALUE"""),"Apoyo en el área de tiendita")</f>
        <v>Apoyo en el área de tiendita</v>
      </c>
      <c r="P182" s="1" t="str">
        <f ca="1">IFERROR(__xludf.DUMMYFUNCTION("""COMPUTED_VALUE"""),"Una persona cercana a mí falleció, y su historia y su familia me motivaron a acercarme a Dios, después mi hermano pasó por un momento difícil en el que se acercó más a Dios y me contó sobre quien es Él y comencé a buscarlo más activamente")</f>
        <v>Una persona cercana a mí falleció, y su historia y su familia me motivaron a acercarme a Dios, después mi hermano pasó por un momento difícil en el que se acercó más a Dios y me contó sobre quien es Él y comencé a buscarlo más activamente</v>
      </c>
      <c r="Q182" s="1" t="str">
        <f ca="1">IFERROR(__xludf.DUMMYFUNCTION("""COMPUTED_VALUE"""),"El año pasado fui campera y fue una experiencia muy bonita para mí y que me permitió acercarme más a Dios y conocer personas que buscaban hacer lo mismo, y me gustaría ayudar a qué más personas tengan esa bonita experiencia y se lleven lo mejor de su sema"&amp;"na de campamento, también me gustaría conocerlas y apoyarlas en su camino de fe")</f>
        <v>El año pasado fui campera y fue una experiencia muy bonita para mí y que me permitió acercarme más a Dios y conocer personas que buscaban hacer lo mismo, y me gustaría ayudar a qué más personas tengan esa bonita experiencia y se lleven lo mejor de su semana de campamento, también me gustaría conocerlas y apoyarlas en su camino de fe</v>
      </c>
      <c r="R182" s="1" t="str">
        <f ca="1">IFERROR(__xludf.DUMMYFUNCTION("""COMPUTED_VALUE"""),"Si")</f>
        <v>Si</v>
      </c>
      <c r="S182" s="1" t="str">
        <f ca="1">IFERROR(__xludf.DUMMYFUNCTION("""COMPUTED_VALUE"""),"Atletismo, gimnasio, bici")</f>
        <v>Atletismo, gimnasio, bici</v>
      </c>
      <c r="T182" s="1" t="str">
        <f ca="1">IFERROR(__xludf.DUMMYFUNCTION("""COMPUTED_VALUE"""),"No")</f>
        <v>No</v>
      </c>
      <c r="U182" s="1"/>
      <c r="V182" s="1" t="str">
        <f ca="1">IFERROR(__xludf.DUMMYFUNCTION("""COMPUTED_VALUE"""),"Acabo de terminar la prepa y estudiaré psicología")</f>
        <v>Acabo de terminar la prepa y estudiaré psicología</v>
      </c>
      <c r="W182" s="1" t="str">
        <f ca="1">IFERROR(__xludf.DUMMYFUNCTION("""COMPUTED_VALUE"""),"soy buena escuchando y dando consejos, creatividad, empatía, sé inglés, soy buena en los deportes")</f>
        <v>soy buena escuchando y dando consejos, creatividad, empatía, sé inglés, soy buena en los deportes</v>
      </c>
      <c r="X182" s="1" t="str">
        <f ca="1">IFERROR(__xludf.DUMMYFUNCTION("""COMPUTED_VALUE"""),"B. Me gusta animar a las personas, D. Me gustan los deportes, J. Me gusta la atención a las personas, K. Soy creativo (a), O. Puedo enseñar con facilidad")</f>
        <v>B. Me gusta animar a las personas, D. Me gustan los deportes, J. Me gusta la atención a las personas, K. Soy creativo (a), O. Puedo enseñar con facilidad</v>
      </c>
      <c r="Y182" s="1" t="str">
        <f ca="1">IFERROR(__xludf.DUMMYFUNCTION("""COMPUTED_VALUE"""),"Sí, en la tercera semana de jóvenes 2024")</f>
        <v>Sí, en la tercera semana de jóvenes 2024</v>
      </c>
      <c r="Z182" s="1"/>
    </row>
    <row r="183" spans="1:26" x14ac:dyDescent="0.35">
      <c r="A183" s="3">
        <f ca="1">IFERROR(__xludf.DUMMYFUNCTION("""COMPUTED_VALUE"""),45844.7882175925)</f>
        <v>45844.788217592497</v>
      </c>
      <c r="B183" s="1"/>
      <c r="C183" s="1" t="str">
        <f ca="1">IFERROR(__xludf.DUMMYFUNCTION("""COMPUTED_VALUE"""),"Angelica, Balboa Beltran")</f>
        <v>Angelica, Balboa Beltran</v>
      </c>
      <c r="D183" s="1">
        <f ca="1">IFERROR(__xludf.DUMMYFUNCTION("""COMPUTED_VALUE"""),22)</f>
        <v>22</v>
      </c>
      <c r="E183" s="1" t="str">
        <f ca="1">IFERROR(__xludf.DUMMYFUNCTION("""COMPUTED_VALUE"""),"Mujer")</f>
        <v>Mujer</v>
      </c>
      <c r="F183" s="1" t="str">
        <f ca="1">IFERROR(__xludf.DUMMYFUNCTION("""COMPUTED_VALUE"""),"Campeche, Mexico")</f>
        <v>Campeche, Mexico</v>
      </c>
      <c r="G183" s="1" t="str">
        <f ca="1">IFERROR(__xludf.DUMMYFUNCTION("""COMPUTED_VALUE"""),"angelicabalboab@hotmail.com")</f>
        <v>angelicabalboab@hotmail.com</v>
      </c>
      <c r="H183" s="1">
        <f ca="1">IFERROR(__xludf.DUMMYFUNCTION("""COMPUTED_VALUE"""),529381266732)</f>
        <v>529381266732</v>
      </c>
      <c r="I183" s="1" t="str">
        <f ca="1">IFERROR(__xludf.DUMMYFUNCTION("""COMPUTED_VALUE"""),"Jóvenes de 13 – 17 años / SEM1/ (28 Julio a 02 de agosto), Jóvenes de 13 – 17 años / SEM2/ (4 - 09 agosto), Jóvenes de 13 – 17 años / SEM3/ (11 - 16 agosto)")</f>
        <v>Jóvenes de 13 – 17 años / SEM1/ (28 Julio a 02 de agosto), Jóvenes de 13 – 17 años / SEM2/ (4 - 09 agosto), Jóvenes de 13 – 17 años / SEM3/ (11 - 16 agosto)</v>
      </c>
      <c r="J183" s="1" t="str">
        <f ca="1">IFERROR(__xludf.DUMMYFUNCTION("""COMPUTED_VALUE"""),"VSC DEVOCIONAL")</f>
        <v>VSC DEVOCIONAL</v>
      </c>
      <c r="K183" s="1" t="str">
        <f ca="1">IFERROR(__xludf.DUMMYFUNCTION("""COMPUTED_VALUE"""),"VIDA SOCIEDAD CULTURAL")</f>
        <v>VIDA SOCIEDAD CULTURAL</v>
      </c>
      <c r="L183" s="1" t="str">
        <f ca="1">IFERROR(__xludf.DUMMYFUNCTION("""COMPUTED_VALUE"""),"J. Natividad Ramos Oyosa")</f>
        <v>J. Natividad Ramos Oyosa</v>
      </c>
      <c r="M183" s="1">
        <f ca="1">IFERROR(__xludf.DUMMYFUNCTION("""COMPUTED_VALUE"""),529381032007)</f>
        <v>529381032007</v>
      </c>
      <c r="N183" s="1" t="str">
        <f ca="1">IFERROR(__xludf.DUMMYFUNCTION("""COMPUTED_VALUE"""),"jnatividadramosg@gmail.com")</f>
        <v>jnatividadramosg@gmail.com</v>
      </c>
      <c r="O183" s="1" t="str">
        <f ca="1">IFERROR(__xludf.DUMMYFUNCTION("""COMPUTED_VALUE"""),"Ministerio de Jóvenes y Alabanza")</f>
        <v>Ministerio de Jóvenes y Alabanza</v>
      </c>
      <c r="P183" s="1" t="str">
        <f ca="1">IFERROR(__xludf.DUMMYFUNCTION("""COMPUTED_VALUE"""),"Por su gracia y misericordia, a mis 18 años entendí el pecado que había en mi vida, que aunque haya crecido en alguna iglesia o mis papás me hayan inculcado los principios bíblicos, no significaba que era la salva; sino que mi condición en pecado viene de"&amp;" nacimiento… 
Crecí en la iglesia, pero con un corazón alejado a Dios que aún no lo conocía y por consiguiente no lo honraba. Fue así que a mis 18 años, estando fuera de mi hogar, el Espíritu Santo puso la convicción en mi corazón que era pecadora, y sólo"&amp;" Cristo y por su sangre podía ser salva, y entendí que solo por El tengo acceso al Padre y vida eterna y puedo vivir en su Reino aquí en la tierra. Y caminar en el llamado que Dios me ha dado")</f>
        <v>Por su gracia y misericordia, a mis 18 años entendí el pecado que había en mi vida, que aunque haya crecido en alguna iglesia o mis papás me hayan inculcado los principios bíblicos, no significaba que era la salva; sino que mi condición en pecado viene de nacimiento… 
Crecí en la iglesia, pero con un corazón alejado a Dios que aún no lo conocía y por consiguiente no lo honraba. Fue así que a mis 18 años, estando fuera de mi hogar, el Espíritu Santo puso la convicción en mi corazón que era pecadora, y sólo Cristo y por su sangre podía ser salva, y entendí que solo por El tengo acceso al Padre y vida eterna y puedo vivir en su Reino aquí en la tierra. Y caminar en el llamado que Dios me ha dado</v>
      </c>
      <c r="Q183" s="1" t="str">
        <f ca="1">IFERROR(__xludf.DUMMYFUNCTION("""COMPUTED_VALUE"""),"Creo que es una oportunidad de poder compartir el evangelio y que Cristo sea glorificado, aún en cualquier área de trabajo… también como ministerio de jóvenes en Carmen, nos capacita y anima mucho, a poder tener ideas y herramientas y seguir trabajando en"&amp;" el ministerio de jóvenes")</f>
        <v>Creo que es una oportunidad de poder compartir el evangelio y que Cristo sea glorificado, aún en cualquier área de trabajo… también como ministerio de jóvenes en Carmen, nos capacita y anima mucho, a poder tener ideas y herramientas y seguir trabajando en el ministerio de jóvenes</v>
      </c>
      <c r="R183" s="1" t="str">
        <f ca="1">IFERROR(__xludf.DUMMYFUNCTION("""COMPUTED_VALUE"""),"No")</f>
        <v>No</v>
      </c>
      <c r="S183" s="1"/>
      <c r="T183" s="1" t="str">
        <f ca="1">IFERROR(__xludf.DUMMYFUNCTION("""COMPUTED_VALUE"""),"Si")</f>
        <v>Si</v>
      </c>
      <c r="U183" s="1" t="str">
        <f ca="1">IFERROR(__xludf.DUMMYFUNCTION("""COMPUTED_VALUE"""),"Teclado")</f>
        <v>Teclado</v>
      </c>
      <c r="V183" s="1" t="str">
        <f ca="1">IFERROR(__xludf.DUMMYFUNCTION("""COMPUTED_VALUE"""),"Negocios internacionales")</f>
        <v>Negocios internacionales</v>
      </c>
      <c r="W183" s="1" t="str">
        <f ca="1">IFERROR(__xludf.DUMMYFUNCTION("""COMPUTED_VALUE"""),"Profesión: asesora inmobiliaria, de habilidades: puedo animar a otras personas, el saber escuchar, y tener siempre una buena actitud")</f>
        <v>Profesión: asesora inmobiliaria, de habilidades: puedo animar a otras personas, el saber escuchar, y tener siempre una buena actitud</v>
      </c>
      <c r="X183" s="1" t="str">
        <f ca="1">IFERROR(__xludf.DUMMYFUNCTION("""COMPUTED_VALUE"""),"A. Soy un discipulador activo, B. Me gusta animar a las personas, C. Suelo buscar que el trabajo se realice en equipo, J. Me gusta la atención a las personas, L. Soy bueno (a) en canto o algún instrumento, N. Suelo llevar el liderazgo en un grupo, O. Pued"&amp;"o enseñar con facilidad")</f>
        <v>A. Soy un discipulador activo, B. Me gusta animar a las personas, C. Suelo buscar que el trabajo se realice en equipo, J. Me gusta la atención a las personas, L. Soy bueno (a) en canto o algún instrumento, N. Suelo llevar el liderazgo en un grupo, O. Puedo enseñar con facilidad</v>
      </c>
      <c r="Y183" s="1" t="str">
        <f ca="1">IFERROR(__xludf.DUMMYFUNCTION("""COMPUTED_VALUE"""),"Sii, ,2017, 2018 y equipante los últimos 2 años")</f>
        <v>Sii, ,2017, 2018 y equipante los últimos 2 años</v>
      </c>
      <c r="Z183" s="1"/>
    </row>
    <row r="184" spans="1:26" x14ac:dyDescent="0.35">
      <c r="A184" s="3">
        <f ca="1">IFERROR(__xludf.DUMMYFUNCTION("""COMPUTED_VALUE"""),45844.8232638888)</f>
        <v>45844.8232638888</v>
      </c>
      <c r="B184" s="1"/>
      <c r="C184" s="1" t="str">
        <f ca="1">IFERROR(__xludf.DUMMYFUNCTION("""COMPUTED_VALUE"""),"Zuri Johana, Hernández Ramírez")</f>
        <v>Zuri Johana, Hernández Ramírez</v>
      </c>
      <c r="D184" s="1">
        <f ca="1">IFERROR(__xludf.DUMMYFUNCTION("""COMPUTED_VALUE"""),18)</f>
        <v>18</v>
      </c>
      <c r="E184" s="1" t="str">
        <f ca="1">IFERROR(__xludf.DUMMYFUNCTION("""COMPUTED_VALUE"""),"Mujer")</f>
        <v>Mujer</v>
      </c>
      <c r="F184" s="1" t="str">
        <f ca="1">IFERROR(__xludf.DUMMYFUNCTION("""COMPUTED_VALUE"""),"Puebla, Mexico")</f>
        <v>Puebla, Mexico</v>
      </c>
      <c r="G184" s="1" t="str">
        <f ca="1">IFERROR(__xludf.DUMMYFUNCTION("""COMPUTED_VALUE"""),"zjoha04@gmail.com")</f>
        <v>zjoha04@gmail.com</v>
      </c>
      <c r="H184" s="1">
        <f ca="1">IFERROR(__xludf.DUMMYFUNCTION("""COMPUTED_VALUE"""),522211876183)</f>
        <v>522211876183</v>
      </c>
      <c r="I184" s="1" t="str">
        <f ca="1">IFERROR(__xludf.DUMMYFUNCTION("""COMPUTED_VALUE"""),"Jóvenes de 13 – 17 años / SEM1/ (28 Julio a 02 de agosto)")</f>
        <v>Jóvenes de 13 – 17 años / SEM1/ (28 Julio a 02 de agosto)</v>
      </c>
      <c r="J184" s="1" t="str">
        <f ca="1">IFERROR(__xludf.DUMMYFUNCTION("""COMPUTED_VALUE"""),"Quiet Time")</f>
        <v>Quiet Time</v>
      </c>
      <c r="K184" s="1" t="str">
        <f ca="1">IFERROR(__xludf.DUMMYFUNCTION("""COMPUTED_VALUE"""),"Church Project Puebla")</f>
        <v>Church Project Puebla</v>
      </c>
      <c r="L184" s="1" t="str">
        <f ca="1">IFERROR(__xludf.DUMMYFUNCTION("""COMPUTED_VALUE"""),"Héctor J. Llampallas")</f>
        <v>Héctor J. Llampallas</v>
      </c>
      <c r="M184" s="1">
        <f ca="1">IFERROR(__xludf.DUMMYFUNCTION("""COMPUTED_VALUE"""),522228362305)</f>
        <v>522228362305</v>
      </c>
      <c r="N184" s="1" t="str">
        <f ca="1">IFERROR(__xludf.DUMMYFUNCTION("""COMPUTED_VALUE"""),"hectorllampallas@gmail.com")</f>
        <v>hectorllampallas@gmail.com</v>
      </c>
      <c r="O184" s="1" t="str">
        <f ca="1">IFERROR(__xludf.DUMMYFUNCTION("""COMPUTED_VALUE"""),"Alabanza Teens/Reunión de adolescentes")</f>
        <v>Alabanza Teens/Reunión de adolescentes</v>
      </c>
      <c r="P184" s="1" t="str">
        <f ca="1">IFERROR(__xludf.DUMMYFUNCTION("""COMPUTED_VALUE"""),"Nací en una familia cristiana por lo cual desde pequeña conozco de Cristo. A la edad de 3 años acepté a Cristo como mi Salvador. Al inicio de mi adolescencia dude un poco de mi salvación debido a que fue añgo que sucedió cuando era muy pequeña pero lo que"&amp;" aprendí en un campamento y también en algunos discipulados en la iglesia me hizo estar segura de lo que creo y que puedo ser llamada hija de Dios.")</f>
        <v>Nací en una familia cristiana por lo cual desde pequeña conozco de Cristo. A la edad de 3 años acepté a Cristo como mi Salvador. Al inicio de mi adolescencia dude un poco de mi salvación debido a que fue añgo que sucedió cuando era muy pequeña pero lo que aprendí en un campamento y también en algunos discipulados en la iglesia me hizo estar segura de lo que creo y que puedo ser llamada hija de Dios.</v>
      </c>
      <c r="Q184" s="1" t="str">
        <f ca="1">IFERROR(__xludf.DUMMYFUNCTION("""COMPUTED_VALUE"""),"Me gustaría ser parte del equipo para servir a Dios y está es una nueva forma para hacerlo. También porque quiero aprender todo lo que pueda para poder empezar a servir en el ministerio de adolescentes en mi iglesia.")</f>
        <v>Me gustaría ser parte del equipo para servir a Dios y está es una nueva forma para hacerlo. También porque quiero aprender todo lo que pueda para poder empezar a servir en el ministerio de adolescentes en mi iglesia.</v>
      </c>
      <c r="R184" s="1" t="str">
        <f ca="1">IFERROR(__xludf.DUMMYFUNCTION("""COMPUTED_VALUE"""),"Si")</f>
        <v>Si</v>
      </c>
      <c r="S184" s="1" t="str">
        <f ca="1">IFERROR(__xludf.DUMMYFUNCTION("""COMPUTED_VALUE"""),"Volleyball")</f>
        <v>Volleyball</v>
      </c>
      <c r="T184" s="1" t="str">
        <f ca="1">IFERROR(__xludf.DUMMYFUNCTION("""COMPUTED_VALUE"""),"No")</f>
        <v>No</v>
      </c>
      <c r="U184" s="1"/>
      <c r="V184" s="1" t="str">
        <f ca="1">IFERROR(__xludf.DUMMYFUNCTION("""COMPUTED_VALUE"""),"Terminé la preparatoria y estoy por empezar a estudiar Lenguas Extranjeras")</f>
        <v>Terminé la preparatoria y estoy por empezar a estudiar Lenguas Extranjeras</v>
      </c>
      <c r="W184" s="1" t="str">
        <f ca="1">IFERROR(__xludf.DUMMYFUNCTION("""COMPUTED_VALUE"""),"Tengo un buen nivel de inglés")</f>
        <v>Tengo un buen nivel de inglés</v>
      </c>
      <c r="X184" s="1" t="str">
        <f ca="1">IFERROR(__xludf.DUMMYFUNCTION("""COMPUTED_VALUE"""),"G. Soy más eficiente en el trabajo individual, H. Soy organizado (a), L. Soy bueno (a) en canto o algún instrumento, M. Soy bueno (a) con los números, N. Suelo llevar el liderazgo en un grupo, O. Puedo enseñar con facilidad")</f>
        <v>G. Soy más eficiente en el trabajo individual, H. Soy organizado (a), L. Soy bueno (a) en canto o algún instrumento, M. Soy bueno (a) con los números, N. Suelo llevar el liderazgo en un grupo, O. Puedo enseñar con facilidad</v>
      </c>
      <c r="Y184" s="1" t="str">
        <f ca="1">IFERROR(__xludf.DUMMYFUNCTION("""COMPUTED_VALUE"""),"Si. Temporada de verano 2021 y 2024")</f>
        <v>Si. Temporada de verano 2021 y 2024</v>
      </c>
      <c r="Z184" s="1"/>
    </row>
    <row r="185" spans="1:26" x14ac:dyDescent="0.35">
      <c r="A185" s="3">
        <f ca="1">IFERROR(__xludf.DUMMYFUNCTION("""COMPUTED_VALUE"""),45844.9301041666)</f>
        <v>45844.930104166597</v>
      </c>
      <c r="B185" s="1"/>
      <c r="C185" s="1" t="str">
        <f ca="1">IFERROR(__xludf.DUMMYFUNCTION("""COMPUTED_VALUE"""),"Geizi Ariadna, Santos Cruz")</f>
        <v>Geizi Ariadna, Santos Cruz</v>
      </c>
      <c r="D185" s="1">
        <f ca="1">IFERROR(__xludf.DUMMYFUNCTION("""COMPUTED_VALUE"""),18)</f>
        <v>18</v>
      </c>
      <c r="E185" s="1" t="str">
        <f ca="1">IFERROR(__xludf.DUMMYFUNCTION("""COMPUTED_VALUE"""),"Mujer")</f>
        <v>Mujer</v>
      </c>
      <c r="F185" s="1" t="str">
        <f ca="1">IFERROR(__xludf.DUMMYFUNCTION("""COMPUTED_VALUE"""),"Queretaro, Mexico")</f>
        <v>Queretaro, Mexico</v>
      </c>
      <c r="G185" s="1" t="str">
        <f ca="1">IFERROR(__xludf.DUMMYFUNCTION("""COMPUTED_VALUE"""),"ari@shadai.tv")</f>
        <v>ari@shadai.tv</v>
      </c>
      <c r="H185" s="1">
        <f ca="1">IFERROR(__xludf.DUMMYFUNCTION("""COMPUTED_VALUE"""),524271801411)</f>
        <v>524271801411</v>
      </c>
      <c r="I185" s="1" t="str">
        <f ca="1">IFERROR(__xludf.DUMMYFUNCTION("""COMPUTED_VALUE"""),"Jóvenes de 13 – 17 años / SEM1/ (28 Julio a 02 de agosto)")</f>
        <v>Jóvenes de 13 – 17 años / SEM1/ (28 Julio a 02 de agosto)</v>
      </c>
      <c r="J185" s="1" t="str">
        <f ca="1">IFERROR(__xludf.DUMMYFUNCTION("""COMPUTED_VALUE"""),"Hora silenciosa y algunos de YouVersion")</f>
        <v>Hora silenciosa y algunos de YouVersion</v>
      </c>
      <c r="K185" s="1" t="str">
        <f ca="1">IFERROR(__xludf.DUMMYFUNCTION("""COMPUTED_VALUE"""),"Iglesia Bíblica Vida Nueva")</f>
        <v>Iglesia Bíblica Vida Nueva</v>
      </c>
      <c r="L185" s="1" t="str">
        <f ca="1">IFERROR(__xludf.DUMMYFUNCTION("""COMPUTED_VALUE"""),"Héctor Jesús Villanueva")</f>
        <v>Héctor Jesús Villanueva</v>
      </c>
      <c r="M185" s="1">
        <f ca="1">IFERROR(__xludf.DUMMYFUNCTION("""COMPUTED_VALUE"""),524421578292)</f>
        <v>524421578292</v>
      </c>
      <c r="N185" s="1" t="str">
        <f ca="1">IFERROR(__xludf.DUMMYFUNCTION("""COMPUTED_VALUE"""),"hectorjvj@gmail.com")</f>
        <v>hectorjvj@gmail.com</v>
      </c>
      <c r="O185" s="1" t="str">
        <f ca="1">IFERROR(__xludf.DUMMYFUNCTION("""COMPUTED_VALUE"""),"Club Bíblico")</f>
        <v>Club Bíblico</v>
      </c>
      <c r="P185" s="1" t="str">
        <f ca="1">IFERROR(__xludf.DUMMYFUNCTION("""COMPUTED_VALUE"""),"Nací en cuna cristiana, gracias a mis papás desde pequeña pude ir a una iglesia con sana doctrina. Sin embargo, la Biblia me parecían solo como hechos maravillosos pero alejados completamente de mí. Recuerdo que cuando tenía unos 11 años, conocí a una muj"&amp;"er me impresionaba escucharla hablar de Dios como su amigo, aunque había escuchado muchas veces que podía tener una relación así con Dios por medio de Jesús, nunca vi a nadie como ella vivirlo así, dedicándole su vida. En otra ocasión, escuché a alguien d"&amp;"ecir ""podría seguir leyendo la Biblia durante toda la vida y aún tendría que enseñarme"". Estas dos cosas me impactaron mucho y fue cuando decidí estudiar más de la Biblia y buscar qué tenía que decir Dios para MÍ, así me di cuenta que podía tener una re"&amp;"lación con Él por medio del sacrificio de Cristo. Entonces entendí Juan 1:12 y decidí aceptar este regalo; Incluso fue un gran alivio para mí porque fue una época en la que me sentía perdida, sin identidad o propósito, entonces poder ser llamada hija de D"&amp;"ios fue hermoso.")</f>
        <v>Nací en cuna cristiana, gracias a mis papás desde pequeña pude ir a una iglesia con sana doctrina. Sin embargo, la Biblia me parecían solo como hechos maravillosos pero alejados completamente de mí. Recuerdo que cuando tenía unos 11 años, conocí a una mujer me impresionaba escucharla hablar de Dios como su amigo, aunque había escuchado muchas veces que podía tener una relación así con Dios por medio de Jesús, nunca vi a nadie como ella vivirlo así, dedicándole su vida. En otra ocasión, escuché a alguien decir "podría seguir leyendo la Biblia durante toda la vida y aún tendría que enseñarme". Estas dos cosas me impactaron mucho y fue cuando decidí estudiar más de la Biblia y buscar qué tenía que decir Dios para MÍ, así me di cuenta que podía tener una relación con Él por medio del sacrificio de Cristo. Entonces entendí Juan 1:12 y decidí aceptar este regalo; Incluso fue un gran alivio para mí porque fue una época en la que me sentía perdida, sin identidad o propósito, entonces poder ser llamada hija de Dios fue hermoso.</v>
      </c>
      <c r="Q185" s="1" t="str">
        <f ca="1">IFERROR(__xludf.DUMMYFUNCTION("""COMPUTED_VALUE"""),"El año pasado fue de gran bendición para mi vida. Este año a pesar solo tener disponible una semana me gustaría usarla para servir a Dios por medio del campamento y hablar a otros de Cristo.")</f>
        <v>El año pasado fue de gran bendición para mi vida. Este año a pesar solo tener disponible una semana me gustaría usarla para servir a Dios por medio del campamento y hablar a otros de Cristo.</v>
      </c>
      <c r="R185" s="1" t="str">
        <f ca="1">IFERROR(__xludf.DUMMYFUNCTION("""COMPUTED_VALUE"""),"Si")</f>
        <v>Si</v>
      </c>
      <c r="S185" s="1" t="str">
        <f ca="1">IFERROR(__xludf.DUMMYFUNCTION("""COMPUTED_VALUE"""),"Aunque no es deporte voy al GYM, algunos días nado. Me mantengo activa saliendo a trotar y recientemente inicié danza folclórica.")</f>
        <v>Aunque no es deporte voy al GYM, algunos días nado. Me mantengo activa saliendo a trotar y recientemente inicié danza folclórica.</v>
      </c>
      <c r="T185" s="1" t="str">
        <f ca="1">IFERROR(__xludf.DUMMYFUNCTION("""COMPUTED_VALUE"""),"No")</f>
        <v>No</v>
      </c>
      <c r="U185" s="1"/>
      <c r="V185" s="1" t="str">
        <f ca="1">IFERROR(__xludf.DUMMYFUNCTION("""COMPUTED_VALUE"""),"Ingeniería en Química Farmacéutica.")</f>
        <v>Ingeniería en Química Farmacéutica.</v>
      </c>
      <c r="W185" s="1" t="str">
        <f ca="1">IFERROR(__xludf.DUMMYFUNCTION("""COMPUTED_VALUE"""),"Gracias al ministerio de Club Bíblico habilidades de liderazgo, escucha y trabajo en equipo. Trabajé por un tiempo como instructora de natación, aprendí a desenvolverme. He dado asesorías en matemáticas, soy buena con la lógica y comunicándome.")</f>
        <v>Gracias al ministerio de Club Bíblico habilidades de liderazgo, escucha y trabajo en equipo. Trabajé por un tiempo como instructora de natación, aprendí a desenvolverme. He dado asesorías en matemáticas, soy buena con la lógica y comunicándome.</v>
      </c>
      <c r="X185" s="1" t="str">
        <f ca="1">IFERROR(__xludf.DUMMYFUNCTION("""COMPUTED_VALUE"""),"A. Soy un discipulador activo, B. Me gusta animar a las personas, C. Suelo buscar que el trabajo se realice en equipo, D. Me gustan los deportes, E. Me gusta el trabajo con niños, F. Soy eficiente en el trabajo con herramientas, equipos y maquinarias, H. "&amp;"Soy organizado (a), J. Me gusta la atención a las personas, K. Soy creativo (a), M. Soy bueno (a) con los números, N. Suelo llevar el liderazgo en un grupo, O. Puedo enseñar con facilidad")</f>
        <v>A. Soy un discipulador activo, B. Me gusta animar a las personas, C. Suelo buscar que el trabajo se realice en equipo, D. Me gustan los deportes, E. Me gusta el trabajo con niños, F. Soy eficiente en el trabajo con herramientas, equipos y maquinarias, H. Soy organizado (a), J. Me gusta la atención a las personas, K. Soy creativo (a), M. Soy bueno (a) con los números, N. Suelo llevar el liderazgo en un grupo, O. Puedo enseñar con facilidad</v>
      </c>
      <c r="Y185" s="1" t="str">
        <f ca="1">IFERROR(__xludf.DUMMYFUNCTION("""COMPUTED_VALUE"""),"Sí. En el año 2023 y antes de pandemia.")</f>
        <v>Sí. En el año 2023 y antes de pandemia.</v>
      </c>
      <c r="Z185" s="1"/>
    </row>
    <row r="186" spans="1:26" x14ac:dyDescent="0.35">
      <c r="A186" s="3">
        <f ca="1">IFERROR(__xludf.DUMMYFUNCTION("""COMPUTED_VALUE"""),45846.3626157407)</f>
        <v>45846.362615740698</v>
      </c>
      <c r="B186" s="1"/>
      <c r="C186" s="1" t="str">
        <f ca="1">IFERROR(__xludf.DUMMYFUNCTION("""COMPUTED_VALUE"""),"Yara, Tlapanco Vasquez")</f>
        <v>Yara, Tlapanco Vasquez</v>
      </c>
      <c r="D186" s="1">
        <f ca="1">IFERROR(__xludf.DUMMYFUNCTION("""COMPUTED_VALUE"""),19)</f>
        <v>19</v>
      </c>
      <c r="E186" s="1" t="str">
        <f ca="1">IFERROR(__xludf.DUMMYFUNCTION("""COMPUTED_VALUE"""),"Mujer")</f>
        <v>Mujer</v>
      </c>
      <c r="F186" s="1" t="str">
        <f ca="1">IFERROR(__xludf.DUMMYFUNCTION("""COMPUTED_VALUE"""),"Morelos, Mexico")</f>
        <v>Morelos, Mexico</v>
      </c>
      <c r="G186" s="1" t="str">
        <f ca="1">IFERROR(__xludf.DUMMYFUNCTION("""COMPUTED_VALUE"""),"yara.tlapancov@outlook.com")</f>
        <v>yara.tlapancov@outlook.com</v>
      </c>
      <c r="H186" s="1">
        <f ca="1">IFERROR(__xludf.DUMMYFUNCTION("""COMPUTED_VALUE"""),527772689767)</f>
        <v>527772689767</v>
      </c>
      <c r="I186" s="1" t="str">
        <f ca="1">IFERROR(__xludf.DUMMYFUNCTION("""COMPUTED_VALUE"""),"Semana de entrenamiento (07 - 13) Julio, Comunidad Jóvenes + 18 (14-19) Julio, Semana de niños y niñas (21-25) Julio, Jóvenes de 13 – 17 años / SEM1/ (28 Julio a 02 de agosto), Jóvenes de 13 – 17 años / SEM2/ (4 - 09 agosto), Jóvenes de 13 – 17 años / SEM"&amp;"3/ (11 - 16 agosto)")</f>
        <v>Semana de entrenamiento (07 - 13) Julio, Comunidad Jóvenes + 18 (14-19) Julio, Semana de niños y niñas (21-25) Julio, Jóvenes de 13 – 17 años / SEM1/ (28 Julio a 02 de agosto), Jóvenes de 13 – 17 años / SEM2/ (4 - 09 agosto), Jóvenes de 13 – 17 años / SEM3/ (11 - 16 agosto)</v>
      </c>
      <c r="J186" s="1" t="str">
        <f ca="1">IFERROR(__xludf.DUMMYFUNCTION("""COMPUTED_VALUE"""),"Glorify")</f>
        <v>Glorify</v>
      </c>
      <c r="K186" s="1" t="str">
        <f ca="1">IFERROR(__xludf.DUMMYFUNCTION("""COMPUTED_VALUE"""),"Mahanaim")</f>
        <v>Mahanaim</v>
      </c>
      <c r="L186" s="1" t="str">
        <f ca="1">IFERROR(__xludf.DUMMYFUNCTION("""COMPUTED_VALUE"""),"Fernando Bermúdez")</f>
        <v>Fernando Bermúdez</v>
      </c>
      <c r="M186" s="1">
        <f ca="1">IFERROR(__xludf.DUMMYFUNCTION("""COMPUTED_VALUE"""),527351258023)</f>
        <v>527351258023</v>
      </c>
      <c r="N186" s="1" t="str">
        <f ca="1">IFERROR(__xludf.DUMMYFUNCTION("""COMPUTED_VALUE"""),"ferberca48@gmail.com")</f>
        <v>ferberca48@gmail.com</v>
      </c>
      <c r="O186" s="1" t="str">
        <f ca="1">IFERROR(__xludf.DUMMYFUNCTION("""COMPUTED_VALUE"""),"Aún no")</f>
        <v>Aún no</v>
      </c>
      <c r="P186" s="1" t="str">
        <f ca="1">IFERROR(__xludf.DUMMYFUNCTION("""COMPUTED_VALUE"""),"Conocí de Dios cuando tenía 8 años pero todavía no lo había aceptado como mi Salvador , luego a los 10 años entré a una escuela de ACE y en una prédica del pastor acepté a Cristo, después pasaron dificultades y me alejé de Dios y en mi último campamento q"&amp;"ue fui de campera me di cuenta de lo alejada que estaba de Dios y decidí entregarle mi vida")</f>
        <v>Conocí de Dios cuando tenía 8 años pero todavía no lo había aceptado como mi Salvador , luego a los 10 años entré a una escuela de ACE y en una prédica del pastor acepté a Cristo, después pasaron dificultades y me alejé de Dios y en mi último campamento que fui de campera me di cuenta de lo alejada que estaba de Dios y decidí entregarle mi vida</v>
      </c>
      <c r="Q186" s="1" t="str">
        <f ca="1">IFERROR(__xludf.DUMMYFUNCTION("""COMPUTED_VALUE"""),"Para crecer en el Señor , conocer nuevas amistades y poder servir a Dios y a los demás")</f>
        <v>Para crecer en el Señor , conocer nuevas amistades y poder servir a Dios y a los demás</v>
      </c>
      <c r="R186" s="1" t="str">
        <f ca="1">IFERROR(__xludf.DUMMYFUNCTION("""COMPUTED_VALUE"""),"Si")</f>
        <v>Si</v>
      </c>
      <c r="S186" s="1" t="str">
        <f ca="1">IFERROR(__xludf.DUMMYFUNCTION("""COMPUTED_VALUE"""),"Volleyball, football , correr")</f>
        <v>Volleyball, football , correr</v>
      </c>
      <c r="T186" s="1" t="str">
        <f ca="1">IFERROR(__xludf.DUMMYFUNCTION("""COMPUTED_VALUE"""),"No")</f>
        <v>No</v>
      </c>
      <c r="U186" s="1"/>
      <c r="V186" s="1" t="str">
        <f ca="1">IFERROR(__xludf.DUMMYFUNCTION("""COMPUTED_VALUE"""),"Estoy estudiando en el sistema ACE")</f>
        <v>Estoy estudiando en el sistema ACE</v>
      </c>
      <c r="W186" s="1" t="str">
        <f ca="1">IFERROR(__xludf.DUMMYFUNCTION("""COMPUTED_VALUE"""),"Bailar, actuar")</f>
        <v>Bailar, actuar</v>
      </c>
      <c r="X186" s="1" t="str">
        <f ca="1">IFERROR(__xludf.DUMMYFUNCTION("""COMPUTED_VALUE"""),"C. Suelo buscar que el trabajo se realice en equipo, D. Me gustan los deportes, H. Soy organizado (a), I. Se me facilita el trabajo físico, J. Me gusta la atención a las personas")</f>
        <v>C. Suelo buscar que el trabajo se realice en equipo, D. Me gustan los deportes, H. Soy organizado (a), I. Se me facilita el trabajo físico, J. Me gusta la atención a las personas</v>
      </c>
      <c r="Y186" s="1" t="str">
        <f ca="1">IFERROR(__xludf.DUMMYFUNCTION("""COMPUTED_VALUE"""),"Si, cuatro años, la última fue en el 2022")</f>
        <v>Si, cuatro años, la última fue en el 2022</v>
      </c>
      <c r="Z186" s="1"/>
    </row>
    <row r="187" spans="1:26" x14ac:dyDescent="0.35">
      <c r="A187" s="3">
        <f ca="1">IFERROR(__xludf.DUMMYFUNCTION("""COMPUTED_VALUE"""),45846.4215625)</f>
        <v>45846.4215625</v>
      </c>
      <c r="B187" s="1"/>
      <c r="C187" s="1" t="str">
        <f ca="1">IFERROR(__xludf.DUMMYFUNCTION("""COMPUTED_VALUE"""),"Ricardo Abdiel, Pichardo Jaime")</f>
        <v>Ricardo Abdiel, Pichardo Jaime</v>
      </c>
      <c r="D187" s="1">
        <f ca="1">IFERROR(__xludf.DUMMYFUNCTION("""COMPUTED_VALUE"""),25)</f>
        <v>25</v>
      </c>
      <c r="E187" s="1" t="str">
        <f ca="1">IFERROR(__xludf.DUMMYFUNCTION("""COMPUTED_VALUE"""),"Hombre")</f>
        <v>Hombre</v>
      </c>
      <c r="F187" s="1" t="str">
        <f ca="1">IFERROR(__xludf.DUMMYFUNCTION("""COMPUTED_VALUE"""),"Mexico City, Mexico")</f>
        <v>Mexico City, Mexico</v>
      </c>
      <c r="G187" s="1" t="str">
        <f ca="1">IFERROR(__xludf.DUMMYFUNCTION("""COMPUTED_VALUE"""),"ricardoapjaime@gmail.com")</f>
        <v>ricardoapjaime@gmail.com</v>
      </c>
      <c r="H187" s="1">
        <f ca="1">IFERROR(__xludf.DUMMYFUNCTION("""COMPUTED_VALUE"""),525541904036)</f>
        <v>525541904036</v>
      </c>
      <c r="I187" s="1" t="str">
        <f ca="1">IFERROR(__xludf.DUMMYFUNCTION("""COMPUTED_VALUE"""),"Comunidad Jóvenes + 18 (14-19) Julio")</f>
        <v>Comunidad Jóvenes + 18 (14-19) Julio</v>
      </c>
      <c r="J187" s="1" t="str">
        <f ca="1">IFERROR(__xludf.DUMMYFUNCTION("""COMPUTED_VALUE"""),"Personal con la Biblia")</f>
        <v>Personal con la Biblia</v>
      </c>
      <c r="K187" s="1" t="str">
        <f ca="1">IFERROR(__xludf.DUMMYFUNCTION("""COMPUTED_VALUE"""),"Iglesia Bautista Vida Nueva")</f>
        <v>Iglesia Bautista Vida Nueva</v>
      </c>
      <c r="L187" s="1" t="str">
        <f ca="1">IFERROR(__xludf.DUMMYFUNCTION("""COMPUTED_VALUE"""),"Ricardo Pichardo Hernández")</f>
        <v>Ricardo Pichardo Hernández</v>
      </c>
      <c r="M187" s="1">
        <f ca="1">IFERROR(__xludf.DUMMYFUNCTION("""COMPUTED_VALUE"""),525523155872)</f>
        <v>525523155872</v>
      </c>
      <c r="N187" s="1" t="str">
        <f ca="1">IFERROR(__xludf.DUMMYFUNCTION("""COMPUTED_VALUE"""),"rickpichardo@hotmail.com")</f>
        <v>rickpichardo@hotmail.com</v>
      </c>
      <c r="O187" s="1" t="str">
        <f ca="1">IFERROR(__xludf.DUMMYFUNCTION("""COMPUTED_VALUE"""),"Proyección y transmisión")</f>
        <v>Proyección y transmisión</v>
      </c>
      <c r="P187" s="1" t="str">
        <f ca="1">IFERROR(__xludf.DUMMYFUNCTION("""COMPUTED_VALUE"""),"Basicamente desde niño iba a la iglesia con mi familia, pero no tenía una genuina relación con Dios. A los 18 años fui al campamento sin ganas, porque recien me recuperaba de una operación de rodilla. Ya estando conviviendo con mis compañeros de cabaña y "&amp;"con las conferencias fui mejorando mi ánimo y al abrirme con los consejeros y con la palabra y alabanzas en la fogata me rendí y decidí entregarle todo a Dios, mediante la fe en Jesús.")</f>
        <v>Basicamente desde niño iba a la iglesia con mi familia, pero no tenía una genuina relación con Dios. A los 18 años fui al campamento sin ganas, porque recien me recuperaba de una operación de rodilla. Ya estando conviviendo con mis compañeros de cabaña y con las conferencias fui mejorando mi ánimo y al abrirme con los consejeros y con la palabra y alabanzas en la fogata me rendí y decidí entregarle todo a Dios, mediante la fe en Jesús.</v>
      </c>
      <c r="Q187" s="1" t="str">
        <f ca="1">IFERROR(__xludf.DUMMYFUNCTION("""COMPUTED_VALUE"""),"Después de varios años como campero y ver el trabajo que realizan para llevar a cabo todo el campamento, me gustaría formar parte del equipo por una semana. Poner al servicio mis habilidades y conocimientos. En el área que se requiera.")</f>
        <v>Después de varios años como campero y ver el trabajo que realizan para llevar a cabo todo el campamento, me gustaría formar parte del equipo por una semana. Poner al servicio mis habilidades y conocimientos. En el área que se requiera.</v>
      </c>
      <c r="R187" s="1" t="str">
        <f ca="1">IFERROR(__xludf.DUMMYFUNCTION("""COMPUTED_VALUE"""),"Si")</f>
        <v>Si</v>
      </c>
      <c r="S187" s="1" t="str">
        <f ca="1">IFERROR(__xludf.DUMMYFUNCTION("""COMPUTED_VALUE"""),"Entrenamiento en Gym")</f>
        <v>Entrenamiento en Gym</v>
      </c>
      <c r="T187" s="1" t="str">
        <f ca="1">IFERROR(__xludf.DUMMYFUNCTION("""COMPUTED_VALUE"""),"No")</f>
        <v>No</v>
      </c>
      <c r="U187" s="1"/>
      <c r="V187" s="1" t="str">
        <f ca="1">IFERROR(__xludf.DUMMYFUNCTION("""COMPUTED_VALUE"""),"Ya terminé mis estudios")</f>
        <v>Ya terminé mis estudios</v>
      </c>
      <c r="W187" s="1" t="str">
        <f ca="1">IFERROR(__xludf.DUMMYFUNCTION("""COMPUTED_VALUE"""),"Ingeniería Civil,")</f>
        <v>Ingeniería Civil,</v>
      </c>
      <c r="X187" s="1" t="str">
        <f ca="1">IFERROR(__xludf.DUMMYFUNCTION("""COMPUTED_VALUE"""),"C. Suelo buscar que el trabajo se realice en equipo, D. Me gustan los deportes, F. Soy eficiente en el trabajo con herramientas, equipos y maquinarias, I. Se me facilita el trabajo físico")</f>
        <v>C. Suelo buscar que el trabajo se realice en equipo, D. Me gustan los deportes, F. Soy eficiente en el trabajo con herramientas, equipos y maquinarias, I. Se me facilita el trabajo físico</v>
      </c>
      <c r="Y187" s="1" t="str">
        <f ca="1">IFERROR(__xludf.DUMMYFUNCTION("""COMPUTED_VALUE"""),"Sí, desde los 17-18 años hasta el año pasado")</f>
        <v>Sí, desde los 17-18 años hasta el año pasado</v>
      </c>
      <c r="Z187" s="1"/>
    </row>
    <row r="188" spans="1:26" x14ac:dyDescent="0.35">
      <c r="A188" s="3">
        <f ca="1">IFERROR(__xludf.DUMMYFUNCTION("""COMPUTED_VALUE"""),45846.8871412037)</f>
        <v>45846.887141203697</v>
      </c>
      <c r="B188" s="1"/>
      <c r="C188" s="1" t="str">
        <f ca="1">IFERROR(__xludf.DUMMYFUNCTION("""COMPUTED_VALUE"""),"Andrés Rafael, Castro Brito")</f>
        <v>Andrés Rafael, Castro Brito</v>
      </c>
      <c r="D188" s="1">
        <f ca="1">IFERROR(__xludf.DUMMYFUNCTION("""COMPUTED_VALUE"""),17)</f>
        <v>17</v>
      </c>
      <c r="E188" s="1" t="str">
        <f ca="1">IFERROR(__xludf.DUMMYFUNCTION("""COMPUTED_VALUE"""),"Hombre")</f>
        <v>Hombre</v>
      </c>
      <c r="F188" s="1" t="str">
        <f ca="1">IFERROR(__xludf.DUMMYFUNCTION("""COMPUTED_VALUE"""),"Campeche, Mexico")</f>
        <v>Campeche, Mexico</v>
      </c>
      <c r="G188" s="1" t="str">
        <f ca="1">IFERROR(__xludf.DUMMYFUNCTION("""COMPUTED_VALUE"""),"castroandresbrito01@gmail.com")</f>
        <v>castroandresbrito01@gmail.com</v>
      </c>
      <c r="H188" s="1">
        <f ca="1">IFERROR(__xludf.DUMMYFUNCTION("""COMPUTED_VALUE"""),529931306554)</f>
        <v>529931306554</v>
      </c>
      <c r="I188" s="1" t="str">
        <f ca="1">IFERROR(__xludf.DUMMYFUNCTION("""COMPUTED_VALUE"""),"Jóvenes de 13 – 17 años / SEM1/ (28 Julio a 02 de agosto), Jóvenes de 13 – 17 años / SEM2/ (4 - 09 agosto), Jóvenes de 13 – 17 años / SEM3/ (11 - 16 agosto)")</f>
        <v>Jóvenes de 13 – 17 años / SEM1/ (28 Julio a 02 de agosto), Jóvenes de 13 – 17 años / SEM2/ (4 - 09 agosto), Jóvenes de 13 – 17 años / SEM3/ (11 - 16 agosto)</v>
      </c>
      <c r="J188" s="1" t="str">
        <f ca="1">IFERROR(__xludf.DUMMYFUNCTION("""COMPUTED_VALUE"""),"VSC devocional")</f>
        <v>VSC devocional</v>
      </c>
      <c r="K188" s="1" t="str">
        <f ca="1">IFERROR(__xludf.DUMMYFUNCTION("""COMPUTED_VALUE"""),"Vida Sociedad Cultural")</f>
        <v>Vida Sociedad Cultural</v>
      </c>
      <c r="L188" s="1" t="str">
        <f ca="1">IFERROR(__xludf.DUMMYFUNCTION("""COMPUTED_VALUE"""),"J. Natividad Ramos García")</f>
        <v>J. Natividad Ramos García</v>
      </c>
      <c r="M188" s="1">
        <f ca="1">IFERROR(__xludf.DUMMYFUNCTION("""COMPUTED_VALUE"""),529381032007)</f>
        <v>529381032007</v>
      </c>
      <c r="N188" s="1" t="str">
        <f ca="1">IFERROR(__xludf.DUMMYFUNCTION("""COMPUTED_VALUE"""),"jnatividadramosg@gmail.com")</f>
        <v>jnatividadramosg@gmail.com</v>
      </c>
      <c r="O188" s="1" t="str">
        <f ca="1">IFERROR(__xludf.DUMMYFUNCTION("""COMPUTED_VALUE"""),"Ministerio de Jóvenes")</f>
        <v>Ministerio de Jóvenes</v>
      </c>
      <c r="P188" s="1" t="str">
        <f ca="1">IFERROR(__xludf.DUMMYFUNCTION("""COMPUTED_VALUE"""),"Sinceramente no se por donde iniciar, pero creo que mi testimonio inicia desde donde vengo. Nací en cuna cristiana, y desde que recuerdo siempre e estado en la iglesia, siempre he escuchado que existe un Dios que reina sobre todo y que hubo alguien que se"&amp;" entregó por mi. Pero nunca quise involucrarme en eso y cuando lo hice no me fue bien y fue la causa de que quisiera alejarme de ello. Sin embargo, cuando me mudé a ciudad del Carmen, encontré un pequeño grupo de personas que me mostró el verdadero amor d"&amp;"e Cristo y que gracias a ellos, pude recapacitar sobre mis acciones, sobre todas las cosas que hice mientras me alejaba de Dios y hoy doy gracias por sus vidas, porque pude reconciliarme con mi Padre, porque me pude bautizar y hoy solo pienso en una cosa,"&amp;" que es buscar su reino y hacer discípulos.")</f>
        <v>Sinceramente no se por donde iniciar, pero creo que mi testimonio inicia desde donde vengo. Nací en cuna cristiana, y desde que recuerdo siempre e estado en la iglesia, siempre he escuchado que existe un Dios que reina sobre todo y que hubo alguien que se entregó por mi. Pero nunca quise involucrarme en eso y cuando lo hice no me fue bien y fue la causa de que quisiera alejarme de ello. Sin embargo, cuando me mudé a ciudad del Carmen, encontré un pequeño grupo de personas que me mostró el verdadero amor de Cristo y que gracias a ellos, pude recapacitar sobre mis acciones, sobre todas las cosas que hice mientras me alejaba de Dios y hoy doy gracias por sus vidas, porque pude reconciliarme con mi Padre, porque me pude bautizar y hoy solo pienso en una cosa, que es buscar su reino y hacer discípulos.</v>
      </c>
      <c r="Q188" s="1" t="str">
        <f ca="1">IFERROR(__xludf.DUMMYFUNCTION("""COMPUTED_VALUE"""),"Quiero ser parte porque siempre me ha gustado el servir a los demás y aún que algunas veces si quiero participar en las actividades (no como servidor), siempre me ha gustado el hecho de servir a los demás")</f>
        <v>Quiero ser parte porque siempre me ha gustado el servir a los demás y aún que algunas veces si quiero participar en las actividades (no como servidor), siempre me ha gustado el hecho de servir a los demás</v>
      </c>
      <c r="R188" s="1" t="str">
        <f ca="1">IFERROR(__xludf.DUMMYFUNCTION("""COMPUTED_VALUE"""),"No")</f>
        <v>No</v>
      </c>
      <c r="S188" s="1"/>
      <c r="T188" s="1" t="str">
        <f ca="1">IFERROR(__xludf.DUMMYFUNCTION("""COMPUTED_VALUE"""),"No")</f>
        <v>No</v>
      </c>
      <c r="U188" s="1"/>
      <c r="V188" s="1" t="str">
        <f ca="1">IFERROR(__xludf.DUMMYFUNCTION("""COMPUTED_VALUE"""),"Próximamente cursare el último grado de preparatoria")</f>
        <v>Próximamente cursare el último grado de preparatoria</v>
      </c>
      <c r="W188" s="1" t="str">
        <f ca="1">IFERROR(__xludf.DUMMYFUNCTION("""COMPUTED_VALUE"""),"Soy alguien paciente, organizado, soy alguien que práctica de continuo la escucha activa y también me considero una persona positiva")</f>
        <v>Soy alguien paciente, organizado, soy alguien que práctica de continuo la escucha activa y también me considero una persona positiva</v>
      </c>
      <c r="X188" s="1" t="str">
        <f ca="1">IFERROR(__xludf.DUMMYFUNCTION("""COMPUTED_VALUE"""),"D. Me gustan los deportes, F. Soy eficiente en el trabajo con herramientas, equipos y maquinarias, H. Soy organizado (a), I. Se me facilita el trabajo físico, M. Soy bueno (a) con los números")</f>
        <v>D. Me gustan los deportes, F. Soy eficiente en el trabajo con herramientas, equipos y maquinarias, H. Soy organizado (a), I. Se me facilita el trabajo físico, M. Soy bueno (a) con los números</v>
      </c>
      <c r="Y188" s="1" t="str">
        <f ca="1">IFERROR(__xludf.DUMMYFUNCTION("""COMPUTED_VALUE"""),"No, es mi primera vez")</f>
        <v>No, es mi primera vez</v>
      </c>
      <c r="Z188" s="1"/>
    </row>
    <row r="189" spans="1:26" x14ac:dyDescent="0.35">
      <c r="A189" s="3">
        <f ca="1">IFERROR(__xludf.DUMMYFUNCTION("""COMPUTED_VALUE"""),45847.442824074)</f>
        <v>45847.442824074002</v>
      </c>
      <c r="B189" s="1"/>
      <c r="C189" s="1" t="str">
        <f ca="1">IFERROR(__xludf.DUMMYFUNCTION("""COMPUTED_VALUE"""),"Frida, Corona")</f>
        <v>Frida, Corona</v>
      </c>
      <c r="D189" s="1">
        <f ca="1">IFERROR(__xludf.DUMMYFUNCTION("""COMPUTED_VALUE"""),23)</f>
        <v>23</v>
      </c>
      <c r="E189" s="1" t="str">
        <f ca="1">IFERROR(__xludf.DUMMYFUNCTION("""COMPUTED_VALUE"""),"Mujer")</f>
        <v>Mujer</v>
      </c>
      <c r="F189" s="1" t="str">
        <f ca="1">IFERROR(__xludf.DUMMYFUNCTION("""COMPUTED_VALUE"""),"Mexico, Mexico")</f>
        <v>Mexico, Mexico</v>
      </c>
      <c r="G189" s="1" t="str">
        <f ca="1">IFERROR(__xludf.DUMMYFUNCTION("""COMPUTED_VALUE"""),"fridaximenacorona@gmail.com")</f>
        <v>fridaximenacorona@gmail.com</v>
      </c>
      <c r="H189" s="1">
        <f ca="1">IFERROR(__xludf.DUMMYFUNCTION("""COMPUTED_VALUE"""),525575577063)</f>
        <v>525575577063</v>
      </c>
      <c r="I189" s="1" t="str">
        <f ca="1">IFERROR(__xludf.DUMMYFUNCTION("""COMPUTED_VALUE"""),"Jóvenes de 13 – 17 años / SEM1/ (28 Julio a 02 de agosto), Jóvenes de 13 – 17 años / SEM2/ (4 - 09 agosto)")</f>
        <v>Jóvenes de 13 – 17 años / SEM1/ (28 Julio a 02 de agosto), Jóvenes de 13 – 17 años / SEM2/ (4 - 09 agosto)</v>
      </c>
      <c r="J189" s="1" t="str">
        <f ca="1">IFERROR(__xludf.DUMMYFUNCTION("""COMPUTED_VALUE"""),"HS")</f>
        <v>HS</v>
      </c>
      <c r="K189" s="1" t="str">
        <f ca="1">IFERROR(__xludf.DUMMYFUNCTION("""COMPUTED_VALUE"""),"Sendero de Vida las Palmas")</f>
        <v>Sendero de Vida las Palmas</v>
      </c>
      <c r="L189" s="1" t="str">
        <f ca="1">IFERROR(__xludf.DUMMYFUNCTION("""COMPUTED_VALUE"""),"Ezequiel Morales")</f>
        <v>Ezequiel Morales</v>
      </c>
      <c r="M189" s="1">
        <f ca="1">IFERROR(__xludf.DUMMYFUNCTION("""COMPUTED_VALUE"""),525545737726)</f>
        <v>525545737726</v>
      </c>
      <c r="N189" s="1" t="str">
        <f ca="1">IFERROR(__xludf.DUMMYFUNCTION("""COMPUTED_VALUE"""),"moralesm.ezequiel@gmail.com")</f>
        <v>moralesm.ezequiel@gmail.com</v>
      </c>
      <c r="O189" s="1" t="str">
        <f ca="1">IFERROR(__xludf.DUMMYFUNCTION("""COMPUTED_VALUE"""),"Niños")</f>
        <v>Niños</v>
      </c>
      <c r="P189" s="1" t="str">
        <f ca="1">IFERROR(__xludf.DUMMYFUNCTION("""COMPUTED_VALUE"""),"Fui salva hace 5 años, cuando comprendí que mis buenas obras no me salvan, que solo Cristo puede perdonarme y limpiarme y que ahora me ha hecho una nueva criatura.")</f>
        <v>Fui salva hace 5 años, cuando comprendí que mis buenas obras no me salvan, que solo Cristo puede perdonarme y limpiarme y que ahora me ha hecho una nueva criatura.</v>
      </c>
      <c r="Q189" s="1" t="str">
        <f ca="1">IFERROR(__xludf.DUMMYFUNCTION("""COMPUTED_VALUE"""),"Para servir a Dios y que muchos más puedan conocerle.")</f>
        <v>Para servir a Dios y que muchos más puedan conocerle.</v>
      </c>
      <c r="R189" s="1" t="str">
        <f ca="1">IFERROR(__xludf.DUMMYFUNCTION("""COMPUTED_VALUE"""),"No")</f>
        <v>No</v>
      </c>
      <c r="S189" s="1"/>
      <c r="T189" s="1" t="str">
        <f ca="1">IFERROR(__xludf.DUMMYFUNCTION("""COMPUTED_VALUE"""),"No")</f>
        <v>No</v>
      </c>
      <c r="U189" s="1"/>
      <c r="V189" s="1" t="str">
        <f ca="1">IFERROR(__xludf.DUMMYFUNCTION("""COMPUTED_VALUE"""),"Medicina")</f>
        <v>Medicina</v>
      </c>
      <c r="W189" s="1" t="str">
        <f ca="1">IFERROR(__xludf.DUMMYFUNCTION("""COMPUTED_VALUE"""),"Enseñanza")</f>
        <v>Enseñanza</v>
      </c>
      <c r="X189" s="1" t="str">
        <f ca="1">IFERROR(__xludf.DUMMYFUNCTION("""COMPUTED_VALUE"""),"J. Me gusta la atención a las personas, O. Puedo enseñar con facilidad")</f>
        <v>J. Me gusta la atención a las personas, O. Puedo enseñar con facilidad</v>
      </c>
      <c r="Y189" s="1" t="str">
        <f ca="1">IFERROR(__xludf.DUMMYFUNCTION("""COMPUTED_VALUE"""),"Si, en la anterior")</f>
        <v>Si, en la anterior</v>
      </c>
      <c r="Z189" s="1"/>
    </row>
    <row r="190" spans="1:26" x14ac:dyDescent="0.35">
      <c r="A190" s="3">
        <f ca="1">IFERROR(__xludf.DUMMYFUNCTION("""COMPUTED_VALUE"""),45847.6059606481)</f>
        <v>45847.605960648099</v>
      </c>
      <c r="B190" s="1"/>
      <c r="C190" s="1" t="str">
        <f ca="1">IFERROR(__xludf.DUMMYFUNCTION("""COMPUTED_VALUE"""),"Santiago, Dalolio")</f>
        <v>Santiago, Dalolio</v>
      </c>
      <c r="D190" s="1">
        <f ca="1">IFERROR(__xludf.DUMMYFUNCTION("""COMPUTED_VALUE"""),13)</f>
        <v>13</v>
      </c>
      <c r="E190" s="1" t="str">
        <f ca="1">IFERROR(__xludf.DUMMYFUNCTION("""COMPUTED_VALUE"""),"Hombre")</f>
        <v>Hombre</v>
      </c>
      <c r="F190" s="1" t="str">
        <f ca="1">IFERROR(__xludf.DUMMYFUNCTION("""COMPUTED_VALUE"""),"Queretaro, Mexico")</f>
        <v>Queretaro, Mexico</v>
      </c>
      <c r="G190" s="1" t="str">
        <f ca="1">IFERROR(__xludf.DUMMYFUNCTION("""COMPUTED_VALUE"""),"Glen.dalolio@gmail.com")</f>
        <v>Glen.dalolio@gmail.com</v>
      </c>
      <c r="H190" s="1">
        <f ca="1">IFERROR(__xludf.DUMMYFUNCTION("""COMPUTED_VALUE"""),523344046489)</f>
        <v>523344046489</v>
      </c>
      <c r="I190" s="1" t="str">
        <f ca="1">IFERROR(__xludf.DUMMYFUNCTION("""COMPUTED_VALUE"""),"Semana de entrenamiento (07 - 13) Julio, Comunidad Jóvenes + 18 (14-19) Julio, Semana de niños y niñas (21-25) Julio, Jóvenes de 13 – 17 años / SEM1/ (28 Julio a 02 de agosto), Jóvenes de 13 – 17 años / SEM2/ (4 - 09 agosto), Jóvenes de 13 – 17 años / SEM"&amp;"3/ (11 - 16 agosto), Toda la temporada (07 de Julio al 16 de agosto)")</f>
        <v>Semana de entrenamiento (07 - 13) Julio, Comunidad Jóvenes + 18 (14-19) Julio, Semana de niños y niñas (21-25) Julio, Jóvenes de 13 – 17 años / SEM1/ (28 Julio a 02 de agosto), Jóvenes de 13 – 17 años / SEM2/ (4 - 09 agosto), Jóvenes de 13 – 17 años / SEM3/ (11 - 16 agosto), Toda la temporada (07 de Julio al 16 de agosto)</v>
      </c>
      <c r="J190" s="1" t="str">
        <f ca="1">IFERROR(__xludf.DUMMYFUNCTION("""COMPUTED_VALUE"""),"HS")</f>
        <v>HS</v>
      </c>
      <c r="K190" s="1" t="str">
        <f ca="1">IFERROR(__xludf.DUMMYFUNCTION("""COMPUTED_VALUE"""),"Vida nueva Qro")</f>
        <v>Vida nueva Qro</v>
      </c>
      <c r="L190" s="1" t="str">
        <f ca="1">IFERROR(__xludf.DUMMYFUNCTION("""COMPUTED_VALUE"""),"Roy Dalolio")</f>
        <v>Roy Dalolio</v>
      </c>
      <c r="M190" s="1">
        <f ca="1">IFERROR(__xludf.DUMMYFUNCTION("""COMPUTED_VALUE"""),524424863514)</f>
        <v>524424863514</v>
      </c>
      <c r="N190" s="1" t="str">
        <f ca="1">IFERROR(__xludf.DUMMYFUNCTION("""COMPUTED_VALUE"""),"roydalolio@yahoo.com")</f>
        <v>roydalolio@yahoo.com</v>
      </c>
      <c r="O190" s="1" t="str">
        <f ca="1">IFERROR(__xludf.DUMMYFUNCTION("""COMPUTED_VALUE"""),"Club bíblico")</f>
        <v>Club bíblico</v>
      </c>
      <c r="P190" s="1" t="str">
        <f ca="1">IFERROR(__xludf.DUMMYFUNCTION("""COMPUTED_VALUE"""),"Recibió a Cristo a los 7")</f>
        <v>Recibió a Cristo a los 7</v>
      </c>
      <c r="Q190" s="1" t="str">
        <f ca="1">IFERROR(__xludf.DUMMYFUNCTION("""COMPUTED_VALUE"""),"Me encanta")</f>
        <v>Me encanta</v>
      </c>
      <c r="R190" s="1" t="str">
        <f ca="1">IFERROR(__xludf.DUMMYFUNCTION("""COMPUTED_VALUE"""),"Si")</f>
        <v>Si</v>
      </c>
      <c r="S190" s="1" t="str">
        <f ca="1">IFERROR(__xludf.DUMMYFUNCTION("""COMPUTED_VALUE"""),"Box y futbol")</f>
        <v>Box y futbol</v>
      </c>
      <c r="T190" s="1" t="str">
        <f ca="1">IFERROR(__xludf.DUMMYFUNCTION("""COMPUTED_VALUE"""),"No")</f>
        <v>No</v>
      </c>
      <c r="U190" s="1"/>
      <c r="V190" s="1" t="str">
        <f ca="1">IFERROR(__xludf.DUMMYFUNCTION("""COMPUTED_VALUE"""),"Secundaria")</f>
        <v>Secundaria</v>
      </c>
      <c r="W190" s="1" t="str">
        <f ca="1">IFERROR(__xludf.DUMMYFUNCTION("""COMPUTED_VALUE"""),"Cantar")</f>
        <v>Cantar</v>
      </c>
      <c r="X190" s="1" t="str">
        <f ca="1">IFERROR(__xludf.DUMMYFUNCTION("""COMPUTED_VALUE"""),"D. Me gustan los deportes")</f>
        <v>D. Me gustan los deportes</v>
      </c>
      <c r="Y190" s="1" t="str">
        <f ca="1">IFERROR(__xludf.DUMMYFUNCTION("""COMPUTED_VALUE"""),"Si")</f>
        <v>Si</v>
      </c>
      <c r="Z190" s="1"/>
    </row>
    <row r="191" spans="1:26" x14ac:dyDescent="0.35">
      <c r="A191" s="3">
        <f ca="1">IFERROR(__xludf.DUMMYFUNCTION("""COMPUTED_VALUE"""),45847.827037037)</f>
        <v>45847.827037037001</v>
      </c>
      <c r="B191" s="1"/>
      <c r="C191" s="1" t="str">
        <f ca="1">IFERROR(__xludf.DUMMYFUNCTION("""COMPUTED_VALUE"""),"Luis Fernando, Castillo")</f>
        <v>Luis Fernando, Castillo</v>
      </c>
      <c r="D191" s="1">
        <f ca="1">IFERROR(__xludf.DUMMYFUNCTION("""COMPUTED_VALUE"""),35)</f>
        <v>35</v>
      </c>
      <c r="E191" s="1" t="str">
        <f ca="1">IFERROR(__xludf.DUMMYFUNCTION("""COMPUTED_VALUE"""),"Hombre")</f>
        <v>Hombre</v>
      </c>
      <c r="F191" s="1" t="str">
        <f ca="1">IFERROR(__xludf.DUMMYFUNCTION("""COMPUTED_VALUE"""),"Mexico, Mexico")</f>
        <v>Mexico, Mexico</v>
      </c>
      <c r="G191" s="1" t="str">
        <f ca="1">IFERROR(__xludf.DUMMYFUNCTION("""COMPUTED_VALUE"""),"feercastillo.p@gmail.com")</f>
        <v>feercastillo.p@gmail.com</v>
      </c>
      <c r="H191" s="1">
        <f ca="1">IFERROR(__xludf.DUMMYFUNCTION("""COMPUTED_VALUE"""),525528836585)</f>
        <v>525528836585</v>
      </c>
      <c r="I191" s="1" t="str">
        <f ca="1">IFERROR(__xludf.DUMMYFUNCTION("""COMPUTED_VALUE"""),"Comunidad Jóvenes + 18 (14-19) Julio")</f>
        <v>Comunidad Jóvenes + 18 (14-19) Julio</v>
      </c>
      <c r="J191" s="1" t="str">
        <f ca="1">IFERROR(__xludf.DUMMYFUNCTION("""COMPUTED_VALUE"""),"Cambios profundos")</f>
        <v>Cambios profundos</v>
      </c>
      <c r="K191" s="1" t="str">
        <f ca="1">IFERROR(__xludf.DUMMYFUNCTION("""COMPUTED_VALUE"""),"Provisión")</f>
        <v>Provisión</v>
      </c>
      <c r="L191" s="1" t="str">
        <f ca="1">IFERROR(__xludf.DUMMYFUNCTION("""COMPUTED_VALUE"""),"Víctor Hernández")</f>
        <v>Víctor Hernández</v>
      </c>
      <c r="M191" s="1">
        <f ca="1">IFERROR(__xludf.DUMMYFUNCTION("""COMPUTED_VALUE"""),527222097658)</f>
        <v>527222097658</v>
      </c>
      <c r="N191" s="1" t="str">
        <f ca="1">IFERROR(__xludf.DUMMYFUNCTION("""COMPUTED_VALUE"""),"vymhernandez@hotmail.com")</f>
        <v>vymhernandez@hotmail.com</v>
      </c>
      <c r="O191" s="1" t="str">
        <f ca="1">IFERROR(__xludf.DUMMYFUNCTION("""COMPUTED_VALUE"""),"Bienvenida en estacionamiento y seguridad")</f>
        <v>Bienvenida en estacionamiento y seguridad</v>
      </c>
      <c r="P191" s="1" t="str">
        <f ca="1">IFERROR(__xludf.DUMMYFUNCTION("""COMPUTED_VALUE"""),"En una reunión de varones a lo que me invitaron conocí el Señor y entendí mi pecado, su obra, su perdón, salvación y una nueva vida")</f>
        <v>En una reunión de varones a lo que me invitaron conocí el Señor y entendí mi pecado, su obra, su perdón, salvación y una nueva vida</v>
      </c>
      <c r="Q191" s="1" t="str">
        <f ca="1">IFERROR(__xludf.DUMMYFUNCTION("""COMPUTED_VALUE"""),"Es una bendición poner manos a la obra para el Señor")</f>
        <v>Es una bendición poner manos a la obra para el Señor</v>
      </c>
      <c r="R191" s="1" t="str">
        <f ca="1">IFERROR(__xludf.DUMMYFUNCTION("""COMPUTED_VALUE"""),"Si")</f>
        <v>Si</v>
      </c>
      <c r="S191" s="1" t="str">
        <f ca="1">IFERROR(__xludf.DUMMYFUNCTION("""COMPUTED_VALUE"""),"Fútbol, Tenis ,")</f>
        <v>Fútbol, Tenis ,</v>
      </c>
      <c r="T191" s="1" t="str">
        <f ca="1">IFERROR(__xludf.DUMMYFUNCTION("""COMPUTED_VALUE"""),"No")</f>
        <v>No</v>
      </c>
      <c r="U191" s="1"/>
      <c r="V191" s="1" t="str">
        <f ca="1">IFERROR(__xludf.DUMMYFUNCTION("""COMPUTED_VALUE"""),"Maestría")</f>
        <v>Maestría</v>
      </c>
      <c r="W191" s="1" t="str">
        <f ca="1">IFERROR(__xludf.DUMMYFUNCTION("""COMPUTED_VALUE"""),"Ventas, Administración, Planeacio")</f>
        <v>Ventas, Administración, Planeacio</v>
      </c>
      <c r="X191" s="1" t="str">
        <f ca="1">IFERROR(__xludf.DUMMYFUNCTION("""COMPUTED_VALUE"""),"A. Soy un discipulador activo, B. Me gusta animar a las personas, C. Suelo buscar que el trabajo se realice en equipo, D. Me gustan los deportes, E. Me gusta el trabajo con niños, G. Soy más eficiente en el trabajo individual, H. Soy organizado (a), I. Se"&amp;" me facilita el trabajo físico, K. Soy creativo (a), M. Soy bueno (a) con los números, N. Suelo llevar el liderazgo en un grupo, O. Puedo enseñar con facilidad")</f>
        <v>A. Soy un discipulador activo, B. Me gusta animar a las personas, C. Suelo buscar que el trabajo se realice en equipo, D. Me gustan los deportes, E. Me gusta el trabajo con niños, G. Soy más eficiente en el trabajo individual, H. Soy organizado (a), I. Se me facilita el trabajo físico, K. Soy creativo (a), M. Soy bueno (a) con los números, N. Suelo llevar el liderazgo en un grupo, O. Puedo enseñar con facilidad</v>
      </c>
      <c r="Y191" s="1" t="str">
        <f ca="1">IFERROR(__xludf.DUMMYFUNCTION("""COMPUTED_VALUE"""),"2022, 2023 y 2024")</f>
        <v>2022, 2023 y 2024</v>
      </c>
      <c r="Z191" s="1"/>
    </row>
    <row r="192" spans="1:26" x14ac:dyDescent="0.35">
      <c r="A192" s="3">
        <f ca="1">IFERROR(__xludf.DUMMYFUNCTION("""COMPUTED_VALUE"""),45847.9287731481)</f>
        <v>45847.928773148102</v>
      </c>
      <c r="B192" s="1"/>
      <c r="C192" s="1" t="str">
        <f ca="1">IFERROR(__xludf.DUMMYFUNCTION("""COMPUTED_VALUE"""),"Maria del Pilar, Macías Hernández")</f>
        <v>Maria del Pilar, Macías Hernández</v>
      </c>
      <c r="D192" s="1">
        <f ca="1">IFERROR(__xludf.DUMMYFUNCTION("""COMPUTED_VALUE"""),31)</f>
        <v>31</v>
      </c>
      <c r="E192" s="1" t="str">
        <f ca="1">IFERROR(__xludf.DUMMYFUNCTION("""COMPUTED_VALUE"""),"Mujer")</f>
        <v>Mujer</v>
      </c>
      <c r="F192" s="1" t="str">
        <f ca="1">IFERROR(__xludf.DUMMYFUNCTION("""COMPUTED_VALUE"""),"Jalisco, Mexico")</f>
        <v>Jalisco, Mexico</v>
      </c>
      <c r="G192" s="1" t="str">
        <f ca="1">IFERROR(__xludf.DUMMYFUNCTION("""COMPUTED_VALUE"""),"pilar.macias1908@gmail.com")</f>
        <v>pilar.macias1908@gmail.com</v>
      </c>
      <c r="H192" s="1">
        <f ca="1">IFERROR(__xludf.DUMMYFUNCTION("""COMPUTED_VALUE"""),523313858774)</f>
        <v>523313858774</v>
      </c>
      <c r="I192" s="1" t="str">
        <f ca="1">IFERROR(__xludf.DUMMYFUNCTION("""COMPUTED_VALUE"""),"Comunidad Jóvenes + 18 (14-19) Julio, Semana de niños y niñas (21-25) Julio, Jóvenes de 13 – 17 años / SEM1/ (28 Julio a 02 de agosto), Jóvenes de 13 – 17 años / SEM2/ (4 - 09 agosto), Jóvenes de 13 – 17 años / SEM3/ (11 - 16 agosto)")</f>
        <v>Comunidad Jóvenes + 18 (14-19) Julio, Semana de niños y niñas (21-25) Julio, Jóvenes de 13 – 17 años / SEM1/ (28 Julio a 02 de agosto), Jóvenes de 13 – 17 años / SEM2/ (4 - 09 agosto), Jóvenes de 13 – 17 años / SEM3/ (11 - 16 agosto)</v>
      </c>
      <c r="J192" s="1" t="str">
        <f ca="1">IFERROR(__xludf.DUMMYFUNCTION("""COMPUTED_VALUE"""),"Hora silenciosa")</f>
        <v>Hora silenciosa</v>
      </c>
      <c r="K192" s="1" t="str">
        <f ca="1">IFERROR(__xludf.DUMMYFUNCTION("""COMPUTED_VALUE"""),"Iglesia Vida")</f>
        <v>Iglesia Vida</v>
      </c>
      <c r="L192" s="1" t="str">
        <f ca="1">IFERROR(__xludf.DUMMYFUNCTION("""COMPUTED_VALUE"""),"Neftalí Rubio Bonilla")</f>
        <v>Neftalí Rubio Bonilla</v>
      </c>
      <c r="M192" s="1">
        <f ca="1">IFERROR(__xludf.DUMMYFUNCTION("""COMPUTED_VALUE"""),524411036024)</f>
        <v>524411036024</v>
      </c>
      <c r="N192" s="1" t="str">
        <f ca="1">IFERROR(__xludf.DUMMYFUNCTION("""COMPUTED_VALUE"""),"nefaly@gmail.com")</f>
        <v>nefaly@gmail.com</v>
      </c>
      <c r="O192" s="1" t="str">
        <f ca="1">IFERROR(__xludf.DUMMYFUNCTION("""COMPUTED_VALUE"""),"Encargada de cunero")</f>
        <v>Encargada de cunero</v>
      </c>
      <c r="P192" s="1" t="str">
        <f ca="1">IFERROR(__xludf.DUMMYFUNCTION("""COMPUTED_VALUE"""),"Acepte al señor en una reunión de niños en la iglesia a la que mi hermana me llevaba, supe que era pecadora y que Dios me amaba tal cual era, que necesitaba entregarme a Dios y pedirle me perdonará de todos mis pecados, que creyera que el había muerto y r"&amp;"esucitado en esa Cruz para salvarme. 
Ahora se que si muero iré con el señor a su presencia por qué ha perdonado mis pecados pasados , presentes y futuros. Que su preciosa sangre ha limpiado mi corazón del pecado y que soy nueva criatura.")</f>
        <v>Acepte al señor en una reunión de niños en la iglesia a la que mi hermana me llevaba, supe que era pecadora y que Dios me amaba tal cual era, que necesitaba entregarme a Dios y pedirle me perdonará de todos mis pecados, que creyera que el había muerto y resucitado en esa Cruz para salvarme. 
Ahora se que si muero iré con el señor a su presencia por qué ha perdonado mis pecados pasados , presentes y futuros. Que su preciosa sangre ha limpiado mi corazón del pecado y que soy nueva criatura.</v>
      </c>
      <c r="Q192" s="1" t="str">
        <f ca="1">IFERROR(__xludf.DUMMYFUNCTION("""COMPUTED_VALUE"""),"Desde el 2023 tenía la intención de ir, pero por una u otra cosa no se dio la oportunidad. En el 2012 fui equipante toda la temporada y fue un lindo verano en el que conocí muchas personas lindas y crecí en diferentes áreas de mi vida.
Este año tenía la "&amp;"intención pero por mi trabajo no podía así que cambie mis planes de vacaciones por qué no tenía como tal días libres, pero justo ayer martes 8 de Julio me despidieron de mi trabajo , eso fue como una respuesta de oración pues se me dio la oportunidad de t"&amp;"ener tiempo y dinero para poderme ir y servir a Dios, se que todo esto no fue casualidad y Dios ya lo tenía preparado para no perderme está oportunidad de ir y enfocarme solo en lo que el quiere mostrarme estando allá.")</f>
        <v>Desde el 2023 tenía la intención de ir, pero por una u otra cosa no se dio la oportunidad. En el 2012 fui equipante toda la temporada y fue un lindo verano en el que conocí muchas personas lindas y crecí en diferentes áreas de mi vida.
Este año tenía la intención pero por mi trabajo no podía así que cambie mis planes de vacaciones por qué no tenía como tal días libres, pero justo ayer martes 8 de Julio me despidieron de mi trabajo , eso fue como una respuesta de oración pues se me dio la oportunidad de tener tiempo y dinero para poderme ir y servir a Dios, se que todo esto no fue casualidad y Dios ya lo tenía preparado para no perderme está oportunidad de ir y enfocarme solo en lo que el quiere mostrarme estando allá.</v>
      </c>
      <c r="R192" s="1" t="str">
        <f ca="1">IFERROR(__xludf.DUMMYFUNCTION("""COMPUTED_VALUE"""),"No")</f>
        <v>No</v>
      </c>
      <c r="S192" s="1"/>
      <c r="T192" s="1" t="str">
        <f ca="1">IFERROR(__xludf.DUMMYFUNCTION("""COMPUTED_VALUE"""),"No")</f>
        <v>No</v>
      </c>
      <c r="U192" s="1"/>
      <c r="V192" s="1" t="str">
        <f ca="1">IFERROR(__xludf.DUMMYFUNCTION("""COMPUTED_VALUE"""),"Estudie Nutrición pero no ejerzo mi profesión")</f>
        <v>Estudie Nutrición pero no ejerzo mi profesión</v>
      </c>
      <c r="W192" s="1" t="str">
        <f ca="1">IFERROR(__xludf.DUMMYFUNCTION("""COMPUTED_VALUE"""),"Me gusta bailar , tengo experiencia en atención al cliente, fui asistente de dirección en un colegio y recientemente como recepcionista en un preescolar")</f>
        <v>Me gusta bailar , tengo experiencia en atención al cliente, fui asistente de dirección en un colegio y recientemente como recepcionista en un preescolar</v>
      </c>
      <c r="X192" s="1" t="str">
        <f ca="1">IFERROR(__xludf.DUMMYFUNCTION("""COMPUTED_VALUE"""),"B. Me gusta animar a las personas, C. Suelo buscar que el trabajo se realice en equipo, E. Me gusta el trabajo con niños, H. Soy organizado (a), J. Me gusta la atención a las personas, K. Soy creativo (a), M. Soy bueno (a) con los números, N. Suelo llevar"&amp;" el liderazgo en un grupo, O. Puedo enseñar con facilidad")</f>
        <v>B. Me gusta animar a las personas, C. Suelo buscar que el trabajo se realice en equipo, E. Me gusta el trabajo con niños, H. Soy organizado (a), J. Me gusta la atención a las personas, K. Soy creativo (a), M. Soy bueno (a) con los números, N. Suelo llevar el liderazgo en un grupo, O. Puedo enseñar con facilidad</v>
      </c>
      <c r="Y192" s="1">
        <f ca="1">IFERROR(__xludf.DUMMYFUNCTION("""COMPUTED_VALUE"""),2012)</f>
        <v>2012</v>
      </c>
      <c r="Z192" s="1"/>
    </row>
    <row r="193" spans="1:26" x14ac:dyDescent="0.35">
      <c r="A193" s="2">
        <f ca="1">IFERROR(__xludf.DUMMYFUNCTION("""COMPUTED_VALUE"""),45848.4305208333)</f>
        <v>45848.430520833303</v>
      </c>
      <c r="B193" s="1"/>
      <c r="C193" s="1" t="str">
        <f ca="1">IFERROR(__xludf.DUMMYFUNCTION("""COMPUTED_VALUE"""),"Jeremy, González Contreras")</f>
        <v>Jeremy, González Contreras</v>
      </c>
      <c r="D193" s="1">
        <f ca="1">IFERROR(__xludf.DUMMYFUNCTION("""COMPUTED_VALUE"""),23)</f>
        <v>23</v>
      </c>
      <c r="E193" s="1" t="str">
        <f ca="1">IFERROR(__xludf.DUMMYFUNCTION("""COMPUTED_VALUE"""),"Hombre")</f>
        <v>Hombre</v>
      </c>
      <c r="F193" s="1" t="str">
        <f ca="1">IFERROR(__xludf.DUMMYFUNCTION("""COMPUTED_VALUE"""),"Puebla, Mexico")</f>
        <v>Puebla, Mexico</v>
      </c>
      <c r="G193" s="1" t="str">
        <f ca="1">IFERROR(__xludf.DUMMYFUNCTION("""COMPUTED_VALUE"""),"jeremy.glezc@icloud.com")</f>
        <v>jeremy.glezc@icloud.com</v>
      </c>
      <c r="H193" s="1">
        <f ca="1">IFERROR(__xludf.DUMMYFUNCTION("""COMPUTED_VALUE"""),522223080370)</f>
        <v>522223080370</v>
      </c>
      <c r="I193" s="1" t="str">
        <f ca="1">IFERROR(__xludf.DUMMYFUNCTION("""COMPUTED_VALUE"""),"Jóvenes de 13 – 17 años / SEM2/ (4 - 09 agosto)")</f>
        <v>Jóvenes de 13 – 17 años / SEM2/ (4 - 09 agosto)</v>
      </c>
      <c r="J193" s="1" t="str">
        <f ca="1">IFERROR(__xludf.DUMMYFUNCTION("""COMPUTED_VALUE"""),"Navigators Bible Plan")</f>
        <v>Navigators Bible Plan</v>
      </c>
      <c r="K193" s="1" t="str">
        <f ca="1">IFERROR(__xludf.DUMMYFUNCTION("""COMPUTED_VALUE"""),"Iglesia Evangélica de Zozutla")</f>
        <v>Iglesia Evangélica de Zozutla</v>
      </c>
      <c r="L193" s="1" t="str">
        <f ca="1">IFERROR(__xludf.DUMMYFUNCTION("""COMPUTED_VALUE"""),"Pablo González Beristain")</f>
        <v>Pablo González Beristain</v>
      </c>
      <c r="M193" s="1">
        <f ca="1">IFERROR(__xludf.DUMMYFUNCTION("""COMPUTED_VALUE"""),522491009491)</f>
        <v>522491009491</v>
      </c>
      <c r="N193" s="1" t="str">
        <f ca="1">IFERROR(__xludf.DUMMYFUNCTION("""COMPUTED_VALUE"""),"chipolcircuitos@hotmail.com")</f>
        <v>chipolcircuitos@hotmail.com</v>
      </c>
      <c r="O193" s="1" t="str">
        <f ca="1">IFERROR(__xludf.DUMMYFUNCTION("""COMPUTED_VALUE"""),"Equipo de Alabanza")</f>
        <v>Equipo de Alabanza</v>
      </c>
      <c r="P193" s="1" t="str">
        <f ca="1">IFERROR(__xludf.DUMMYFUNCTION("""COMPUTED_VALUE"""),"Crecí en la iglesia pero no fue hasta los 15 años que entendí el evangelio y tuve seguridad de mi salvación.")</f>
        <v>Crecí en la iglesia pero no fue hasta los 15 años que entendí el evangelio y tuve seguridad de mi salvación.</v>
      </c>
      <c r="Q193" s="1" t="str">
        <f ca="1">IFERROR(__xludf.DUMMYFUNCTION("""COMPUTED_VALUE"""),"Deseo predicar el evangelio con los chicos.")</f>
        <v>Deseo predicar el evangelio con los chicos.</v>
      </c>
      <c r="R193" s="1" t="str">
        <f ca="1">IFERROR(__xludf.DUMMYFUNCTION("""COMPUTED_VALUE"""),"Si")</f>
        <v>Si</v>
      </c>
      <c r="S193" s="1" t="str">
        <f ca="1">IFERROR(__xludf.DUMMYFUNCTION("""COMPUTED_VALUE"""),"Fútbol")</f>
        <v>Fútbol</v>
      </c>
      <c r="T193" s="1" t="str">
        <f ca="1">IFERROR(__xludf.DUMMYFUNCTION("""COMPUTED_VALUE"""),"Si")</f>
        <v>Si</v>
      </c>
      <c r="U193" s="1" t="str">
        <f ca="1">IFERROR(__xludf.DUMMYFUNCTION("""COMPUTED_VALUE"""),"Piano")</f>
        <v>Piano</v>
      </c>
      <c r="V193" s="1" t="str">
        <f ca="1">IFERROR(__xludf.DUMMYFUNCTION("""COMPUTED_VALUE"""),"Ingeniería Mecánica")</f>
        <v>Ingeniería Mecánica</v>
      </c>
      <c r="W193" s="1" t="str">
        <f ca="1">IFERROR(__xludf.DUMMYFUNCTION("""COMPUTED_VALUE"""),"Mecanico")</f>
        <v>Mecanico</v>
      </c>
      <c r="X193" s="1" t="str">
        <f ca="1">IFERROR(__xludf.DUMMYFUNCTION("""COMPUTED_VALUE"""),"B. Me gusta animar a las personas, D. Me gustan los deportes, F. Soy eficiente en el trabajo con herramientas, equipos y maquinarias, H. Soy organizado (a), I. Se me facilita el trabajo físico, J. Me gusta la atención a las personas, L. Soy bueno (a) en c"&amp;"anto o algún instrumento, M. Soy bueno (a) con los números")</f>
        <v>B. Me gusta animar a las personas, D. Me gustan los deportes, F. Soy eficiente en el trabajo con herramientas, equipos y maquinarias, H. Soy organizado (a), I. Se me facilita el trabajo físico, J. Me gusta la atención a las personas, L. Soy bueno (a) en canto o algún instrumento, M. Soy bueno (a) con los números</v>
      </c>
      <c r="Y193" s="1" t="str">
        <f ca="1">IFERROR(__xludf.DUMMYFUNCTION("""COMPUTED_VALUE"""),"2019, 2021-2024")</f>
        <v>2019, 2021-2024</v>
      </c>
      <c r="Z193" s="1"/>
    </row>
    <row r="194" spans="1:26" x14ac:dyDescent="0.35">
      <c r="A194" s="2">
        <f ca="1">IFERROR(__xludf.DUMMYFUNCTION("""COMPUTED_VALUE"""),45848.4724768518)</f>
        <v>45848.472476851799</v>
      </c>
      <c r="B194" s="1"/>
      <c r="C194" s="1" t="str">
        <f ca="1">IFERROR(__xludf.DUMMYFUNCTION("""COMPUTED_VALUE"""),"Nicole, Martínez Comtreras")</f>
        <v>Nicole, Martínez Comtreras</v>
      </c>
      <c r="D194" s="1">
        <f ca="1">IFERROR(__xludf.DUMMYFUNCTION("""COMPUTED_VALUE"""),16)</f>
        <v>16</v>
      </c>
      <c r="E194" s="1" t="str">
        <f ca="1">IFERROR(__xludf.DUMMYFUNCTION("""COMPUTED_VALUE"""),"Mujer")</f>
        <v>Mujer</v>
      </c>
      <c r="F194" s="1" t="str">
        <f ca="1">IFERROR(__xludf.DUMMYFUNCTION("""COMPUTED_VALUE"""),"Queretaro, Mexico")</f>
        <v>Queretaro, Mexico</v>
      </c>
      <c r="G194" s="1" t="str">
        <f ca="1">IFERROR(__xludf.DUMMYFUNCTION("""COMPUTED_VALUE"""),"martinez.nicole.celic@gmail.com")</f>
        <v>martinez.nicole.celic@gmail.com</v>
      </c>
      <c r="H194" s="1">
        <f ca="1">IFERROR(__xludf.DUMMYFUNCTION("""COMPUTED_VALUE"""),524425098969)</f>
        <v>524425098969</v>
      </c>
      <c r="I194" s="1" t="str">
        <f ca="1">IFERROR(__xludf.DUMMYFUNCTION("""COMPUTED_VALUE"""),"Jóvenes de 13 – 17 años / SEM3/ (11 - 16 agosto)")</f>
        <v>Jóvenes de 13 – 17 años / SEM3/ (11 - 16 agosto)</v>
      </c>
      <c r="J194" s="1" t="str">
        <f ca="1">IFERROR(__xludf.DUMMYFUNCTION("""COMPUTED_VALUE"""),"Holy Bible")</f>
        <v>Holy Bible</v>
      </c>
      <c r="K194" s="1" t="str">
        <f ca="1">IFERROR(__xludf.DUMMYFUNCTION("""COMPUTED_VALUE"""),"Iglesia Bíblica Juriquilla")</f>
        <v>Iglesia Bíblica Juriquilla</v>
      </c>
      <c r="L194" s="1" t="str">
        <f ca="1">IFERROR(__xludf.DUMMYFUNCTION("""COMPUTED_VALUE"""),"Pablo Ferrari")</f>
        <v>Pablo Ferrari</v>
      </c>
      <c r="M194" s="1">
        <f ca="1">IFERROR(__xludf.DUMMYFUNCTION("""COMPUTED_VALUE"""),524423303874)</f>
        <v>524423303874</v>
      </c>
      <c r="N194" s="1" t="str">
        <f ca="1">IFERROR(__xludf.DUMMYFUNCTION("""COMPUTED_VALUE"""),"pabloyfrine@gmail.com")</f>
        <v>pabloyfrine@gmail.com</v>
      </c>
      <c r="O194" s="1" t="str">
        <f ca="1">IFERROR(__xludf.DUMMYFUNCTION("""COMPUTED_VALUE"""),"mayordomía y cuando se necesita apoyo en algún otro como niños, actividades de la iglesia, ministerio de jóvenes también")</f>
        <v>mayordomía y cuando se necesita apoyo en algún otro como niños, actividades de la iglesia, ministerio de jóvenes también</v>
      </c>
      <c r="P194" s="1" t="str">
        <f ca="1">IFERROR(__xludf.DUMMYFUNCTION("""COMPUTED_VALUE"""),"Supe de Dios cuando tenía 7 años, pero en ese momento solo lo conocía porque iba con mis papás a la iglesia. Fue a través del amor y la misericordia que Él me mostró en el matrimonio restaurado de mis papás y en la llegada de mi hermana, que entendí su fi"&amp;"delidad. Fue entonces, a los 10años, cuando decidí aceptar a Cristo como mi Salvador, reconociendo que solo en Él hay verdadera esperanza y propósito.")</f>
        <v>Supe de Dios cuando tenía 7 años, pero en ese momento solo lo conocía porque iba con mis papás a la iglesia. Fue a través del amor y la misericordia que Él me mostró en el matrimonio restaurado de mis papás y en la llegada de mi hermana, que entendí su fidelidad. Fue entonces, a los 10años, cuando decidí aceptar a Cristo como mi Salvador, reconociendo que solo en Él hay verdadera esperanza y propósito.</v>
      </c>
      <c r="Q194" s="1" t="str">
        <f ca="1">IFERROR(__xludf.DUMMYFUNCTION("""COMPUTED_VALUE"""),"Seguir aprendiendo a servir así como Cristo vino a servir a este mundo. 
Conocer a más personas que tengas la misma convicción que yo. Hacer amigos sirviendo al Señor.")</f>
        <v>Seguir aprendiendo a servir así como Cristo vino a servir a este mundo. 
Conocer a más personas que tengas la misma convicción que yo. Hacer amigos sirviendo al Señor.</v>
      </c>
      <c r="R194" s="1" t="str">
        <f ca="1">IFERROR(__xludf.DUMMYFUNCTION("""COMPUTED_VALUE"""),"Si")</f>
        <v>Si</v>
      </c>
      <c r="S194" s="1" t="str">
        <f ca="1">IFERROR(__xludf.DUMMYFUNCTION("""COMPUTED_VALUE"""),"natación, volley")</f>
        <v>natación, volley</v>
      </c>
      <c r="T194" s="1" t="str">
        <f ca="1">IFERROR(__xludf.DUMMYFUNCTION("""COMPUTED_VALUE"""),"No")</f>
        <v>No</v>
      </c>
      <c r="U194" s="1"/>
      <c r="V194" s="1" t="str">
        <f ca="1">IFERROR(__xludf.DUMMYFUNCTION("""COMPUTED_VALUE"""),"estoy terminando 2do de prepa")</f>
        <v>estoy terminando 2do de prepa</v>
      </c>
      <c r="W194" s="1" t="str">
        <f ca="1">IFERROR(__xludf.DUMMYFUNCTION("""COMPUTED_VALUE"""),"Puedo hacer un poco de todo. Solo no se nada de fotografía, audio y video y música.")</f>
        <v>Puedo hacer un poco de todo. Solo no se nada de fotografía, audio y video y música.</v>
      </c>
      <c r="X194" s="1" t="str">
        <f ca="1">IFERROR(__xludf.DUMMYFUNCTION("""COMPUTED_VALUE"""),"B. Me gusta animar a las personas, C. Suelo buscar que el trabajo se realice en equipo, D. Me gustan los deportes, H. Soy organizado (a), I. Se me facilita el trabajo físico, M. Soy bueno (a) con los números, O. Puedo enseñar con facilidad")</f>
        <v>B. Me gusta animar a las personas, C. Suelo buscar que el trabajo se realice en equipo, D. Me gustan los deportes, H. Soy organizado (a), I. Se me facilita el trabajo físico, M. Soy bueno (a) con los números, O. Puedo enseñar con facilidad</v>
      </c>
      <c r="Y194" s="1" t="str">
        <f ca="1">IFERROR(__xludf.DUMMYFUNCTION("""COMPUTED_VALUE"""),"si, 2022-2024")</f>
        <v>si, 2022-2024</v>
      </c>
      <c r="Z194" s="1"/>
    </row>
    <row r="195" spans="1:26" x14ac:dyDescent="0.35">
      <c r="A195" s="2">
        <f ca="1">IFERROR(__xludf.DUMMYFUNCTION("""COMPUTED_VALUE"""),45848.9267939814)</f>
        <v>45848.926793981402</v>
      </c>
      <c r="B195" s="1"/>
      <c r="C195" s="1" t="str">
        <f ca="1">IFERROR(__xludf.DUMMYFUNCTION("""COMPUTED_VALUE"""),"Jonathan Gabriel, García Antonio")</f>
        <v>Jonathan Gabriel, García Antonio</v>
      </c>
      <c r="D195" s="1">
        <f ca="1">IFERROR(__xludf.DUMMYFUNCTION("""COMPUTED_VALUE"""),22)</f>
        <v>22</v>
      </c>
      <c r="E195" s="1" t="str">
        <f ca="1">IFERROR(__xludf.DUMMYFUNCTION("""COMPUTED_VALUE"""),"Hombre")</f>
        <v>Hombre</v>
      </c>
      <c r="F195" s="1" t="str">
        <f ca="1">IFERROR(__xludf.DUMMYFUNCTION("""COMPUTED_VALUE"""),"Campeche, Mexico")</f>
        <v>Campeche, Mexico</v>
      </c>
      <c r="G195" s="1" t="str">
        <f ca="1">IFERROR(__xludf.DUMMYFUNCTION("""COMPUTED_VALUE"""),"yona23042003@gmail.com")</f>
        <v>yona23042003@gmail.com</v>
      </c>
      <c r="H195" s="1">
        <f ca="1">IFERROR(__xludf.DUMMYFUNCTION("""COMPUTED_VALUE"""),529934310066)</f>
        <v>529934310066</v>
      </c>
      <c r="I195" s="1" t="str">
        <f ca="1">IFERROR(__xludf.DUMMYFUNCTION("""COMPUTED_VALUE"""),"Jóvenes de 13 – 17 años / SEM1/ (28 Julio a 02 de agosto), Jóvenes de 13 – 17 años / SEM2/ (4 - 09 agosto), Jóvenes de 13 – 17 años / SEM3/ (11 - 16 agosto)")</f>
        <v>Jóvenes de 13 – 17 años / SEM1/ (28 Julio a 02 de agosto), Jóvenes de 13 – 17 años / SEM2/ (4 - 09 agosto), Jóvenes de 13 – 17 años / SEM3/ (11 - 16 agosto)</v>
      </c>
      <c r="J195" s="1" t="str">
        <f ca="1">IFERROR(__xludf.DUMMYFUNCTION("""COMPUTED_VALUE"""),"Devocional VSC")</f>
        <v>Devocional VSC</v>
      </c>
      <c r="K195" s="1" t="str">
        <f ca="1">IFERROR(__xludf.DUMMYFUNCTION("""COMPUTED_VALUE"""),"Vida sociedad cultural")</f>
        <v>Vida sociedad cultural</v>
      </c>
      <c r="L195" s="1" t="str">
        <f ca="1">IFERROR(__xludf.DUMMYFUNCTION("""COMPUTED_VALUE"""),"Natividad Ramos García")</f>
        <v>Natividad Ramos García</v>
      </c>
      <c r="M195" s="1">
        <f ca="1">IFERROR(__xludf.DUMMYFUNCTION("""COMPUTED_VALUE"""),529381032007)</f>
        <v>529381032007</v>
      </c>
      <c r="N195" s="1" t="str">
        <f ca="1">IFERROR(__xludf.DUMMYFUNCTION("""COMPUTED_VALUE"""),"jnatividadramosg@gmail.com")</f>
        <v>jnatividadramosg@gmail.com</v>
      </c>
      <c r="O195" s="1" t="str">
        <f ca="1">IFERROR(__xludf.DUMMYFUNCTION("""COMPUTED_VALUE"""),"Multimedia")</f>
        <v>Multimedia</v>
      </c>
      <c r="P195" s="1" t="str">
        <f ca="1">IFERROR(__xludf.DUMMYFUNCTION("""COMPUTED_VALUE"""),"Pues yo me bautize a los 18 vengo de una familia de Dios pero desde los 18 acepte a Jesús en mi corazón y desde entonces estoy en una lucha por seguir en su camino")</f>
        <v>Pues yo me bautize a los 18 vengo de una familia de Dios pero desde los 18 acepte a Jesús en mi corazón y desde entonces estoy en una lucha por seguir en su camino</v>
      </c>
      <c r="Q195" s="1" t="str">
        <f ca="1">IFERROR(__xludf.DUMMYFUNCTION("""COMPUTED_VALUE"""),"Por que es parte fundamental el servir y formar un buen carácter y disciplina")</f>
        <v>Por que es parte fundamental el servir y formar un buen carácter y disciplina</v>
      </c>
      <c r="R195" s="1" t="str">
        <f ca="1">IFERROR(__xludf.DUMMYFUNCTION("""COMPUTED_VALUE"""),"No")</f>
        <v>No</v>
      </c>
      <c r="S195" s="1"/>
      <c r="T195" s="1" t="str">
        <f ca="1">IFERROR(__xludf.DUMMYFUNCTION("""COMPUTED_VALUE"""),"No")</f>
        <v>No</v>
      </c>
      <c r="U195" s="1"/>
      <c r="V195" s="1" t="str">
        <f ca="1">IFERROR(__xludf.DUMMYFUNCTION("""COMPUTED_VALUE"""),"Ingeniería en diseño multimedia")</f>
        <v>Ingeniería en diseño multimedia</v>
      </c>
      <c r="W195" s="1" t="str">
        <f ca="1">IFERROR(__xludf.DUMMYFUNCTION("""COMPUTED_VALUE"""),"Fotografía, manualidades")</f>
        <v>Fotografía, manualidades</v>
      </c>
      <c r="X195" s="1" t="str">
        <f ca="1">IFERROR(__xludf.DUMMYFUNCTION("""COMPUTED_VALUE"""),"E. Me gusta el trabajo con niños, G. Soy más eficiente en el trabajo individual, J. Me gusta la atención a las personas, K. Soy creativo (a), O. Puedo enseñar con facilidad")</f>
        <v>E. Me gusta el trabajo con niños, G. Soy más eficiente en el trabajo individual, J. Me gusta la atención a las personas, K. Soy creativo (a), O. Puedo enseñar con facilidad</v>
      </c>
      <c r="Y195" s="1" t="str">
        <f ca="1">IFERROR(__xludf.DUMMYFUNCTION("""COMPUTED_VALUE"""),"Soy nuevo")</f>
        <v>Soy nuevo</v>
      </c>
      <c r="Z195" s="1"/>
    </row>
    <row r="196" spans="1:26" x14ac:dyDescent="0.35">
      <c r="A196" s="2">
        <f ca="1">IFERROR(__xludf.DUMMYFUNCTION("""COMPUTED_VALUE"""),45851.5154513888)</f>
        <v>45851.515451388797</v>
      </c>
      <c r="B196" s="1"/>
      <c r="C196" s="1" t="str">
        <f ca="1">IFERROR(__xludf.DUMMYFUNCTION("""COMPUTED_VALUE"""),"Max Emiliano, Amezcua Camacho")</f>
        <v>Max Emiliano, Amezcua Camacho</v>
      </c>
      <c r="D196" s="1">
        <f ca="1">IFERROR(__xludf.DUMMYFUNCTION("""COMPUTED_VALUE"""),19)</f>
        <v>19</v>
      </c>
      <c r="E196" s="1" t="str">
        <f ca="1">IFERROR(__xludf.DUMMYFUNCTION("""COMPUTED_VALUE"""),"Hombre")</f>
        <v>Hombre</v>
      </c>
      <c r="F196" s="1" t="str">
        <f ca="1">IFERROR(__xludf.DUMMYFUNCTION("""COMPUTED_VALUE"""),"Guanajuato, Mexico")</f>
        <v>Guanajuato, Mexico</v>
      </c>
      <c r="G196" s="1" t="str">
        <f ca="1">IFERROR(__xludf.DUMMYFUNCTION("""COMPUTED_VALUE"""),"multiflo05@gmail.com")</f>
        <v>multiflo05@gmail.com</v>
      </c>
      <c r="H196" s="1">
        <f ca="1">IFERROR(__xludf.DUMMYFUNCTION("""COMPUTED_VALUE"""),524779209081)</f>
        <v>524779209081</v>
      </c>
      <c r="I196" s="1" t="str">
        <f ca="1">IFERROR(__xludf.DUMMYFUNCTION("""COMPUTED_VALUE"""),"Comunidad Jóvenes + 18 (14-19) Julio")</f>
        <v>Comunidad Jóvenes + 18 (14-19) Julio</v>
      </c>
      <c r="J196" s="1" t="str">
        <f ca="1">IFERROR(__xludf.DUMMYFUNCTION("""COMPUTED_VALUE"""),"Devocional en app Biblia")</f>
        <v>Devocional en app Biblia</v>
      </c>
      <c r="K196" s="1" t="str">
        <f ca="1">IFERROR(__xludf.DUMMYFUNCTION("""COMPUTED_VALUE"""),"Sin iglesia")</f>
        <v>Sin iglesia</v>
      </c>
      <c r="L196" s="1" t="str">
        <f ca="1">IFERROR(__xludf.DUMMYFUNCTION("""COMPUTED_VALUE"""),"Humberto Zúñiga Núñez")</f>
        <v>Humberto Zúñiga Núñez</v>
      </c>
      <c r="M196" s="1">
        <f ca="1">IFERROR(__xludf.DUMMYFUNCTION("""COMPUTED_VALUE"""),524772892705)</f>
        <v>524772892705</v>
      </c>
      <c r="N196" s="1" t="str">
        <f ca="1">IFERROR(__xludf.DUMMYFUNCTION("""COMPUTED_VALUE"""),"humberto.zunamez@gmail.com")</f>
        <v>humberto.zunamez@gmail.com</v>
      </c>
      <c r="O196" s="1" t="str">
        <f ca="1">IFERROR(__xludf.DUMMYFUNCTION("""COMPUTED_VALUE"""),"Sin iglesia")</f>
        <v>Sin iglesia</v>
      </c>
      <c r="P196" s="1" t="str">
        <f ca="1">IFERROR(__xludf.DUMMYFUNCTION("""COMPUTED_VALUE"""),"Crecí en una familia cristiana, entendí de la salvación en un campamento de Pdv en 2017 y a partir de ahí comencé una relación íntima con el señor")</f>
        <v>Crecí en una familia cristiana, entendí de la salvación en un campamento de Pdv en 2017 y a partir de ahí comencé una relación íntima con el señor</v>
      </c>
      <c r="Q196" s="1" t="str">
        <f ca="1">IFERROR(__xludf.DUMMYFUNCTION("""COMPUTED_VALUE"""),"Me gustaría servir al señor y poder aprender del conferencista y como Dios puede hablar a mi vida durante esta semana")</f>
        <v>Me gustaría servir al señor y poder aprender del conferencista y como Dios puede hablar a mi vida durante esta semana</v>
      </c>
      <c r="R196" s="1" t="str">
        <f ca="1">IFERROR(__xludf.DUMMYFUNCTION("""COMPUTED_VALUE"""),"No")</f>
        <v>No</v>
      </c>
      <c r="S196" s="1"/>
      <c r="T196" s="1" t="str">
        <f ca="1">IFERROR(__xludf.DUMMYFUNCTION("""COMPUTED_VALUE"""),"No")</f>
        <v>No</v>
      </c>
      <c r="U196" s="1"/>
      <c r="V196" s="1" t="str">
        <f ca="1">IFERROR(__xludf.DUMMYFUNCTION("""COMPUTED_VALUE"""),"Universidad")</f>
        <v>Universidad</v>
      </c>
      <c r="W196" s="1" t="str">
        <f ca="1">IFERROR(__xludf.DUMMYFUNCTION("""COMPUTED_VALUE"""),"Habilidades de organización y creativas")</f>
        <v>Habilidades de organización y creativas</v>
      </c>
      <c r="X196" s="1" t="str">
        <f ca="1">IFERROR(__xludf.DUMMYFUNCTION("""COMPUTED_VALUE"""),"B. Me gusta animar a las personas, C. Suelo buscar que el trabajo se realice en equipo, E. Me gusta el trabajo con niños, H. Soy organizado (a), K. Soy creativo (a), M. Soy bueno (a) con los números")</f>
        <v>B. Me gusta animar a las personas, C. Suelo buscar que el trabajo se realice en equipo, E. Me gusta el trabajo con niños, H. Soy organizado (a), K. Soy creativo (a), M. Soy bueno (a) con los números</v>
      </c>
      <c r="Y196" s="1" t="str">
        <f ca="1">IFERROR(__xludf.DUMMYFUNCTION("""COMPUTED_VALUE"""),"He asistido 2017, 2018 y 2019")</f>
        <v>He asistido 2017, 2018 y 2019</v>
      </c>
      <c r="Z196" s="1"/>
    </row>
    <row r="197" spans="1:26" x14ac:dyDescent="0.35">
      <c r="A197" s="2">
        <f ca="1">IFERROR(__xludf.DUMMYFUNCTION("""COMPUTED_VALUE"""),45851.675625)</f>
        <v>45851.675625000003</v>
      </c>
      <c r="B197" s="1"/>
      <c r="C197" s="1" t="str">
        <f ca="1">IFERROR(__xludf.DUMMYFUNCTION("""COMPUTED_VALUE"""),"David, Zopiyactle Juárez")</f>
        <v>David, Zopiyactle Juárez</v>
      </c>
      <c r="D197" s="1">
        <f ca="1">IFERROR(__xludf.DUMMYFUNCTION("""COMPUTED_VALUE"""),21)</f>
        <v>21</v>
      </c>
      <c r="E197" s="1" t="str">
        <f ca="1">IFERROR(__xludf.DUMMYFUNCTION("""COMPUTED_VALUE"""),"Hombre")</f>
        <v>Hombre</v>
      </c>
      <c r="F197" s="1" t="str">
        <f ca="1">IFERROR(__xludf.DUMMYFUNCTION("""COMPUTED_VALUE"""),"Veracruz, Mexico")</f>
        <v>Veracruz, Mexico</v>
      </c>
      <c r="G197" s="1" t="str">
        <f ca="1">IFERROR(__xludf.DUMMYFUNCTION("""COMPUTED_VALUE"""),"dj6679668@gmail.com")</f>
        <v>dj6679668@gmail.com</v>
      </c>
      <c r="H197" s="1">
        <f ca="1">IFERROR(__xludf.DUMMYFUNCTION("""COMPUTED_VALUE"""),522721266391)</f>
        <v>522721266391</v>
      </c>
      <c r="I197" s="1" t="str">
        <f ca="1">IFERROR(__xludf.DUMMYFUNCTION("""COMPUTED_VALUE"""),"Jóvenes de 13 – 17 años / SEM1/ (28 Julio a 02 de agosto), Jóvenes de 13 – 17 años / SEM2/ (4 - 09 agosto), Jóvenes de 13 – 17 años / SEM3/ (11 - 16 agosto)")</f>
        <v>Jóvenes de 13 – 17 años / SEM1/ (28 Julio a 02 de agosto), Jóvenes de 13 – 17 años / SEM2/ (4 - 09 agosto), Jóvenes de 13 – 17 años / SEM3/ (11 - 16 agosto)</v>
      </c>
      <c r="J197" s="1" t="str">
        <f ca="1">IFERROR(__xludf.DUMMYFUNCTION("""COMPUTED_VALUE"""),"Hora silenciosa")</f>
        <v>Hora silenciosa</v>
      </c>
      <c r="K197" s="1" t="str">
        <f ca="1">IFERROR(__xludf.DUMMYFUNCTION("""COMPUTED_VALUE"""),"Hew Hope")</f>
        <v>Hew Hope</v>
      </c>
      <c r="L197" s="1" t="str">
        <f ca="1">IFERROR(__xludf.DUMMYFUNCTION("""COMPUTED_VALUE"""),"Jaime León")</f>
        <v>Jaime León</v>
      </c>
      <c r="M197" s="1">
        <f ca="1">IFERROR(__xludf.DUMMYFUNCTION("""COMPUTED_VALUE"""),522721678600)</f>
        <v>522721678600</v>
      </c>
      <c r="N197" s="1" t="str">
        <f ca="1">IFERROR(__xludf.DUMMYFUNCTION("""COMPUTED_VALUE"""),"fanton_@hotmail.com")</f>
        <v>fanton_@hotmail.com</v>
      </c>
      <c r="O197" s="1" t="str">
        <f ca="1">IFERROR(__xludf.DUMMYFUNCTION("""COMPUTED_VALUE"""),"Servicio y actividades evangelistas")</f>
        <v>Servicio y actividades evangelistas</v>
      </c>
      <c r="P197" s="1" t="str">
        <f ca="1">IFERROR(__xludf.DUMMYFUNCTION("""COMPUTED_VALUE"""),"En el Campa de Palabra de vida temporada 2019. Fui desafiado por una pregunta de mu mi salvación la cual no la supe responder pero no todo quedó asi, me explicaron y fue asi como comprendí el evangelio, ahora estoy seguro de mis salvación")</f>
        <v>En el Campa de Palabra de vida temporada 2019. Fui desafiado por una pregunta de mu mi salvación la cual no la supe responder pero no todo quedó asi, me explicaron y fue asi como comprendí el evangelio, ahora estoy seguro de mis salvación</v>
      </c>
      <c r="Q197" s="1" t="str">
        <f ca="1">IFERROR(__xludf.DUMMYFUNCTION("""COMPUTED_VALUE"""),"Siempre salgo desafinado por mi fe para alcanzar más almas para Cristo Dios utiliza este medio para impulsar mis dones a su servicio plenamente quiero de ser de bendición para ustedes pero salgo más bendecido de ustedes para conmigo me han ayudado demasia"&amp;"do en mi crecimiento espiritual. Los amoo")</f>
        <v>Siempre salgo desafinado por mi fe para alcanzar más almas para Cristo Dios utiliza este medio para impulsar mis dones a su servicio plenamente quiero de ser de bendición para ustedes pero salgo más bendecido de ustedes para conmigo me han ayudado demasiado en mi crecimiento espiritual. Los amoo</v>
      </c>
      <c r="R197" s="1" t="str">
        <f ca="1">IFERROR(__xludf.DUMMYFUNCTION("""COMPUTED_VALUE"""),"Si")</f>
        <v>Si</v>
      </c>
      <c r="S197" s="1" t="str">
        <f ca="1">IFERROR(__xludf.DUMMYFUNCTION("""COMPUTED_VALUE"""),"Ciclismo, running y trail")</f>
        <v>Ciclismo, running y trail</v>
      </c>
      <c r="T197" s="1" t="str">
        <f ca="1">IFERROR(__xludf.DUMMYFUNCTION("""COMPUTED_VALUE"""),"No")</f>
        <v>No</v>
      </c>
      <c r="U197" s="1"/>
      <c r="V197" s="1" t="str">
        <f ca="1">IFERROR(__xludf.DUMMYFUNCTION("""COMPUTED_VALUE"""),"Gestión y dirección de negocios")</f>
        <v>Gestión y dirección de negocios</v>
      </c>
      <c r="W197" s="1" t="str">
        <f ca="1">IFERROR(__xludf.DUMMYFUNCTION("""COMPUTED_VALUE"""),"Servicial, negociante, preparación de alimentos")</f>
        <v>Servicial, negociante, preparación de alimentos</v>
      </c>
      <c r="X197" s="1" t="str">
        <f ca="1">IFERROR(__xludf.DUMMYFUNCTION("""COMPUTED_VALUE"""),"A. Soy un discipulador activo, B. Me gusta animar a las personas, C. Suelo buscar que el trabajo se realice en equipo, D. Me gustan los deportes, G. Soy más eficiente en el trabajo individual, H. Soy organizado (a), I. Se me facilita el trabajo físico, J."&amp;" Me gusta la atención a las personas, N. Suelo llevar el liderazgo en un grupo, O. Puedo enseñar con facilidad")</f>
        <v>A. Soy un discipulador activo, B. Me gusta animar a las personas, C. Suelo buscar que el trabajo se realice en equipo, D. Me gustan los deportes, G. Soy más eficiente en el trabajo individual, H. Soy organizado (a), I. Se me facilita el trabajo físico, J. Me gusta la atención a las personas, N. Suelo llevar el liderazgo en un grupo, O. Puedo enseñar con facilidad</v>
      </c>
      <c r="Y197" s="1" t="str">
        <f ca="1">IFERROR(__xludf.DUMMYFUNCTION("""COMPUTED_VALUE"""),"Si 2016")</f>
        <v>Si 2016</v>
      </c>
      <c r="Z197" s="1"/>
    </row>
    <row r="198" spans="1:26" x14ac:dyDescent="0.35">
      <c r="A198" s="2">
        <f ca="1">IFERROR(__xludf.DUMMYFUNCTION("""COMPUTED_VALUE"""),45851.7742129629)</f>
        <v>45851.774212962897</v>
      </c>
      <c r="B198" s="1"/>
      <c r="C198" s="1" t="str">
        <f ca="1">IFERROR(__xludf.DUMMYFUNCTION("""COMPUTED_VALUE"""),"Frida Sofía, Monreal López")</f>
        <v>Frida Sofía, Monreal López</v>
      </c>
      <c r="D198" s="1">
        <f ca="1">IFERROR(__xludf.DUMMYFUNCTION("""COMPUTED_VALUE"""),14)</f>
        <v>14</v>
      </c>
      <c r="E198" s="1" t="str">
        <f ca="1">IFERROR(__xludf.DUMMYFUNCTION("""COMPUTED_VALUE"""),"Mujer")</f>
        <v>Mujer</v>
      </c>
      <c r="F198" s="1" t="str">
        <f ca="1">IFERROR(__xludf.DUMMYFUNCTION("""COMPUTED_VALUE"""),"Jalisco, Mexico")</f>
        <v>Jalisco, Mexico</v>
      </c>
      <c r="G198" s="1" t="str">
        <f ca="1">IFERROR(__xludf.DUMMYFUNCTION("""COMPUTED_VALUE"""),"Patricia.lzrmz@gmail.com")</f>
        <v>Patricia.lzrmz@gmail.com</v>
      </c>
      <c r="H198" s="1">
        <f ca="1">IFERROR(__xludf.DUMMYFUNCTION("""COMPUTED_VALUE"""),524443163101)</f>
        <v>524443163101</v>
      </c>
      <c r="I198" s="1" t="str">
        <f ca="1">IFERROR(__xludf.DUMMYFUNCTION("""COMPUTED_VALUE"""),"Comunidad Jóvenes + 18 (14-19) Julio, Semana de niños y niñas (21-25) Julio")</f>
        <v>Comunidad Jóvenes + 18 (14-19) Julio, Semana de niños y niñas (21-25) Julio</v>
      </c>
      <c r="J198" s="1" t="str">
        <f ca="1">IFERROR(__xludf.DUMMYFUNCTION("""COMPUTED_VALUE"""),"Hora silenciosa")</f>
        <v>Hora silenciosa</v>
      </c>
      <c r="K198" s="1" t="str">
        <f ca="1">IFERROR(__xludf.DUMMYFUNCTION("""COMPUTED_VALUE"""),"Ema uel")</f>
        <v>Ema uel</v>
      </c>
      <c r="L198" s="1" t="str">
        <f ca="1">IFERROR(__xludf.DUMMYFUNCTION("""COMPUTED_VALUE"""),"Uziel Rubio Velazquez")</f>
        <v>Uziel Rubio Velazquez</v>
      </c>
      <c r="M198" s="1">
        <f ca="1">IFERROR(__xludf.DUMMYFUNCTION("""COMPUTED_VALUE"""),523328043997)</f>
        <v>523328043997</v>
      </c>
      <c r="N198" s="1" t="str">
        <f ca="1">IFERROR(__xludf.DUMMYFUNCTION("""COMPUTED_VALUE"""),"uco_1908@hotmail.com")</f>
        <v>uco_1908@hotmail.com</v>
      </c>
      <c r="O198" s="1" t="str">
        <f ca="1">IFERROR(__xludf.DUMMYFUNCTION("""COMPUTED_VALUE"""),"Niños")</f>
        <v>Niños</v>
      </c>
      <c r="P198" s="1" t="str">
        <f ca="1">IFERROR(__xludf.DUMMYFUNCTION("""COMPUTED_VALUE"""),"Nacidas en familia cristiana , me bauticé años 12 años creyendo que Jesús es mi salvador y comencé a servir en el ministerio de niños")</f>
        <v>Nacidas en familia cristiana , me bauticé años 12 años creyendo que Jesús es mi salvador y comencé a servir en el ministerio de niños</v>
      </c>
      <c r="Q198" s="1" t="str">
        <f ca="1">IFERROR(__xludf.DUMMYFUNCTION("""COMPUTED_VALUE"""),"Quiero aprender a servir en amor y que otros conozcan a Cristo a través de su obra en este campamento")</f>
        <v>Quiero aprender a servir en amor y que otros conozcan a Cristo a través de su obra en este campamento</v>
      </c>
      <c r="R198" s="1" t="str">
        <f ca="1">IFERROR(__xludf.DUMMYFUNCTION("""COMPUTED_VALUE"""),"Si")</f>
        <v>Si</v>
      </c>
      <c r="S198" s="1" t="str">
        <f ca="1">IFERROR(__xludf.DUMMYFUNCTION("""COMPUTED_VALUE"""),"Cheerlearder")</f>
        <v>Cheerlearder</v>
      </c>
      <c r="T198" s="1" t="str">
        <f ca="1">IFERROR(__xludf.DUMMYFUNCTION("""COMPUTED_VALUE"""),"No")</f>
        <v>No</v>
      </c>
      <c r="U198" s="1"/>
      <c r="V198" s="1" t="str">
        <f ca="1">IFERROR(__xludf.DUMMYFUNCTION("""COMPUTED_VALUE"""),"Termine mi secundaria y próximamente iniciaré mi preparatoria")</f>
        <v>Termine mi secundaria y próximamente iniciaré mi preparatoria</v>
      </c>
      <c r="W198" s="1" t="str">
        <f ca="1">IFERROR(__xludf.DUMMYFUNCTION("""COMPUTED_VALUE"""),"Creativa, animadora")</f>
        <v>Creativa, animadora</v>
      </c>
      <c r="X198" s="1" t="str">
        <f ca="1">IFERROR(__xludf.DUMMYFUNCTION("""COMPUTED_VALUE"""),"B. Me gusta animar a las personas, K. Soy creativo (a)")</f>
        <v>B. Me gusta animar a las personas, K. Soy creativo (a)</v>
      </c>
      <c r="Y198" s="1" t="str">
        <f ca="1">IFERROR(__xludf.DUMMYFUNCTION("""COMPUTED_VALUE"""),"No")</f>
        <v>No</v>
      </c>
      <c r="Z198" s="1"/>
    </row>
    <row r="199" spans="1:26" x14ac:dyDescent="0.35">
      <c r="A199" s="2">
        <f ca="1">IFERROR(__xludf.DUMMYFUNCTION("""COMPUTED_VALUE"""),45852.5063425925)</f>
        <v>45852.506342592496</v>
      </c>
      <c r="B199" s="1"/>
      <c r="C199" s="1" t="str">
        <f ca="1">IFERROR(__xludf.DUMMYFUNCTION("""COMPUTED_VALUE"""),"Zurisadai, Zamorano González")</f>
        <v>Zurisadai, Zamorano González</v>
      </c>
      <c r="D199" s="1">
        <f ca="1">IFERROR(__xludf.DUMMYFUNCTION("""COMPUTED_VALUE"""),28)</f>
        <v>28</v>
      </c>
      <c r="E199" s="1" t="str">
        <f ca="1">IFERROR(__xludf.DUMMYFUNCTION("""COMPUTED_VALUE"""),"Mujer")</f>
        <v>Mujer</v>
      </c>
      <c r="F199" s="1" t="str">
        <f ca="1">IFERROR(__xludf.DUMMYFUNCTION("""COMPUTED_VALUE"""),"Mexico, Mexico")</f>
        <v>Mexico, Mexico</v>
      </c>
      <c r="G199" s="1" t="str">
        <f ca="1">IFERROR(__xludf.DUMMYFUNCTION("""COMPUTED_VALUE"""),"sadaizamorano7@gmail.com")</f>
        <v>sadaizamorano7@gmail.com</v>
      </c>
      <c r="H199" s="1">
        <f ca="1">IFERROR(__xludf.DUMMYFUNCTION("""COMPUTED_VALUE"""),527227619916)</f>
        <v>527227619916</v>
      </c>
      <c r="I199" s="1" t="str">
        <f ca="1">IFERROR(__xludf.DUMMYFUNCTION("""COMPUTED_VALUE"""),"Jóvenes de 13 – 17 años / SEM1/ (28 Julio a 02 de agosto)")</f>
        <v>Jóvenes de 13 – 17 años / SEM1/ (28 Julio a 02 de agosto)</v>
      </c>
      <c r="J199" s="1" t="str">
        <f ca="1">IFERROR(__xludf.DUMMYFUNCTION("""COMPUTED_VALUE"""),"mujeres virtuosas")</f>
        <v>mujeres virtuosas</v>
      </c>
      <c r="K199" s="1" t="str">
        <f ca="1">IFERROR(__xludf.DUMMYFUNCTION("""COMPUTED_VALUE"""),"Iglesia Bautista Maranatha")</f>
        <v>Iglesia Bautista Maranatha</v>
      </c>
      <c r="L199" s="1" t="str">
        <f ca="1">IFERROR(__xludf.DUMMYFUNCTION("""COMPUTED_VALUE"""),"Héctor Abdiel López Reyes")</f>
        <v>Héctor Abdiel López Reyes</v>
      </c>
      <c r="M199" s="1">
        <f ca="1">IFERROR(__xludf.DUMMYFUNCTION("""COMPUTED_VALUE"""),527225107076)</f>
        <v>527225107076</v>
      </c>
      <c r="N199" s="1" t="str">
        <f ca="1">IFERROR(__xludf.DUMMYFUNCTION("""COMPUTED_VALUE"""),"habdielr@gmail.com")</f>
        <v>habdielr@gmail.com</v>
      </c>
      <c r="O199" s="1" t="str">
        <f ca="1">IFERROR(__xludf.DUMMYFUNCTION("""COMPUTED_VALUE"""),"Alabanza")</f>
        <v>Alabanza</v>
      </c>
      <c r="P199" s="1" t="str">
        <f ca="1">IFERROR(__xludf.DUMMYFUNCTION("""COMPUTED_VALUE"""),"Tuve la bendición de nacer y crecer en una familia cristiana, sin embargo, no tenía claro el significado, hasta que los problemas me llevaron a los brazos de una hermana , la cuál me explico y guío a centrarme y tener sed de conocer de Jesucristo, de su i"&amp;"nfinito amor hacía nosotros.")</f>
        <v>Tuve la bendición de nacer y crecer en una familia cristiana, sin embargo, no tenía claro el significado, hasta que los problemas me llevaron a los brazos de una hermana , la cuál me explico y guío a centrarme y tener sed de conocer de Jesucristo, de su infinito amor hacía nosotros.</v>
      </c>
      <c r="Q199" s="1" t="str">
        <f ca="1">IFERROR(__xludf.DUMMYFUNCTION("""COMPUTED_VALUE"""),"Por qué me gusta servir, me gusta ver cómo las personas en diferentes circunstancias conocen y aceptan a Jesús.")</f>
        <v>Por qué me gusta servir, me gusta ver cómo las personas en diferentes circunstancias conocen y aceptan a Jesús.</v>
      </c>
      <c r="R199" s="1" t="str">
        <f ca="1">IFERROR(__xludf.DUMMYFUNCTION("""COMPUTED_VALUE"""),"Si")</f>
        <v>Si</v>
      </c>
      <c r="S199" s="1" t="str">
        <f ca="1">IFERROR(__xludf.DUMMYFUNCTION("""COMPUTED_VALUE"""),"Hago ejercicio y me gusta hacer caminata")</f>
        <v>Hago ejercicio y me gusta hacer caminata</v>
      </c>
      <c r="T199" s="1" t="str">
        <f ca="1">IFERROR(__xludf.DUMMYFUNCTION("""COMPUTED_VALUE"""),"Si")</f>
        <v>Si</v>
      </c>
      <c r="U199" s="1" t="str">
        <f ca="1">IFERROR(__xludf.DUMMYFUNCTION("""COMPUTED_VALUE"""),"Batería")</f>
        <v>Batería</v>
      </c>
      <c r="V199" s="1" t="str">
        <f ca="1">IFERROR(__xludf.DUMMYFUNCTION("""COMPUTED_VALUE"""),"Licenciatura en Derecho")</f>
        <v>Licenciatura en Derecho</v>
      </c>
      <c r="W199" s="1" t="str">
        <f ca="1">IFERROR(__xludf.DUMMYFUNCTION("""COMPUTED_VALUE"""),"Sociable, Me gusta hacer cosas nuevas y aprendo rápido, me gusta cocinar, hacer manualidades, postres.")</f>
        <v>Sociable, Me gusta hacer cosas nuevas y aprendo rápido, me gusta cocinar, hacer manualidades, postres.</v>
      </c>
      <c r="X199" s="1" t="str">
        <f ca="1">IFERROR(__xludf.DUMMYFUNCTION("""COMPUTED_VALUE"""),"B. Me gusta animar a las personas, E. Me gusta el trabajo con niños, H. Soy organizado (a), I. Se me facilita el trabajo físico, K. Soy creativo (a), M. Soy bueno (a) con los números")</f>
        <v>B. Me gusta animar a las personas, E. Me gusta el trabajo con niños, H. Soy organizado (a), I. Se me facilita el trabajo físico, K. Soy creativo (a), M. Soy bueno (a) con los números</v>
      </c>
      <c r="Y199" s="1" t="str">
        <f ca="1">IFERROR(__xludf.DUMMYFUNCTION("""COMPUTED_VALUE"""),"Si, estuve hace dos años de campera y también de equipante")</f>
        <v>Si, estuve hace dos años de campera y también de equipante</v>
      </c>
      <c r="Z199" s="1"/>
    </row>
    <row r="200" spans="1:26" x14ac:dyDescent="0.35">
      <c r="A200" s="2">
        <f ca="1">IFERROR(__xludf.DUMMYFUNCTION("""COMPUTED_VALUE"""),45852.5245717592)</f>
        <v>45852.524571759197</v>
      </c>
      <c r="B200" s="1"/>
      <c r="C200" s="1" t="str">
        <f ca="1">IFERROR(__xludf.DUMMYFUNCTION("""COMPUTED_VALUE"""),"Boris Alexander, Sandoval Figueroa")</f>
        <v>Boris Alexander, Sandoval Figueroa</v>
      </c>
      <c r="D200" s="1">
        <f ca="1">IFERROR(__xludf.DUMMYFUNCTION("""COMPUTED_VALUE"""),25)</f>
        <v>25</v>
      </c>
      <c r="E200" s="1" t="str">
        <f ca="1">IFERROR(__xludf.DUMMYFUNCTION("""COMPUTED_VALUE"""),"Hombre")</f>
        <v>Hombre</v>
      </c>
      <c r="F200" s="1" t="str">
        <f ca="1">IFERROR(__xludf.DUMMYFUNCTION("""COMPUTED_VALUE"""),"Mexico, Mexico")</f>
        <v>Mexico, Mexico</v>
      </c>
      <c r="G200" s="1" t="str">
        <f ca="1">IFERROR(__xludf.DUMMYFUNCTION("""COMPUTED_VALUE"""),"sandovalboris142015@gmail.com")</f>
        <v>sandovalboris142015@gmail.com</v>
      </c>
      <c r="H200" s="1">
        <f ca="1">IFERROR(__xludf.DUMMYFUNCTION("""COMPUTED_VALUE"""),525580342363)</f>
        <v>525580342363</v>
      </c>
      <c r="I200" s="1" t="str">
        <f ca="1">IFERROR(__xludf.DUMMYFUNCTION("""COMPUTED_VALUE"""),"Comunidad Jóvenes + 18 (14-19) Julio, Semana de niños y niñas (21-25) Julio, Jóvenes de 13 – 17 años / SEM1/ (28 Julio a 02 de agosto)")</f>
        <v>Comunidad Jóvenes + 18 (14-19) Julio, Semana de niños y niñas (21-25) Julio, Jóvenes de 13 – 17 años / SEM1/ (28 Julio a 02 de agosto)</v>
      </c>
      <c r="J200" s="1" t="str">
        <f ca="1">IFERROR(__xludf.DUMMYFUNCTION("""COMPUTED_VALUE"""),"Isaias")</f>
        <v>Isaias</v>
      </c>
      <c r="K200" s="1" t="str">
        <f ca="1">IFERROR(__xludf.DUMMYFUNCTION("""COMPUTED_VALUE"""),"GNV Casa de Pan")</f>
        <v>GNV Casa de Pan</v>
      </c>
      <c r="L200" s="1" t="str">
        <f ca="1">IFERROR(__xludf.DUMMYFUNCTION("""COMPUTED_VALUE"""),"Josué Angel Vargas Álvarez")</f>
        <v>Josué Angel Vargas Álvarez</v>
      </c>
      <c r="M200" s="1">
        <f ca="1">IFERROR(__xludf.DUMMYFUNCTION("""COMPUTED_VALUE"""),525523543727)</f>
        <v>525523543727</v>
      </c>
      <c r="N200" s="1" t="str">
        <f ca="1">IFERROR(__xludf.DUMMYFUNCTION("""COMPUTED_VALUE"""),"vargasjosue142015@gmail.com")</f>
        <v>vargasjosue142015@gmail.com</v>
      </c>
      <c r="O200" s="1" t="str">
        <f ca="1">IFERROR(__xludf.DUMMYFUNCTION("""COMPUTED_VALUE"""),"Multimedia, Redes Sociales,Misiones, Centro de desarrollo infantil.")</f>
        <v>Multimedia, Redes Sociales,Misiones, Centro de desarrollo infantil.</v>
      </c>
      <c r="P200" s="1" t="str">
        <f ca="1">IFERROR(__xludf.DUMMYFUNCTION("""COMPUTED_VALUE"""),"A través de la falta de economía, falleció mi papá, conocí a Dios en un acto de abundancia.")</f>
        <v>A través de la falta de economía, falleció mi papá, conocí a Dios en un acto de abundancia.</v>
      </c>
      <c r="Q200" s="1" t="str">
        <f ca="1">IFERROR(__xludf.DUMMYFUNCTION("""COMPUTED_VALUE"""),"Naci para servir, en mi iglesia local sirvo de lunes a Domingo, y Dios me llamó a este campamento, a través de respuestas a una oración que yo hice.
Me patrocinaron el campamento y transporte")</f>
        <v>Naci para servir, en mi iglesia local sirvo de lunes a Domingo, y Dios me llamó a este campamento, a través de respuestas a una oración que yo hice.
Me patrocinaron el campamento y transporte</v>
      </c>
      <c r="R200" s="1" t="str">
        <f ca="1">IFERROR(__xludf.DUMMYFUNCTION("""COMPUTED_VALUE"""),"Si")</f>
        <v>Si</v>
      </c>
      <c r="S200" s="1" t="str">
        <f ca="1">IFERROR(__xludf.DUMMYFUNCTION("""COMPUTED_VALUE"""),"Calistenia")</f>
        <v>Calistenia</v>
      </c>
      <c r="T200" s="1" t="str">
        <f ca="1">IFERROR(__xludf.DUMMYFUNCTION("""COMPUTED_VALUE"""),"No")</f>
        <v>No</v>
      </c>
      <c r="U200" s="1"/>
      <c r="V200" s="1" t="str">
        <f ca="1">IFERROR(__xludf.DUMMYFUNCTION("""COMPUTED_VALUE"""),"Lic. Informática")</f>
        <v>Lic. Informática</v>
      </c>
      <c r="W200" s="1" t="str">
        <f ca="1">IFERROR(__xludf.DUMMYFUNCTION("""COMPUTED_VALUE"""),"Me gusta mucho la fotografia, el deporte, hablar en público, edición de vídeo")</f>
        <v>Me gusta mucho la fotografia, el deporte, hablar en público, edición de vídeo</v>
      </c>
      <c r="X200" s="1" t="str">
        <f ca="1">IFERROR(__xludf.DUMMYFUNCTION("""COMPUTED_VALUE"""),"A. Soy un discipulador activo, B. Me gusta animar a las personas, C. Suelo buscar que el trabajo se realice en equipo, D. Me gustan los deportes, E. Me gusta el trabajo con niños, F. Soy eficiente en el trabajo con herramientas, equipos y maquinarias, H. "&amp;"Soy organizado (a), I. Se me facilita el trabajo físico, J. Me gusta la atención a las personas, N. Suelo llevar el liderazgo en un grupo, O. Puedo enseñar con facilidad")</f>
        <v>A. Soy un discipulador activo, B. Me gusta animar a las personas, C. Suelo buscar que el trabajo se realice en equipo, D. Me gustan los deportes, E. Me gusta el trabajo con niños, F. Soy eficiente en el trabajo con herramientas, equipos y maquinarias, H. Soy organizado (a), I. Se me facilita el trabajo físico, J. Me gusta la atención a las personas, N. Suelo llevar el liderazgo en un grupo, O. Puedo enseñar con facilidad</v>
      </c>
      <c r="Y200" s="1" t="str">
        <f ca="1">IFERROR(__xludf.DUMMYFUNCTION("""COMPUTED_VALUE"""),"No, primera vez")</f>
        <v>No, primera vez</v>
      </c>
      <c r="Z200" s="1"/>
    </row>
    <row r="201" spans="1:26" x14ac:dyDescent="0.35">
      <c r="A201" s="2">
        <f ca="1">IFERROR(__xludf.DUMMYFUNCTION("""COMPUTED_VALUE"""),45852.7329976851)</f>
        <v>45852.732997685103</v>
      </c>
      <c r="B201" s="1"/>
      <c r="C201" s="1" t="str">
        <f ca="1">IFERROR(__xludf.DUMMYFUNCTION("""COMPUTED_VALUE"""),"David, Morales del Angel")</f>
        <v>David, Morales del Angel</v>
      </c>
      <c r="D201" s="1">
        <f ca="1">IFERROR(__xludf.DUMMYFUNCTION("""COMPUTED_VALUE"""),20)</f>
        <v>20</v>
      </c>
      <c r="E201" s="1" t="str">
        <f ca="1">IFERROR(__xludf.DUMMYFUNCTION("""COMPUTED_VALUE"""),"Hombre")</f>
        <v>Hombre</v>
      </c>
      <c r="F201" s="1" t="str">
        <f ca="1">IFERROR(__xludf.DUMMYFUNCTION("""COMPUTED_VALUE"""),"Mexico, Mexico")</f>
        <v>Mexico, Mexico</v>
      </c>
      <c r="G201" s="1" t="str">
        <f ca="1">IFERROR(__xludf.DUMMYFUNCTION("""COMPUTED_VALUE"""),"dm3729753@gmail.com")</f>
        <v>dm3729753@gmail.com</v>
      </c>
      <c r="H201" s="1">
        <f ca="1">IFERROR(__xludf.DUMMYFUNCTION("""COMPUTED_VALUE"""),525587615951)</f>
        <v>525587615951</v>
      </c>
      <c r="I201" s="1" t="str">
        <f ca="1">IFERROR(__xludf.DUMMYFUNCTION("""COMPUTED_VALUE"""),"Comunidad Jóvenes + 18 (14-19) Julio, Semana de niños y niñas (21-25) Julio")</f>
        <v>Comunidad Jóvenes + 18 (14-19) Julio, Semana de niños y niñas (21-25) Julio</v>
      </c>
      <c r="J201" s="1" t="str">
        <f ca="1">IFERROR(__xludf.DUMMYFUNCTION("""COMPUTED_VALUE"""),"Mi caminar con Dios")</f>
        <v>Mi caminar con Dios</v>
      </c>
      <c r="K201" s="1" t="str">
        <f ca="1">IFERROR(__xludf.DUMMYFUNCTION("""COMPUTED_VALUE"""),"Iglesia Cristiana Fundamental de México")</f>
        <v>Iglesia Cristiana Fundamental de México</v>
      </c>
      <c r="L201" s="1" t="str">
        <f ca="1">IFERROR(__xludf.DUMMYFUNCTION("""COMPUTED_VALUE"""),"Erick Martínez")</f>
        <v>Erick Martínez</v>
      </c>
      <c r="M201" s="1">
        <f ca="1">IFERROR(__xludf.DUMMYFUNCTION("""COMPUTED_VALUE"""),525517941231)</f>
        <v>525517941231</v>
      </c>
      <c r="N201" s="1" t="str">
        <f ca="1">IFERROR(__xludf.DUMMYFUNCTION("""COMPUTED_VALUE"""),"erickrey55287@hotmail.com")</f>
        <v>erickrey55287@hotmail.com</v>
      </c>
      <c r="O201" s="1" t="str">
        <f ca="1">IFERROR(__xludf.DUMMYFUNCTION("""COMPUTED_VALUE"""),"Multimedia")</f>
        <v>Multimedia</v>
      </c>
      <c r="P201" s="1" t="str">
        <f ca="1">IFERROR(__xludf.DUMMYFUNCTION("""COMPUTED_VALUE"""),"Nací en una familia Cristiana, pero con el tiempo me fui acercando al mundo, con problemas familiares, problemas con una relación, en la escuela, alejado de mi iglesia.estando en Veracruz a solas decidí entregarle mi vida a Dios, aceptarlo como mi salvado"&amp;"r, era mucha tristeza la que cargaba y necesitaba ayuda, lo mejor fue cuando empecé a saber que era lo que realmente quería y como quería conforme a lo que Dios me permitía.")</f>
        <v>Nací en una familia Cristiana, pero con el tiempo me fui acercando al mundo, con problemas familiares, problemas con una relación, en la escuela, alejado de mi iglesia.estando en Veracruz a solas decidí entregarle mi vida a Dios, aceptarlo como mi salvador, era mucha tristeza la que cargaba y necesitaba ayuda, lo mejor fue cuando empecé a saber que era lo que realmente quería y como quería conforme a lo que Dios me permitía.</v>
      </c>
      <c r="Q201" s="1" t="str">
        <f ca="1">IFERROR(__xludf.DUMMYFUNCTION("""COMPUTED_VALUE"""),"Principalmente por el servicio a Dios, tengo iniciativa de empezar a servir mas de lo habitual, el tiempo que tengo de vacaciones quiero aprovecharlo.")</f>
        <v>Principalmente por el servicio a Dios, tengo iniciativa de empezar a servir mas de lo habitual, el tiempo que tengo de vacaciones quiero aprovecharlo.</v>
      </c>
      <c r="R201" s="1" t="str">
        <f ca="1">IFERROR(__xludf.DUMMYFUNCTION("""COMPUTED_VALUE"""),"Si")</f>
        <v>Si</v>
      </c>
      <c r="S201" s="1" t="str">
        <f ca="1">IFERROR(__xludf.DUMMYFUNCTION("""COMPUTED_VALUE"""),"Futbol")</f>
        <v>Futbol</v>
      </c>
      <c r="T201" s="1" t="str">
        <f ca="1">IFERROR(__xludf.DUMMYFUNCTION("""COMPUTED_VALUE"""),"No")</f>
        <v>No</v>
      </c>
      <c r="U201" s="1"/>
      <c r="V201" s="1" t="str">
        <f ca="1">IFERROR(__xludf.DUMMYFUNCTION("""COMPUTED_VALUE"""),"Negocios Internacionales")</f>
        <v>Negocios Internacionales</v>
      </c>
      <c r="W201" s="1" t="str">
        <f ca="1">IFERROR(__xludf.DUMMYFUNCTION("""COMPUTED_VALUE"""),"Liderazgo, comunicación con la gente,")</f>
        <v>Liderazgo, comunicación con la gente,</v>
      </c>
      <c r="X201" s="1" t="str">
        <f ca="1">IFERROR(__xludf.DUMMYFUNCTION("""COMPUTED_VALUE"""),"B. Me gusta animar a las personas, D. Me gustan los deportes, E. Me gusta el trabajo con niños, F. Soy eficiente en el trabajo con herramientas, equipos y maquinarias, I. Se me facilita el trabajo físico, J. Me gusta la atención a las personas, N. Suelo l"&amp;"levar el liderazgo en un grupo")</f>
        <v>B. Me gusta animar a las personas, D. Me gustan los deportes, E. Me gusta el trabajo con niños, F. Soy eficiente en el trabajo con herramientas, equipos y maquinarias, I. Se me facilita el trabajo físico, J. Me gusta la atención a las personas, N. Suelo llevar el liderazgo en un grupo</v>
      </c>
      <c r="Y201" s="1" t="str">
        <f ca="1">IFERROR(__xludf.DUMMYFUNCTION("""COMPUTED_VALUE"""),"Si, 2015")</f>
        <v>Si, 2015</v>
      </c>
      <c r="Z201" s="1"/>
    </row>
    <row r="202" spans="1:26" x14ac:dyDescent="0.35">
      <c r="A202" s="2">
        <f ca="1">IFERROR(__xludf.DUMMYFUNCTION("""COMPUTED_VALUE"""),45852.9366898148)</f>
        <v>45852.9366898148</v>
      </c>
      <c r="B202" s="1"/>
      <c r="C202" s="1" t="str">
        <f ca="1">IFERROR(__xludf.DUMMYFUNCTION("""COMPUTED_VALUE"""),"Anayanci, Barrios Zamarripa")</f>
        <v>Anayanci, Barrios Zamarripa</v>
      </c>
      <c r="D202" s="1">
        <f ca="1">IFERROR(__xludf.DUMMYFUNCTION("""COMPUTED_VALUE"""),23)</f>
        <v>23</v>
      </c>
      <c r="E202" s="1" t="str">
        <f ca="1">IFERROR(__xludf.DUMMYFUNCTION("""COMPUTED_VALUE"""),"Mujer")</f>
        <v>Mujer</v>
      </c>
      <c r="F202" s="1" t="str">
        <f ca="1">IFERROR(__xludf.DUMMYFUNCTION("""COMPUTED_VALUE"""),"Tamaulipas, Mexico")</f>
        <v>Tamaulipas, Mexico</v>
      </c>
      <c r="G202" s="1" t="str">
        <f ca="1">IFERROR(__xludf.DUMMYFUNCTION("""COMPUTED_VALUE"""),"anabz@live.com.mx")</f>
        <v>anabz@live.com.mx</v>
      </c>
      <c r="H202" s="1">
        <f ca="1">IFERROR(__xludf.DUMMYFUNCTION("""COMPUTED_VALUE"""),528332956349)</f>
        <v>528332956349</v>
      </c>
      <c r="I202" s="1" t="str">
        <f ca="1">IFERROR(__xludf.DUMMYFUNCTION("""COMPUTED_VALUE"""),"Semana de niños y niñas (21-25) Julio")</f>
        <v>Semana de niños y niñas (21-25) Julio</v>
      </c>
      <c r="J202" s="1" t="str">
        <f ca="1">IFERROR(__xludf.DUMMYFUNCTION("""COMPUTED_VALUE"""),"VIDA DISCIPULAR")</f>
        <v>VIDA DISCIPULAR</v>
      </c>
      <c r="K202" s="1" t="str">
        <f ca="1">IFERROR(__xludf.DUMMYFUNCTION("""COMPUTED_VALUE"""),"Iglesia Bautista ""El Calvario""")</f>
        <v>Iglesia Bautista "El Calvario"</v>
      </c>
      <c r="L202" s="1" t="str">
        <f ca="1">IFERROR(__xludf.DUMMYFUNCTION("""COMPUTED_VALUE"""),"Marco Antonio Garcia Montoya")</f>
        <v>Marco Antonio Garcia Montoya</v>
      </c>
      <c r="M202" s="1">
        <f ca="1">IFERROR(__xludf.DUMMYFUNCTION("""COMPUTED_VALUE"""),528333504123)</f>
        <v>528333504123</v>
      </c>
      <c r="N202" s="1" t="str">
        <f ca="1">IFERROR(__xludf.DUMMYFUNCTION("""COMPUTED_VALUE"""),"marcoantoniopastor75@gmail.com")</f>
        <v>marcoantoniopastor75@gmail.com</v>
      </c>
      <c r="O202" s="1" t="str">
        <f ca="1">IFERROR(__xludf.DUMMYFUNCTION("""COMPUTED_VALUE"""),"Atletas Olimpicos")</f>
        <v>Atletas Olimpicos</v>
      </c>
      <c r="P202" s="1" t="str">
        <f ca="1">IFERROR(__xludf.DUMMYFUNCTION("""COMPUTED_VALUE"""),"Nací en una familia cristiana, mis padres se congregaban en “El calvario” y por cuestiones de trabajo se dejaron de congregar, y esporádicamente iban a la iglesia, pero pasando el tiempo perdió su valor.
En julio del 2013 mi primo Jasiel Barrios nos invi"&amp;"tó a el campamento “Bernal”, donde  con el amor de mis consejeras Mariana Rivero y Sarahí Vega, me hablaron del privilegio más grande que he tenido en mi vida, y gracias a Dios mi corazón fue tocado, y pude reconocer el hermoso valor de Cristo y lo que hi"&amp;"zo en la cruz. 
Durante 4 años seguidos, asistí al campamento, donde conocí muchas personas y muchos testimonio, y las predicaciones fueron de gran bendición en mi vida. Al llegar a casa eventualmente nos volvimos a congregar, pero no comprometidos. 
Hac"&amp;"e varios años que le entregue mi vida a Cristo, pero nunca me había incorporado a una iglesia local, a pesar de que me invitaban.
Hasta en julio 2023, Dios hablo fuertemente a mi familia, con una situación con mi hermano menor, sabíamos que la prueba era "&amp;"familiar y como familia decidimos volver a la casa del Señor, nos incorporamos a “El Calvario”, el hermano Marco Antonio García, estuvo muy al pendiente de nuestra situación, y al regresar pudimos ver la mano de Dios en la vida de mi hermano, quien hoy se"&amp;" encuentra mejor. Al estar en la iglesia, me recibieron con mucho amor, y tengo un gratitud muy grande, ya que en todo momento me he sentido amada. Al iniciar mi primer discipulado con la hermana Liliana, fui reconociendo mis errores y pecados, Dios habla"&amp;" de mi vida constantemente. El 23 de Marzo del 2024, Dios me concedió la bendición de ser bautizada en su nombre.  
Hasta el dia de hoy, el Señor se ha mantenido fiel, y me ha permido formar parte de la iglesia, integrarme con los jóvenes y servir con los"&amp;" niños.")</f>
        <v>Nací en una familia cristiana, mis padres se congregaban en “El calvario” y por cuestiones de trabajo se dejaron de congregar, y esporádicamente iban a la iglesia, pero pasando el tiempo perdió su valor.
En julio del 2013 mi primo Jasiel Barrios nos invitó a el campamento “Bernal”, donde  con el amor de mis consejeras Mariana Rivero y Sarahí Vega, me hablaron del privilegio más grande que he tenido en mi vida, y gracias a Dios mi corazón fue tocado, y pude reconocer el hermoso valor de Cristo y lo que hizo en la cruz. 
Durante 4 años seguidos, asistí al campamento, donde conocí muchas personas y muchos testimonio, y las predicaciones fueron de gran bendición en mi vida. Al llegar a casa eventualmente nos volvimos a congregar, pero no comprometidos. 
Hace varios años que le entregue mi vida a Cristo, pero nunca me había incorporado a una iglesia local, a pesar de que me invitaban.
Hasta en julio 2023, Dios hablo fuertemente a mi familia, con una situación con mi hermano menor, sabíamos que la prueba era familiar y como familia decidimos volver a la casa del Señor, nos incorporamos a “El Calvario”, el hermano Marco Antonio García, estuvo muy al pendiente de nuestra situación, y al regresar pudimos ver la mano de Dios en la vida de mi hermano, quien hoy se encuentra mejor. Al estar en la iglesia, me recibieron con mucho amor, y tengo un gratitud muy grande, ya que en todo momento me he sentido amada. Al iniciar mi primer discipulado con la hermana Liliana, fui reconociendo mis errores y pecados, Dios habla de mi vida constantemente. El 23 de Marzo del 2024, Dios me concedió la bendición de ser bautizada en su nombre.  
Hasta el dia de hoy, el Señor se ha mantenido fiel, y me ha permido formar parte de la iglesia, integrarme con los jóvenes y servir con los niños.</v>
      </c>
      <c r="Q202" s="1" t="str">
        <f ca="1">IFERROR(__xludf.DUMMYFUNCTION("""COMPUTED_VALUE"""),"El año pasado estuve sirviendo en el campamento, y fue de total bendición. Este año, me alegro en poder llevar a mis 3 primas que tienen el deseo de conocer el campamento de niños, y es mi deseo también poder servir en el campamento.")</f>
        <v>El año pasado estuve sirviendo en el campamento, y fue de total bendición. Este año, me alegro en poder llevar a mis 3 primas que tienen el deseo de conocer el campamento de niños, y es mi deseo también poder servir en el campamento.</v>
      </c>
      <c r="R202" s="1" t="str">
        <f ca="1">IFERROR(__xludf.DUMMYFUNCTION("""COMPUTED_VALUE"""),"No")</f>
        <v>No</v>
      </c>
      <c r="S202" s="1"/>
      <c r="T202" s="1" t="str">
        <f ca="1">IFERROR(__xludf.DUMMYFUNCTION("""COMPUTED_VALUE"""),"No")</f>
        <v>No</v>
      </c>
      <c r="U202" s="1"/>
      <c r="V202" s="1" t="str">
        <f ca="1">IFERROR(__xludf.DUMMYFUNCTION("""COMPUTED_VALUE"""),"Medico Cirujano")</f>
        <v>Medico Cirujano</v>
      </c>
      <c r="W202" s="1" t="str">
        <f ca="1">IFERROR(__xludf.DUMMYFUNCTION("""COMPUTED_VALUE"""),"Me gusta hablar con las personas, y escuchar lo que piensa.")</f>
        <v>Me gusta hablar con las personas, y escuchar lo que piensa.</v>
      </c>
      <c r="X202" s="1" t="str">
        <f ca="1">IFERROR(__xludf.DUMMYFUNCTION("""COMPUTED_VALUE"""),"A. Soy un discipulador activo, B. Me gusta animar a las personas, E. Me gusta el trabajo con niños, H. Soy organizado (a), J. Me gusta la atención a las personas, O. Puedo enseñar con facilidad")</f>
        <v>A. Soy un discipulador activo, B. Me gusta animar a las personas, E. Me gusta el trabajo con niños, H. Soy organizado (a), J. Me gusta la atención a las personas, O. Puedo enseñar con facilidad</v>
      </c>
      <c r="Y202" s="1" t="str">
        <f ca="1">IFERROR(__xludf.DUMMYFUNCTION("""COMPUTED_VALUE"""),"Si, la temporada pasada, año 2024")</f>
        <v>Si, la temporada pasada, año 2024</v>
      </c>
      <c r="Z202" s="1"/>
    </row>
    <row r="203" spans="1:26" x14ac:dyDescent="0.35">
      <c r="A203" s="2">
        <f ca="1">IFERROR(__xludf.DUMMYFUNCTION("""COMPUTED_VALUE"""),45853.7154861111)</f>
        <v>45853.715486111098</v>
      </c>
      <c r="B203" s="1"/>
      <c r="C203" s="1" t="str">
        <f ca="1">IFERROR(__xludf.DUMMYFUNCTION("""COMPUTED_VALUE"""),"Azalia, Chamorro Aguilar")</f>
        <v>Azalia, Chamorro Aguilar</v>
      </c>
      <c r="D203" s="1">
        <f ca="1">IFERROR(__xludf.DUMMYFUNCTION("""COMPUTED_VALUE"""),20)</f>
        <v>20</v>
      </c>
      <c r="E203" s="1" t="str">
        <f ca="1">IFERROR(__xludf.DUMMYFUNCTION("""COMPUTED_VALUE"""),"Mujer")</f>
        <v>Mujer</v>
      </c>
      <c r="F203" s="1" t="str">
        <f ca="1">IFERROR(__xludf.DUMMYFUNCTION("""COMPUTED_VALUE"""),"Queretaro, Mexico")</f>
        <v>Queretaro, Mexico</v>
      </c>
      <c r="G203" s="1" t="str">
        <f ca="1">IFERROR(__xludf.DUMMYFUNCTION("""COMPUTED_VALUE"""),"zali.chamorro@gmail.com")</f>
        <v>zali.chamorro@gmail.com</v>
      </c>
      <c r="H203" s="1">
        <f ca="1">IFERROR(__xludf.DUMMYFUNCTION("""COMPUTED_VALUE"""),524424644026)</f>
        <v>524424644026</v>
      </c>
      <c r="I203" s="1" t="str">
        <f ca="1">IFERROR(__xludf.DUMMYFUNCTION("""COMPUTED_VALUE"""),"Semana de niños y niñas (21-25) Julio")</f>
        <v>Semana de niños y niñas (21-25) Julio</v>
      </c>
      <c r="J203" s="1" t="str">
        <f ca="1">IFERROR(__xludf.DUMMYFUNCTION("""COMPUTED_VALUE"""),"What happens when women say yes to God and walk in faith")</f>
        <v>What happens when women say yes to God and walk in faith</v>
      </c>
      <c r="K203" s="1" t="str">
        <f ca="1">IFERROR(__xludf.DUMMYFUNCTION("""COMPUTED_VALUE"""),"Calvary Fortaleza Querétaro")</f>
        <v>Calvary Fortaleza Querétaro</v>
      </c>
      <c r="L203" s="1" t="str">
        <f ca="1">IFERROR(__xludf.DUMMYFUNCTION("""COMPUTED_VALUE"""),"Miguel Chamorro")</f>
        <v>Miguel Chamorro</v>
      </c>
      <c r="M203" s="1">
        <f ca="1">IFERROR(__xludf.DUMMYFUNCTION("""COMPUTED_VALUE"""),524421592539)</f>
        <v>524421592539</v>
      </c>
      <c r="N203" s="1" t="str">
        <f ca="1">IFERROR(__xludf.DUMMYFUNCTION("""COMPUTED_VALUE"""),"fortalezaqro@gmail.com")</f>
        <v>fortalezaqro@gmail.com</v>
      </c>
      <c r="O203" s="1" t="str">
        <f ca="1">IFERROR(__xludf.DUMMYFUNCTION("""COMPUTED_VALUE"""),"Redes sociales y alabanza")</f>
        <v>Redes sociales y alabanza</v>
      </c>
      <c r="P203" s="1" t="str">
        <f ca="1">IFERROR(__xludf.DUMMYFUNCTION("""COMPUTED_VALUE"""),"Yo nací en una familia cristiana por lo que durante toda mi niñez y adolescencia estuve acostumbrada a ir a la iglesia y escuchar sobre Dios , Jesús e historia de la Biblia, por lo que me insensibilicé al Evangelio. Cuando tenía 16, durante la pandemia, a"&amp;"sistí virtualmente a un campamento para adolescentes, en el último día Dios de permitió finalmente comprender el evangelio y reconocer mi condición como pecadora y la necesidad que tengo de él.")</f>
        <v>Yo nací en una familia cristiana por lo que durante toda mi niñez y adolescencia estuve acostumbrada a ir a la iglesia y escuchar sobre Dios , Jesús e historia de la Biblia, por lo que me insensibilicé al Evangelio. Cuando tenía 16, durante la pandemia, asistí virtualmente a un campamento para adolescentes, en el último día Dios de permitió finalmente comprender el evangelio y reconocer mi condición como pecadora y la necesidad que tengo de él.</v>
      </c>
      <c r="Q203" s="1" t="str">
        <f ca="1">IFERROR(__xludf.DUMMYFUNCTION("""COMPUTED_VALUE"""),"Quiero utilizar este tiempo de mis vacaciones de verano para que Dios me use y para ser de bendición a otros.")</f>
        <v>Quiero utilizar este tiempo de mis vacaciones de verano para que Dios me use y para ser de bendición a otros.</v>
      </c>
      <c r="R203" s="1" t="str">
        <f ca="1">IFERROR(__xludf.DUMMYFUNCTION("""COMPUTED_VALUE"""),"No")</f>
        <v>No</v>
      </c>
      <c r="S203" s="1"/>
      <c r="T203" s="1" t="str">
        <f ca="1">IFERROR(__xludf.DUMMYFUNCTION("""COMPUTED_VALUE"""),"No")</f>
        <v>No</v>
      </c>
      <c r="U203" s="1"/>
      <c r="V203" s="1" t="str">
        <f ca="1">IFERROR(__xludf.DUMMYFUNCTION("""COMPUTED_VALUE"""),"Arquitectura")</f>
        <v>Arquitectura</v>
      </c>
      <c r="W203" s="1" t="str">
        <f ca="1">IFERROR(__xludf.DUMMYFUNCTION("""COMPUTED_VALUE"""),"Tomar fotos con cámara profesional, cantar, hablar inglés")</f>
        <v>Tomar fotos con cámara profesional, cantar, hablar inglés</v>
      </c>
      <c r="X203" s="1" t="str">
        <f ca="1">IFERROR(__xludf.DUMMYFUNCTION("""COMPUTED_VALUE"""),"A. Soy un discipulador activo, B. Me gusta animar a las personas, H. Soy organizado (a), J. Me gusta la atención a las personas, L. Soy bueno (a) en canto o algún instrumento, N. Suelo llevar el liderazgo en un grupo, O. Puedo enseñar con facilidad")</f>
        <v>A. Soy un discipulador activo, B. Me gusta animar a las personas, H. Soy organizado (a), J. Me gusta la atención a las personas, L. Soy bueno (a) en canto o algún instrumento, N. Suelo llevar el liderazgo en un grupo, O. Puedo enseñar con facilidad</v>
      </c>
      <c r="Y203" s="1" t="str">
        <f ca="1">IFERROR(__xludf.DUMMYFUNCTION("""COMPUTED_VALUE"""),"Si, 2018 y 2019")</f>
        <v>Si, 2018 y 2019</v>
      </c>
      <c r="Z203" s="1"/>
    </row>
    <row r="204" spans="1:26" x14ac:dyDescent="0.35">
      <c r="A204" s="2">
        <f ca="1">IFERROR(__xludf.DUMMYFUNCTION("""COMPUTED_VALUE"""),45853.8661921296)</f>
        <v>45853.866192129601</v>
      </c>
      <c r="B204" s="1"/>
      <c r="C204" s="1" t="str">
        <f ca="1">IFERROR(__xludf.DUMMYFUNCTION("""COMPUTED_VALUE"""),"Emilio, Tenorio")</f>
        <v>Emilio, Tenorio</v>
      </c>
      <c r="D204" s="1">
        <f ca="1">IFERROR(__xludf.DUMMYFUNCTION("""COMPUTED_VALUE"""),19)</f>
        <v>19</v>
      </c>
      <c r="E204" s="1" t="str">
        <f ca="1">IFERROR(__xludf.DUMMYFUNCTION("""COMPUTED_VALUE"""),"Hombre")</f>
        <v>Hombre</v>
      </c>
      <c r="F204" s="1" t="str">
        <f ca="1">IFERROR(__xludf.DUMMYFUNCTION("""COMPUTED_VALUE"""),"Mexico City, Mexico")</f>
        <v>Mexico City, Mexico</v>
      </c>
      <c r="G204" s="1" t="str">
        <f ca="1">IFERROR(__xludf.DUMMYFUNCTION("""COMPUTED_VALUE"""),"tenorioaemilio@gmail.com")</f>
        <v>tenorioaemilio@gmail.com</v>
      </c>
      <c r="H204" s="1">
        <f ca="1">IFERROR(__xludf.DUMMYFUNCTION("""COMPUTED_VALUE"""),525578491497)</f>
        <v>525578491497</v>
      </c>
      <c r="I204" s="1" t="str">
        <f ca="1">IFERROR(__xludf.DUMMYFUNCTION("""COMPUTED_VALUE"""),"Jóvenes de 13 – 17 años / SEM1/ (28 Julio a 02 de agosto)")</f>
        <v>Jóvenes de 13 – 17 años / SEM1/ (28 Julio a 02 de agosto)</v>
      </c>
      <c r="J204" s="1" t="str">
        <f ca="1">IFERROR(__xludf.DUMMYFUNCTION("""COMPUTED_VALUE"""),"Reina Valera 1960")</f>
        <v>Reina Valera 1960</v>
      </c>
      <c r="K204" s="1" t="str">
        <f ca="1">IFERROR(__xludf.DUMMYFUNCTION("""COMPUTED_VALUE"""),"Humanidad Transformada")</f>
        <v>Humanidad Transformada</v>
      </c>
      <c r="L204" s="1" t="str">
        <f ca="1">IFERROR(__xludf.DUMMYFUNCTION("""COMPUTED_VALUE"""),"Cristobal Montealegre")</f>
        <v>Cristobal Montealegre</v>
      </c>
      <c r="M204" s="1" t="str">
        <f ca="1">IFERROR(__xludf.DUMMYFUNCTION("""COMPUTED_VALUE"""),"#ERROR!")</f>
        <v>#ERROR!</v>
      </c>
      <c r="N204" s="1" t="str">
        <f ca="1">IFERROR(__xludf.DUMMYFUNCTION("""COMPUTED_VALUE"""),"ht@itransform.net")</f>
        <v>ht@itransform.net</v>
      </c>
      <c r="O204" s="1" t="str">
        <f ca="1">IFERROR(__xludf.DUMMYFUNCTION("""COMPUTED_VALUE"""),"Enseñanza, misiones y centro de atención integral")</f>
        <v>Enseñanza, misiones y centro de atención integral</v>
      </c>
      <c r="P204" s="1" t="str">
        <f ca="1">IFERROR(__xludf.DUMMYFUNCTION("""COMPUTED_VALUE"""),"Fui salvado en el momento en el que dispuse a escuchar a mi Padre, porque él siempre ha estado. El día en el que yo decidí aceptarlo, inmediatamente él me limpió y me hizo hijo.")</f>
        <v>Fui salvado en el momento en el que dispuse a escuchar a mi Padre, porque él siempre ha estado. El día en el que yo decidí aceptarlo, inmediatamente él me limpió y me hizo hijo.</v>
      </c>
      <c r="Q204" s="1" t="str">
        <f ca="1">IFERROR(__xludf.DUMMYFUNCTION("""COMPUTED_VALUE"""),"Me gustaría estar dispuesto a lo que Dios tenga para entregar a todos, es una oportunidad muy valiosa.")</f>
        <v>Me gustaría estar dispuesto a lo que Dios tenga para entregar a todos, es una oportunidad muy valiosa.</v>
      </c>
      <c r="R204" s="1" t="str">
        <f ca="1">IFERROR(__xludf.DUMMYFUNCTION("""COMPUTED_VALUE"""),"Si")</f>
        <v>Si</v>
      </c>
      <c r="S204" s="1" t="str">
        <f ca="1">IFERROR(__xludf.DUMMYFUNCTION("""COMPUTED_VALUE"""),"Artes marciales; Muay thai, jiu jitsu, box y kickboxing. Gym, basketball y correr")</f>
        <v>Artes marciales; Muay thai, jiu jitsu, box y kickboxing. Gym, basketball y correr</v>
      </c>
      <c r="T204" s="1" t="str">
        <f ca="1">IFERROR(__xludf.DUMMYFUNCTION("""COMPUTED_VALUE"""),"No")</f>
        <v>No</v>
      </c>
      <c r="U204" s="1"/>
      <c r="V204" s="1" t="str">
        <f ca="1">IFERROR(__xludf.DUMMYFUNCTION("""COMPUTED_VALUE"""),"Arquitectura")</f>
        <v>Arquitectura</v>
      </c>
      <c r="W204" s="1" t="str">
        <f ca="1">IFERROR(__xludf.DUMMYFUNCTION("""COMPUTED_VALUE"""),"Sé pintar, dibujar a cualquier tipo de material. Escribo, soy buen lector y tengo una alta capacidad de escritura.")</f>
        <v>Sé pintar, dibujar a cualquier tipo de material. Escribo, soy buen lector y tengo una alta capacidad de escritura.</v>
      </c>
      <c r="X204" s="1" t="str">
        <f ca="1">IFERROR(__xludf.DUMMYFUNCTION("""COMPUTED_VALUE"""),"A. Soy un discipulador activo, B. Me gusta animar a las personas, C. Suelo buscar que el trabajo se realice en equipo, D. Me gustan los deportes, E. Me gusta el trabajo con niños, F. Soy eficiente en el trabajo con herramientas, equipos y maquinarias, G. "&amp;"Soy más eficiente en el trabajo individual, H. Soy organizado (a), I. Se me facilita el trabajo físico, J. Me gusta la atención a las personas, K. Soy creativo (a), N. Suelo llevar el liderazgo en un grupo, O. Puedo enseñar con facilidad")</f>
        <v>A. Soy un discipulador activo, B. Me gusta animar a las personas, C. Suelo buscar que el trabajo se realice en equipo, D. Me gustan los deportes, E. Me gusta el trabajo con niños, F. Soy eficiente en el trabajo con herramientas, equipos y maquinarias, G. Soy más eficiente en el trabajo individual, H. Soy organizado (a), I. Se me facilita el trabajo físico, J. Me gusta la atención a las personas, K. Soy creativo (a), N. Suelo llevar el liderazgo en un grupo, O. Puedo enseñar con facilidad</v>
      </c>
      <c r="Y204" s="1" t="str">
        <f ca="1">IFERROR(__xludf.DUMMYFUNCTION("""COMPUTED_VALUE"""),"No")</f>
        <v>No</v>
      </c>
      <c r="Z204" s="1"/>
    </row>
    <row r="205" spans="1:26" x14ac:dyDescent="0.35">
      <c r="A205" s="2">
        <f ca="1">IFERROR(__xludf.DUMMYFUNCTION("""COMPUTED_VALUE"""),45854.2708217592)</f>
        <v>45854.270821759201</v>
      </c>
      <c r="B205" s="1"/>
      <c r="C205" s="1" t="str">
        <f ca="1">IFERROR(__xludf.DUMMYFUNCTION("""COMPUTED_VALUE"""),"Eliel, Priske Alanis")</f>
        <v>Eliel, Priske Alanis</v>
      </c>
      <c r="D205" s="1">
        <f ca="1">IFERROR(__xludf.DUMMYFUNCTION("""COMPUTED_VALUE"""),20)</f>
        <v>20</v>
      </c>
      <c r="E205" s="1" t="str">
        <f ca="1">IFERROR(__xludf.DUMMYFUNCTION("""COMPUTED_VALUE"""),"Hombre")</f>
        <v>Hombre</v>
      </c>
      <c r="F205" s="1" t="str">
        <f ca="1">IFERROR(__xludf.DUMMYFUNCTION("""COMPUTED_VALUE"""),"Queretaro, Mexico")</f>
        <v>Queretaro, Mexico</v>
      </c>
      <c r="G205" s="1" t="str">
        <f ca="1">IFERROR(__xludf.DUMMYFUNCTION("""COMPUTED_VALUE"""),"elielprial@gmail.com")</f>
        <v>elielprial@gmail.com</v>
      </c>
      <c r="H205" s="1">
        <f ca="1">IFERROR(__xludf.DUMMYFUNCTION("""COMPUTED_VALUE"""),524141234390)</f>
        <v>524141234390</v>
      </c>
      <c r="I205" s="1" t="str">
        <f ca="1">IFERROR(__xludf.DUMMYFUNCTION("""COMPUTED_VALUE"""),"Jóvenes de 13 – 17 años / SEM1/ (28 Julio a 02 de agosto)")</f>
        <v>Jóvenes de 13 – 17 años / SEM1/ (28 Julio a 02 de agosto)</v>
      </c>
      <c r="J205" s="1" t="str">
        <f ca="1">IFERROR(__xludf.DUMMYFUNCTION("""COMPUTED_VALUE"""),"Hora Silenciosa")</f>
        <v>Hora Silenciosa</v>
      </c>
      <c r="K205" s="1" t="str">
        <f ca="1">IFERROR(__xludf.DUMMYFUNCTION("""COMPUTED_VALUE"""),"Iglesia Bíblica Misionera Tequisquiapan")</f>
        <v>Iglesia Bíblica Misionera Tequisquiapan</v>
      </c>
      <c r="L205" s="1" t="str">
        <f ca="1">IFERROR(__xludf.DUMMYFUNCTION("""COMPUTED_VALUE"""),"Coleman Dale Victor Priske Bond")</f>
        <v>Coleman Dale Victor Priske Bond</v>
      </c>
      <c r="M205" s="1">
        <f ca="1">IFERROR(__xludf.DUMMYFUNCTION("""COMPUTED_VALUE"""),524141017265)</f>
        <v>524141017265</v>
      </c>
      <c r="N205" s="1" t="str">
        <f ca="1">IFERROR(__xludf.DUMMYFUNCTION("""COMPUTED_VALUE"""),"colemanpriske@gmail.com")</f>
        <v>colemanpriske@gmail.com</v>
      </c>
      <c r="O205" s="1" t="str">
        <f ca="1">IFERROR(__xludf.DUMMYFUNCTION("""COMPUTED_VALUE"""),"Sonido y lider de jovenes majores")</f>
        <v>Sonido y lider de jovenes majores</v>
      </c>
      <c r="P205" s="1" t="str">
        <f ca="1">IFERROR(__xludf.DUMMYFUNCTION("""COMPUTED_VALUE"""),"Naci en un hogar cristiano, estuve siempre en contacto con la Palabra, pero, llendo a campamentos, pero cuando realmente entendi el evangelio fue cuando me decidi por bautizarme, hablaron conmigo y me preguntaron si sabia porque lo queria, ahi fue cuando "&amp;"hablando entendi que era un pecador, que no podia salvarme, que el unico que podia hacerlo era Cristo y no se ocupaba nada mas que creer en El y que era suficiente.")</f>
        <v>Naci en un hogar cristiano, estuve siempre en contacto con la Palabra, pero, llendo a campamentos, pero cuando realmente entendi el evangelio fue cuando me decidi por bautizarme, hablaron conmigo y me preguntaron si sabia porque lo queria, ahi fue cuando hablando entendi que era un pecador, que no podia salvarme, que el unico que podia hacerlo era Cristo y no se ocupaba nada mas que creer en El y que era suficiente.</v>
      </c>
      <c r="Q205" s="1" t="str">
        <f ca="1">IFERROR(__xludf.DUMMYFUNCTION("""COMPUTED_VALUE"""),"Tengo una semana libre y me gustaria poder usarla en servir.")</f>
        <v>Tengo una semana libre y me gustaria poder usarla en servir.</v>
      </c>
      <c r="R205" s="1" t="str">
        <f ca="1">IFERROR(__xludf.DUMMYFUNCTION("""COMPUTED_VALUE"""),"No")</f>
        <v>No</v>
      </c>
      <c r="S205" s="1"/>
      <c r="T205" s="1" t="str">
        <f ca="1">IFERROR(__xludf.DUMMYFUNCTION("""COMPUTED_VALUE"""),"Si")</f>
        <v>Si</v>
      </c>
      <c r="U205" s="1" t="str">
        <f ca="1">IFERROR(__xludf.DUMMYFUNCTION("""COMPUTED_VALUE"""),"Toco la guitarra")</f>
        <v>Toco la guitarra</v>
      </c>
      <c r="V205" s="1" t="str">
        <f ca="1">IFERROR(__xludf.DUMMYFUNCTION("""COMPUTED_VALUE"""),"Estudio Ingeniería en Desarrollo de Software multiplataforma")</f>
        <v>Estudio Ingeniería en Desarrollo de Software multiplataforma</v>
      </c>
      <c r="W205" s="1" t="str">
        <f ca="1">IFERROR(__xludf.DUMMYFUNCTION("""COMPUTED_VALUE"""),"Se soldar, tocar instrumentos, experiencia en consejeria, se usar diversas herramientas aparte de tener habilidades en informatica")</f>
        <v>Se soldar, tocar instrumentos, experiencia en consejeria, se usar diversas herramientas aparte de tener habilidades en informatica</v>
      </c>
      <c r="X205" s="1" t="str">
        <f ca="1">IFERROR(__xludf.DUMMYFUNCTION("""COMPUTED_VALUE"""),"A. Soy un discipulador activo, B. Me gusta animar a las personas, F. Soy eficiente en el trabajo con herramientas, equipos y maquinarias, G. Soy más eficiente en el trabajo individual, H. Soy organizado (a), K. Soy creativo (a), L. Soy bueno (a) en canto "&amp;"o algún instrumento, M. Soy bueno (a) con los números, N. Suelo llevar el liderazgo en un grupo, O. Puedo enseñar con facilidad")</f>
        <v>A. Soy un discipulador activo, B. Me gusta animar a las personas, F. Soy eficiente en el trabajo con herramientas, equipos y maquinarias, G. Soy más eficiente en el trabajo individual, H. Soy organizado (a), K. Soy creativo (a), L. Soy bueno (a) en canto o algún instrumento, M. Soy bueno (a) con los números, N. Suelo llevar el liderazgo en un grupo, O. Puedo enseñar con facilidad</v>
      </c>
      <c r="Y205" s="1" t="str">
        <f ca="1">IFERROR(__xludf.DUMMYFUNCTION("""COMPUTED_VALUE"""),"Si, desde 2012")</f>
        <v>Si, desde 2012</v>
      </c>
      <c r="Z205" s="1"/>
    </row>
    <row r="206" spans="1:26" x14ac:dyDescent="0.35">
      <c r="A206" s="2">
        <f ca="1">IFERROR(__xludf.DUMMYFUNCTION("""COMPUTED_VALUE"""),45855.9997106481)</f>
        <v>45855.999710648102</v>
      </c>
      <c r="B206" s="1"/>
      <c r="C206" s="1" t="str">
        <f ca="1">IFERROR(__xludf.DUMMYFUNCTION("""COMPUTED_VALUE"""),"Andrew Angel, Solano Palé")</f>
        <v>Andrew Angel, Solano Palé</v>
      </c>
      <c r="D206" s="1">
        <f ca="1">IFERROR(__xludf.DUMMYFUNCTION("""COMPUTED_VALUE"""),18)</f>
        <v>18</v>
      </c>
      <c r="E206" s="1" t="str">
        <f ca="1">IFERROR(__xludf.DUMMYFUNCTION("""COMPUTED_VALUE"""),"Hombre")</f>
        <v>Hombre</v>
      </c>
      <c r="F206" s="1" t="str">
        <f ca="1">IFERROR(__xludf.DUMMYFUNCTION("""COMPUTED_VALUE"""),"Mexico City, Mexico")</f>
        <v>Mexico City, Mexico</v>
      </c>
      <c r="G206" s="1" t="str">
        <f ca="1">IFERROR(__xludf.DUMMYFUNCTION("""COMPUTED_VALUE"""),"epicoficial33@gmail.com")</f>
        <v>epicoficial33@gmail.com</v>
      </c>
      <c r="H206" s="1">
        <f ca="1">IFERROR(__xludf.DUMMYFUNCTION("""COMPUTED_VALUE"""),525648224695)</f>
        <v>525648224695</v>
      </c>
      <c r="I206" s="1" t="str">
        <f ca="1">IFERROR(__xludf.DUMMYFUNCTION("""COMPUTED_VALUE"""),"Semana de niños y niñas (21-25) Julio, Jóvenes de 13 – 17 años / SEM1/ (28 Julio a 02 de agosto)")</f>
        <v>Semana de niños y niñas (21-25) Julio, Jóvenes de 13 – 17 años / SEM1/ (28 Julio a 02 de agosto)</v>
      </c>
      <c r="J206" s="1" t="str">
        <f ca="1">IFERROR(__xludf.DUMMYFUNCTION("""COMPUTED_VALUE"""),"la charla con mi padre")</f>
        <v>la charla con mi padre</v>
      </c>
      <c r="K206" s="1" t="str">
        <f ca="1">IFERROR(__xludf.DUMMYFUNCTION("""COMPUTED_VALUE"""),"iglesia cristiana bautista de san juan ixtayopan")</f>
        <v>iglesia cristiana bautista de san juan ixtayopan</v>
      </c>
      <c r="L206" s="1" t="str">
        <f ca="1">IFERROR(__xludf.DUMMYFUNCTION("""COMPUTED_VALUE"""),"Pedro")</f>
        <v>Pedro</v>
      </c>
      <c r="M206" s="1">
        <f ca="1">IFERROR(__xludf.DUMMYFUNCTION("""COMPUTED_VALUE"""),525573311405)</f>
        <v>525573311405</v>
      </c>
      <c r="N206" s="1" t="str">
        <f ca="1">IFERROR(__xludf.DUMMYFUNCTION("""COMPUTED_VALUE"""),"pedroclasic@gmail.com")</f>
        <v>pedroclasic@gmail.com</v>
      </c>
      <c r="O206" s="1" t="str">
        <f ca="1">IFERROR(__xludf.DUMMYFUNCTION("""COMPUTED_VALUE"""),"ayudante")</f>
        <v>ayudante</v>
      </c>
      <c r="P206" s="1" t="str">
        <f ca="1">IFERROR(__xludf.DUMMYFUNCTION("""COMPUTED_VALUE"""),"mi testimonio fue que me reencontré con un amigo mío el cual me enseño de la palabra de dios ya que estaba metido en malos pasos y empecé a creer en nuestro señor y salvador que es dios")</f>
        <v>mi testimonio fue que me reencontré con un amigo mío el cual me enseño de la palabra de dios ya que estaba metido en malos pasos y empecé a creer en nuestro señor y salvador que es dios</v>
      </c>
      <c r="Q206" s="1" t="str">
        <f ca="1">IFERROR(__xludf.DUMMYFUNCTION("""COMPUTED_VALUE"""),"Para apoyar en los diferentes capos para que pv reciba mas invitados")</f>
        <v>Para apoyar en los diferentes capos para que pv reciba mas invitados</v>
      </c>
      <c r="R206" s="1" t="str">
        <f ca="1">IFERROR(__xludf.DUMMYFUNCTION("""COMPUTED_VALUE"""),"No")</f>
        <v>No</v>
      </c>
      <c r="S206" s="1"/>
      <c r="T206" s="1" t="str">
        <f ca="1">IFERROR(__xludf.DUMMYFUNCTION("""COMPUTED_VALUE"""),"Si")</f>
        <v>Si</v>
      </c>
      <c r="U206" s="1" t="str">
        <f ca="1">IFERROR(__xludf.DUMMYFUNCTION("""COMPUTED_VALUE"""),"Corneta")</f>
        <v>Corneta</v>
      </c>
      <c r="V206" s="1" t="str">
        <f ca="1">IFERROR(__xludf.DUMMYFUNCTION("""COMPUTED_VALUE"""),"Diseño grafico")</f>
        <v>Diseño grafico</v>
      </c>
      <c r="W206" s="1" t="str">
        <f ca="1">IFERROR(__xludf.DUMMYFUNCTION("""COMPUTED_VALUE"""),"Soy un diseñador grafico con el 70% de experiencia en ese campo")</f>
        <v>Soy un diseñador grafico con el 70% de experiencia en ese campo</v>
      </c>
      <c r="X206" s="1" t="str">
        <f ca="1">IFERROR(__xludf.DUMMYFUNCTION("""COMPUTED_VALUE"""),"B. Me gusta animar a las personas, K. Soy creativo (a), O. Puedo enseñar con facilidad")</f>
        <v>B. Me gusta animar a las personas, K. Soy creativo (a), O. Puedo enseñar con facilidad</v>
      </c>
      <c r="Y206" s="1" t="str">
        <f ca="1">IFERROR(__xludf.DUMMYFUNCTION("""COMPUTED_VALUE"""),"el año pasado 2024")</f>
        <v>el año pasado 2024</v>
      </c>
      <c r="Z206" s="1"/>
    </row>
    <row r="207" spans="1:26" x14ac:dyDescent="0.35">
      <c r="A207" s="2">
        <f ca="1">IFERROR(__xludf.DUMMYFUNCTION("""COMPUTED_VALUE"""),45856.596412037)</f>
        <v>45856.596412036997</v>
      </c>
      <c r="B207" s="1"/>
      <c r="C207" s="1" t="str">
        <f ca="1">IFERROR(__xludf.DUMMYFUNCTION("""COMPUTED_VALUE"""),"Zahid Jabneel, Mendez Collado")</f>
        <v>Zahid Jabneel, Mendez Collado</v>
      </c>
      <c r="D207" s="1">
        <f ca="1">IFERROR(__xludf.DUMMYFUNCTION("""COMPUTED_VALUE"""),19)</f>
        <v>19</v>
      </c>
      <c r="E207" s="1" t="str">
        <f ca="1">IFERROR(__xludf.DUMMYFUNCTION("""COMPUTED_VALUE"""),"Hombre")</f>
        <v>Hombre</v>
      </c>
      <c r="F207" s="1" t="str">
        <f ca="1">IFERROR(__xludf.DUMMYFUNCTION("""COMPUTED_VALUE"""),"Veracruz, Mexico")</f>
        <v>Veracruz, Mexico</v>
      </c>
      <c r="G207" s="1" t="str">
        <f ca="1">IFERROR(__xludf.DUMMYFUNCTION("""COMPUTED_VALUE"""),"zajmendez7@gmail.com")</f>
        <v>zajmendez7@gmail.com</v>
      </c>
      <c r="H207" s="1">
        <f ca="1">IFERROR(__xludf.DUMMYFUNCTION("""COMPUTED_VALUE"""),522721230275)</f>
        <v>522721230275</v>
      </c>
      <c r="I207" s="1" t="str">
        <f ca="1">IFERROR(__xludf.DUMMYFUNCTION("""COMPUTED_VALUE"""),"Semana de niños y niñas (21-25) Julio, Jóvenes de 13 – 17 años / SEM1/ (28 Julio a 02 de agosto)")</f>
        <v>Semana de niños y niñas (21-25) Julio, Jóvenes de 13 – 17 años / SEM1/ (28 Julio a 02 de agosto)</v>
      </c>
      <c r="J207" s="1" t="str">
        <f ca="1">IFERROR(__xludf.DUMMYFUNCTION("""COMPUTED_VALUE"""),"La Buena Parte")</f>
        <v>La Buena Parte</v>
      </c>
      <c r="K207" s="1" t="str">
        <f ca="1">IFERROR(__xludf.DUMMYFUNCTION("""COMPUTED_VALUE"""),"El Sembrador")</f>
        <v>El Sembrador</v>
      </c>
      <c r="L207" s="1" t="str">
        <f ca="1">IFERROR(__xludf.DUMMYFUNCTION("""COMPUTED_VALUE"""),"Alejandro Garcia Pereza")</f>
        <v>Alejandro Garcia Pereza</v>
      </c>
      <c r="M207" s="1">
        <f ca="1">IFERROR(__xludf.DUMMYFUNCTION("""COMPUTED_VALUE"""),522721390989)</f>
        <v>522721390989</v>
      </c>
      <c r="N207" s="1" t="str">
        <f ca="1">IFERROR(__xludf.DUMMYFUNCTION("""COMPUTED_VALUE"""),"pinwuinol@gmail.com")</f>
        <v>pinwuinol@gmail.com</v>
      </c>
      <c r="O207" s="1" t="str">
        <f ca="1">IFERROR(__xludf.DUMMYFUNCTION("""COMPUTED_VALUE"""),"Maestro Escuelita Biblica")</f>
        <v>Maestro Escuelita Biblica</v>
      </c>
      <c r="P207" s="1" t="str">
        <f ca="1">IFERROR(__xludf.DUMMYFUNCTION("""COMPUTED_VALUE"""),"Mis papás desde pequeño mi unducieron en el camino del Señor, y conforme he crecido he aprendido mas de Dios de tal forma que lo que hago para Dios y lo que creo para mi ya no es una simple religion, sino un estilo de vida porque en varias ocasiones he vi"&amp;"sto y sentido la mano de Dios obrando en mi vida")</f>
        <v>Mis papás desde pequeño mi unducieron en el camino del Señor, y conforme he crecido he aprendido mas de Dios de tal forma que lo que hago para Dios y lo que creo para mi ya no es una simple religion, sino un estilo de vida porque en varias ocasiones he visto y sentido la mano de Dios obrando en mi vida</v>
      </c>
      <c r="Q207" s="1" t="str">
        <f ca="1">IFERROR(__xludf.DUMMYFUNCTION("""COMPUTED_VALUE"""),"Desde hace 2 años habia querido venir al campamento, pero por varias circunstancias no habia podido, me contaron de servir como campero y quize venir a servir, pero me dijeron que  no podia si no habia sido campero, gracias a Dios ya fui campero y me perm"&amp;"ite el venir a servirle")</f>
        <v>Desde hace 2 años habia querido venir al campamento, pero por varias circunstancias no habia podido, me contaron de servir como campero y quize venir a servir, pero me dijeron que  no podia si no habia sido campero, gracias a Dios ya fui campero y me permite el venir a servirle</v>
      </c>
      <c r="R207" s="1" t="str">
        <f ca="1">IFERROR(__xludf.DUMMYFUNCTION("""COMPUTED_VALUE"""),"Si")</f>
        <v>Si</v>
      </c>
      <c r="S207" s="1" t="str">
        <f ca="1">IFERROR(__xludf.DUMMYFUNCTION("""COMPUTED_VALUE"""),"Senderismo")</f>
        <v>Senderismo</v>
      </c>
      <c r="T207" s="1" t="str">
        <f ca="1">IFERROR(__xludf.DUMMYFUNCTION("""COMPUTED_VALUE"""),"No")</f>
        <v>No</v>
      </c>
      <c r="U207" s="1"/>
      <c r="V207" s="1" t="str">
        <f ca="1">IFERROR(__xludf.DUMMYFUNCTION("""COMPUTED_VALUE"""),"Ingenieria Quimica")</f>
        <v>Ingenieria Quimica</v>
      </c>
      <c r="W207" s="1" t="str">
        <f ca="1">IFERROR(__xludf.DUMMYFUNCTION("""COMPUTED_VALUE"""),"Se me da mucho la creatividad, el relatar una historia o explicar algo igual, se me da muy bien las manualidades, soy atento y se dibujar")</f>
        <v>Se me da mucho la creatividad, el relatar una historia o explicar algo igual, se me da muy bien las manualidades, soy atento y se dibujar</v>
      </c>
      <c r="X207" s="1" t="str">
        <f ca="1">IFERROR(__xludf.DUMMYFUNCTION("""COMPUTED_VALUE"""),"B. Me gusta animar a las personas, C. Suelo buscar que el trabajo se realice en equipo, E. Me gusta el trabajo con niños, J. Me gusta la atención a las personas, K. Soy creativo (a), L. Soy bueno (a) en canto o algún instrumento, M. Soy bueno (a) con los "&amp;"números, N. Suelo llevar el liderazgo en un grupo, O. Puedo enseñar con facilidad")</f>
        <v>B. Me gusta animar a las personas, C. Suelo buscar que el trabajo se realice en equipo, E. Me gusta el trabajo con niños, J. Me gusta la atención a las personas, K. Soy creativo (a), L. Soy bueno (a) en canto o algún instrumento, M. Soy bueno (a) con los números, N. Suelo llevar el liderazgo en un grupo, O. Puedo enseñar con facilidad</v>
      </c>
      <c r="Y207" s="1" t="str">
        <f ca="1">IFERROR(__xludf.DUMMYFUNCTION("""COMPUTED_VALUE"""),"Sip, en 2025")</f>
        <v>Sip, en 2025</v>
      </c>
      <c r="Z207" s="1"/>
    </row>
    <row r="208" spans="1:26" x14ac:dyDescent="0.35">
      <c r="A208" s="2">
        <f ca="1">IFERROR(__xludf.DUMMYFUNCTION("""COMPUTED_VALUE"""),45856.733761574)</f>
        <v>45856.733761574003</v>
      </c>
      <c r="B208" s="1"/>
      <c r="C208" s="1" t="str">
        <f ca="1">IFERROR(__xludf.DUMMYFUNCTION("""COMPUTED_VALUE"""),"Mia, Mendoza Trujillo")</f>
        <v>Mia, Mendoza Trujillo</v>
      </c>
      <c r="D208" s="1">
        <f ca="1">IFERROR(__xludf.DUMMYFUNCTION("""COMPUTED_VALUE"""),19)</f>
        <v>19</v>
      </c>
      <c r="E208" s="1" t="str">
        <f ca="1">IFERROR(__xludf.DUMMYFUNCTION("""COMPUTED_VALUE"""),"Mujer")</f>
        <v>Mujer</v>
      </c>
      <c r="F208" s="1" t="str">
        <f ca="1">IFERROR(__xludf.DUMMYFUNCTION("""COMPUTED_VALUE"""),"Veracruz, Mexico")</f>
        <v>Veracruz, Mexico</v>
      </c>
      <c r="G208" s="1" t="str">
        <f ca="1">IFERROR(__xludf.DUMMYFUNCTION("""COMPUTED_VALUE"""),"trujilomia@gmail.com")</f>
        <v>trujilomia@gmail.com</v>
      </c>
      <c r="H208" s="1">
        <f ca="1">IFERROR(__xludf.DUMMYFUNCTION("""COMPUTED_VALUE"""),522721539731)</f>
        <v>522721539731</v>
      </c>
      <c r="I208" s="1" t="str">
        <f ca="1">IFERROR(__xludf.DUMMYFUNCTION("""COMPUTED_VALUE"""),"Semana de niños y niñas (21-25) Julio, Jóvenes de 13 – 17 años / SEM1/ (28 Julio a 02 de agosto)")</f>
        <v>Semana de niños y niñas (21-25) Julio, Jóvenes de 13 – 17 años / SEM1/ (28 Julio a 02 de agosto)</v>
      </c>
      <c r="J208" s="1" t="str">
        <f ca="1">IFERROR(__xludf.DUMMYFUNCTION("""COMPUTED_VALUE"""),"Glorify")</f>
        <v>Glorify</v>
      </c>
      <c r="K208" s="1" t="str">
        <f ca="1">IFERROR(__xludf.DUMMYFUNCTION("""COMPUTED_VALUE"""),"Casa del Rey")</f>
        <v>Casa del Rey</v>
      </c>
      <c r="L208" s="1" t="str">
        <f ca="1">IFERROR(__xludf.DUMMYFUNCTION("""COMPUTED_VALUE"""),"Martha Luquez")</f>
        <v>Martha Luquez</v>
      </c>
      <c r="M208" s="1">
        <f ca="1">IFERROR(__xludf.DUMMYFUNCTION("""COMPUTED_VALUE"""),522721008946)</f>
        <v>522721008946</v>
      </c>
      <c r="N208" s="1" t="str">
        <f ca="1">IFERROR(__xludf.DUMMYFUNCTION("""COMPUTED_VALUE"""),"Marthaluques21@me.com")</f>
        <v>Marthaluques21@me.com</v>
      </c>
      <c r="O208" s="1" t="str">
        <f ca="1">IFERROR(__xludf.DUMMYFUNCTION("""COMPUTED_VALUE"""),"Servir en área juvenil")</f>
        <v>Servir en área juvenil</v>
      </c>
      <c r="P208" s="1" t="str">
        <f ca="1">IFERROR(__xludf.DUMMYFUNCTION("""COMPUTED_VALUE"""),"Cuando era pequeña iba a la iglesia con mis abuelitos, conforme fui creciendo yo comencé a ir porque quería conocer a Dios, iba yo sola ya q mi mamá no quería ir, después de tiempo mi tío siempre me llevaba a todos los eventos de la iglesia. Acepté a Cris"&amp;"to a la edad de 13 años, quiero seguir conociendo a Cristo, sin duda me ha mostrado muchas cosas")</f>
        <v>Cuando era pequeña iba a la iglesia con mis abuelitos, conforme fui creciendo yo comencé a ir porque quería conocer a Dios, iba yo sola ya q mi mamá no quería ir, después de tiempo mi tío siempre me llevaba a todos los eventos de la iglesia. Acepté a Cristo a la edad de 13 años, quiero seguir conociendo a Cristo, sin duda me ha mostrado muchas cosas</v>
      </c>
      <c r="Q208" s="1" t="str">
        <f ca="1">IFERROR(__xludf.DUMMYFUNCTION("""COMPUTED_VALUE"""),"Se que ahora soy parte del reino, tengo q servir a Dios y me gustaría aprovechar esta oportunidad porque sé q todo es de corazón y para el creador")</f>
        <v>Se que ahora soy parte del reino, tengo q servir a Dios y me gustaría aprovechar esta oportunidad porque sé q todo es de corazón y para el creador</v>
      </c>
      <c r="R208" s="1" t="str">
        <f ca="1">IFERROR(__xludf.DUMMYFUNCTION("""COMPUTED_VALUE"""),"Si")</f>
        <v>Si</v>
      </c>
      <c r="S208" s="1" t="str">
        <f ca="1">IFERROR(__xludf.DUMMYFUNCTION("""COMPUTED_VALUE"""),"Crossfit y gym")</f>
        <v>Crossfit y gym</v>
      </c>
      <c r="T208" s="1" t="str">
        <f ca="1">IFERROR(__xludf.DUMMYFUNCTION("""COMPUTED_VALUE"""),"No")</f>
        <v>No</v>
      </c>
      <c r="U208" s="1"/>
      <c r="V208" s="1" t="str">
        <f ca="1">IFERROR(__xludf.DUMMYFUNCTION("""COMPUTED_VALUE"""),"Este año entro a ingeniería química en UV")</f>
        <v>Este año entro a ingeniería química en UV</v>
      </c>
      <c r="W208" s="1" t="str">
        <f ca="1">IFERROR(__xludf.DUMMYFUNCTION("""COMPUTED_VALUE"""),"Cocinar, ayudar a niños, manualidades, bailar")</f>
        <v>Cocinar, ayudar a niños, manualidades, bailar</v>
      </c>
      <c r="X208" s="1" t="str">
        <f ca="1">IFERROR(__xludf.DUMMYFUNCTION("""COMPUTED_VALUE"""),"A. Soy un discipulador activo, B. Me gusta animar a las personas, E. Me gusta el trabajo con niños, H. Soy organizado (a), J. Me gusta la atención a las personas, K. Soy creativo (a)")</f>
        <v>A. Soy un discipulador activo, B. Me gusta animar a las personas, E. Me gusta el trabajo con niños, H. Soy organizado (a), J. Me gusta la atención a las personas, K. Soy creativo (a)</v>
      </c>
      <c r="Y208" s="1" t="str">
        <f ca="1">IFERROR(__xludf.DUMMYFUNCTION("""COMPUTED_VALUE"""),"Si, 2016, 2017,2020,2025")</f>
        <v>Si, 2016, 2017,2020,2025</v>
      </c>
      <c r="Z208" s="1"/>
    </row>
    <row r="209" spans="1:26" x14ac:dyDescent="0.35">
      <c r="A209" s="2">
        <f ca="1">IFERROR(__xludf.DUMMYFUNCTION("""COMPUTED_VALUE"""),45856.9656018518)</f>
        <v>45856.9656018518</v>
      </c>
      <c r="B209" s="1"/>
      <c r="C209" s="1" t="str">
        <f ca="1">IFERROR(__xludf.DUMMYFUNCTION("""COMPUTED_VALUE"""),"Nelly, González Ramos")</f>
        <v>Nelly, González Ramos</v>
      </c>
      <c r="D209" s="1">
        <f ca="1">IFERROR(__xludf.DUMMYFUNCTION("""COMPUTED_VALUE"""),26)</f>
        <v>26</v>
      </c>
      <c r="E209" s="1" t="str">
        <f ca="1">IFERROR(__xludf.DUMMYFUNCTION("""COMPUTED_VALUE"""),"Mujer")</f>
        <v>Mujer</v>
      </c>
      <c r="F209" s="1" t="str">
        <f ca="1">IFERROR(__xludf.DUMMYFUNCTION("""COMPUTED_VALUE"""),"Puebla, Mexico")</f>
        <v>Puebla, Mexico</v>
      </c>
      <c r="G209" s="1" t="str">
        <f ca="1">IFERROR(__xludf.DUMMYFUNCTION("""COMPUTED_VALUE"""),"nelglez07@gmail.com")</f>
        <v>nelglez07@gmail.com</v>
      </c>
      <c r="H209" s="1">
        <f ca="1">IFERROR(__xludf.DUMMYFUNCTION("""COMPUTED_VALUE"""),522711049617)</f>
        <v>522711049617</v>
      </c>
      <c r="I209" s="1" t="str">
        <f ca="1">IFERROR(__xludf.DUMMYFUNCTION("""COMPUTED_VALUE"""),"Jóvenes de 13 – 17 años / SEM2/ (4 - 09 agosto)")</f>
        <v>Jóvenes de 13 – 17 años / SEM2/ (4 - 09 agosto)</v>
      </c>
      <c r="J209" s="1" t="str">
        <f ca="1">IFERROR(__xludf.DUMMYFUNCTION("""COMPUTED_VALUE"""),"Enseñarás el buen camino-El Sembrador")</f>
        <v>Enseñarás el buen camino-El Sembrador</v>
      </c>
      <c r="K209" s="1" t="str">
        <f ca="1">IFERROR(__xludf.DUMMYFUNCTION("""COMPUTED_VALUE"""),"Iglesia Zozutla Poniente")</f>
        <v>Iglesia Zozutla Poniente</v>
      </c>
      <c r="L209" s="1" t="str">
        <f ca="1">IFERROR(__xludf.DUMMYFUNCTION("""COMPUTED_VALUE"""),"Gamaliel González González")</f>
        <v>Gamaliel González González</v>
      </c>
      <c r="M209" s="1">
        <f ca="1">IFERROR(__xludf.DUMMYFUNCTION("""COMPUTED_VALUE"""),522371082113)</f>
        <v>522371082113</v>
      </c>
      <c r="N209" s="1" t="str">
        <f ca="1">IFERROR(__xludf.DUMMYFUNCTION("""COMPUTED_VALUE"""),"gamitaglez@gmail.com")</f>
        <v>gamitaglez@gmail.com</v>
      </c>
      <c r="O209" s="1" t="str">
        <f ca="1">IFERROR(__xludf.DUMMYFUNCTION("""COMPUTED_VALUE"""),"Alabanza, enseñanza a párvulos")</f>
        <v>Alabanza, enseñanza a párvulos</v>
      </c>
      <c r="P209" s="1" t="str">
        <f ca="1">IFERROR(__xludf.DUMMYFUNCTION("""COMPUTED_VALUE"""),"Nací en cuna cristiana, toda mi vida he asistido a la iglesia, nunca me obligaron a ir pero realmente asistía por costumbre, nunca fui intencional. 
Cuando tenía 15 años a mi papá le detectaron cancer en el esófago en segunda etapa, no le daban esperanzas"&amp;" de vida, en ese momento afirmé mi fe por la necesidad que tenía, mi único consuelo y refugio fue nuestro Señor y hoy puedo decir con toda confianza que uno de sus grandes propósitos fue atraerme hacia Él.")</f>
        <v>Nací en cuna cristiana, toda mi vida he asistido a la iglesia, nunca me obligaron a ir pero realmente asistía por costumbre, nunca fui intencional. 
Cuando tenía 15 años a mi papá le detectaron cancer en el esófago en segunda etapa, no le daban esperanzas de vida, en ese momento afirmé mi fe por la necesidad que tenía, mi único consuelo y refugio fue nuestro Señor y hoy puedo decir con toda confianza que uno de sus grandes propósitos fue atraerme hacia Él.</v>
      </c>
      <c r="Q209" s="1" t="str">
        <f ca="1">IFERROR(__xludf.DUMMYFUNCTION("""COMPUTED_VALUE"""),"He asistido anteriormente como campera pero también me gusta servir y siempre he tenido el deseo de desarrollar un servicio allá")</f>
        <v>He asistido anteriormente como campera pero también me gusta servir y siempre he tenido el deseo de desarrollar un servicio allá</v>
      </c>
      <c r="R209" s="1" t="str">
        <f ca="1">IFERROR(__xludf.DUMMYFUNCTION("""COMPUTED_VALUE"""),"No")</f>
        <v>No</v>
      </c>
      <c r="S209" s="1"/>
      <c r="T209" s="1" t="str">
        <f ca="1">IFERROR(__xludf.DUMMYFUNCTION("""COMPUTED_VALUE"""),"Si")</f>
        <v>Si</v>
      </c>
      <c r="U209" s="1" t="str">
        <f ca="1">IFERROR(__xludf.DUMMYFUNCTION("""COMPUTED_VALUE"""),"Ukulele")</f>
        <v>Ukulele</v>
      </c>
      <c r="V209" s="1" t="str">
        <f ca="1">IFERROR(__xludf.DUMMYFUNCTION("""COMPUTED_VALUE"""),"Ya terminé mis estudios de licenciatura")</f>
        <v>Ya terminé mis estudios de licenciatura</v>
      </c>
      <c r="W209" s="1" t="str">
        <f ca="1">IFERROR(__xludf.DUMMYFUNCTION("""COMPUTED_VALUE"""),"Licenciatura en educación primaria")</f>
        <v>Licenciatura en educación primaria</v>
      </c>
      <c r="X209" s="1" t="str">
        <f ca="1">IFERROR(__xludf.DUMMYFUNCTION("""COMPUTED_VALUE"""),"E. Me gusta el trabajo con niños, H. Soy organizado (a), I. Se me facilita el trabajo físico, J. Me gusta la atención a las personas, K. Soy creativo (a), L. Soy bueno (a) en canto o algún instrumento, N. Suelo llevar el liderazgo en un grupo, O. Puedo en"&amp;"señar con facilidad")</f>
        <v>E. Me gusta el trabajo con niños, H. Soy organizado (a), I. Se me facilita el trabajo físico, J. Me gusta la atención a las personas, K. Soy creativo (a), L. Soy bueno (a) en canto o algún instrumento, N. Suelo llevar el liderazgo en un grupo, O. Puedo enseñar con facilidad</v>
      </c>
      <c r="Y209" s="1" t="str">
        <f ca="1">IFERROR(__xludf.DUMMYFUNCTION("""COMPUTED_VALUE"""),"2021, 2022")</f>
        <v>2021, 2022</v>
      </c>
      <c r="Z209" s="1"/>
    </row>
    <row r="210" spans="1:26" x14ac:dyDescent="0.35">
      <c r="A210" s="2">
        <f ca="1">IFERROR(__xludf.DUMMYFUNCTION("""COMPUTED_VALUE"""),45857.0311921296)</f>
        <v>45857.031192129602</v>
      </c>
      <c r="B210" s="1"/>
      <c r="C210" s="1" t="str">
        <f ca="1">IFERROR(__xludf.DUMMYFUNCTION("""COMPUTED_VALUE"""),"Senastian, Mora Mendoza")</f>
        <v>Senastian, Mora Mendoza</v>
      </c>
      <c r="D210" s="1">
        <f ca="1">IFERROR(__xludf.DUMMYFUNCTION("""COMPUTED_VALUE"""),17)</f>
        <v>17</v>
      </c>
      <c r="E210" s="1" t="str">
        <f ca="1">IFERROR(__xludf.DUMMYFUNCTION("""COMPUTED_VALUE"""),"Hombre")</f>
        <v>Hombre</v>
      </c>
      <c r="F210" s="1" t="str">
        <f ca="1">IFERROR(__xludf.DUMMYFUNCTION("""COMPUTED_VALUE"""),"Queretaro, Mexico")</f>
        <v>Queretaro, Mexico</v>
      </c>
      <c r="G210" s="1" t="str">
        <f ca="1">IFERROR(__xludf.DUMMYFUNCTION("""COMPUTED_VALUE"""),"basticmora@gmail.com")</f>
        <v>basticmora@gmail.com</v>
      </c>
      <c r="H210" s="1">
        <f ca="1">IFERROR(__xludf.DUMMYFUNCTION("""COMPUTED_VALUE"""),524461695000)</f>
        <v>524461695000</v>
      </c>
      <c r="I210" s="1" t="str">
        <f ca="1">IFERROR(__xludf.DUMMYFUNCTION("""COMPUTED_VALUE"""),"Jóvenes de 13 – 17 años / SEM1/ (28 Julio a 02 de agosto)")</f>
        <v>Jóvenes de 13 – 17 años / SEM1/ (28 Julio a 02 de agosto)</v>
      </c>
      <c r="J210" s="1" t="str">
        <f ca="1">IFERROR(__xludf.DUMMYFUNCTION("""COMPUTED_VALUE"""),"Biblia")</f>
        <v>Biblia</v>
      </c>
      <c r="K210" s="1" t="str">
        <f ca="1">IFERROR(__xludf.DUMMYFUNCTION("""COMPUTED_VALUE"""),"MVI")</f>
        <v>MVI</v>
      </c>
      <c r="L210" s="1" t="str">
        <f ca="1">IFERROR(__xludf.DUMMYFUNCTION("""COMPUTED_VALUE"""),"Ninguno")</f>
        <v>Ninguno</v>
      </c>
      <c r="M210" s="1">
        <f ca="1">IFERROR(__xludf.DUMMYFUNCTION("""COMPUTED_VALUE"""),527777777777)</f>
        <v>527777777777</v>
      </c>
      <c r="N210" s="1" t="str">
        <f ca="1">IFERROR(__xludf.DUMMYFUNCTION("""COMPUTED_VALUE"""),"pastor@gmail.com")</f>
        <v>pastor@gmail.com</v>
      </c>
      <c r="O210" s="1" t="str">
        <f ca="1">IFERROR(__xludf.DUMMYFUNCTION("""COMPUTED_VALUE"""),"Oyente")</f>
        <v>Oyente</v>
      </c>
      <c r="P210" s="1" t="str">
        <f ca="1">IFERROR(__xludf.DUMMYFUNCTION("""COMPUTED_VALUE"""),"En la fogata, Dios tocó mi corazón en mi primera vez en el campamento")</f>
        <v>En la fogata, Dios tocó mi corazón en mi primera vez en el campamento</v>
      </c>
      <c r="Q210" s="1" t="str">
        <f ca="1">IFERROR(__xludf.DUMMYFUNCTION("""COMPUTED_VALUE"""),"Me encanta el campamento, y me encantaría ser parte de él, y por recomendación de amigos")</f>
        <v>Me encanta el campamento, y me encantaría ser parte de él, y por recomendación de amigos</v>
      </c>
      <c r="R210" s="1" t="str">
        <f ca="1">IFERROR(__xludf.DUMMYFUNCTION("""COMPUTED_VALUE"""),"No")</f>
        <v>No</v>
      </c>
      <c r="S210" s="1"/>
      <c r="T210" s="1" t="str">
        <f ca="1">IFERROR(__xludf.DUMMYFUNCTION("""COMPUTED_VALUE"""),"No")</f>
        <v>No</v>
      </c>
      <c r="U210" s="1"/>
      <c r="V210" s="1" t="str">
        <f ca="1">IFERROR(__xludf.DUMMYFUNCTION("""COMPUTED_VALUE"""),"Preparatoria")</f>
        <v>Preparatoria</v>
      </c>
      <c r="W210" s="1" t="str">
        <f ca="1">IFERROR(__xludf.DUMMYFUNCTION("""COMPUTED_VALUE"""),"Adaptabilidad")</f>
        <v>Adaptabilidad</v>
      </c>
      <c r="X210" s="1" t="str">
        <f ca="1">IFERROR(__xludf.DUMMYFUNCTION("""COMPUTED_VALUE"""),"F. Soy eficiente en el trabajo con herramientas, equipos y maquinarias, G. Soy más eficiente en el trabajo individual, H. Soy organizado (a), I. Se me facilita el trabajo físico, J. Me gusta la atención a las personas")</f>
        <v>F. Soy eficiente en el trabajo con herramientas, equipos y maquinarias, G. Soy más eficiente en el trabajo individual, H. Soy organizado (a), I. Se me facilita el trabajo físico, J. Me gusta la atención a las personas</v>
      </c>
      <c r="Y210" s="1" t="str">
        <f ca="1">IFERROR(__xludf.DUMMYFUNCTION("""COMPUTED_VALUE"""),"Desde 2019")</f>
        <v>Desde 2019</v>
      </c>
      <c r="Z210" s="1"/>
    </row>
    <row r="211" spans="1:26" x14ac:dyDescent="0.35">
      <c r="A211" s="2">
        <f ca="1">IFERROR(__xludf.DUMMYFUNCTION("""COMPUTED_VALUE"""),45857.3577430555)</f>
        <v>45857.357743055501</v>
      </c>
      <c r="B211" s="1"/>
      <c r="C211" s="1" t="str">
        <f ca="1">IFERROR(__xludf.DUMMYFUNCTION("""COMPUTED_VALUE"""),"Fernando, Quiñones")</f>
        <v>Fernando, Quiñones</v>
      </c>
      <c r="D211" s="1">
        <f ca="1">IFERROR(__xludf.DUMMYFUNCTION("""COMPUTED_VALUE"""),31)</f>
        <v>31</v>
      </c>
      <c r="E211" s="1" t="str">
        <f ca="1">IFERROR(__xludf.DUMMYFUNCTION("""COMPUTED_VALUE"""),"Hombre")</f>
        <v>Hombre</v>
      </c>
      <c r="F211" s="1" t="str">
        <f ca="1">IFERROR(__xludf.DUMMYFUNCTION("""COMPUTED_VALUE"""),"Cuba, Cuba")</f>
        <v>Cuba, Cuba</v>
      </c>
      <c r="G211" s="1" t="str">
        <f ca="1">IFERROR(__xludf.DUMMYFUNCTION("""COMPUTED_VALUE"""),"bernaladventures@gmail.com")</f>
        <v>bernaladventures@gmail.com</v>
      </c>
      <c r="H211" s="1">
        <f ca="1">IFERROR(__xludf.DUMMYFUNCTION("""COMPUTED_VALUE"""),5354850715)</f>
        <v>5354850715</v>
      </c>
      <c r="I211" s="1" t="str">
        <f ca="1">IFERROR(__xludf.DUMMYFUNCTION("""COMPUTED_VALUE"""),"Semana de niños y niñas (21-25) Julio, Jóvenes de 13 – 17 años / SEM1/ (28 Julio a 02 de agosto)")</f>
        <v>Semana de niños y niñas (21-25) Julio, Jóvenes de 13 – 17 años / SEM1/ (28 Julio a 02 de agosto)</v>
      </c>
      <c r="J211" s="1" t="str">
        <f ca="1">IFERROR(__xludf.DUMMYFUNCTION("""COMPUTED_VALUE"""),"mmmm")</f>
        <v>mmmm</v>
      </c>
      <c r="K211" s="1" t="str">
        <f ca="1">IFERROR(__xludf.DUMMYFUNCTION("""COMPUTED_VALUE"""),"mmmm")</f>
        <v>mmmm</v>
      </c>
      <c r="L211" s="1" t="str">
        <f ca="1">IFERROR(__xludf.DUMMYFUNCTION("""COMPUTED_VALUE"""),"Maikel")</f>
        <v>Maikel</v>
      </c>
      <c r="M211" s="1">
        <f ca="1">IFERROR(__xludf.DUMMYFUNCTION("""COMPUTED_VALUE"""),525542142329)</f>
        <v>525542142329</v>
      </c>
      <c r="N211" s="1" t="str">
        <f ca="1">IFERROR(__xludf.DUMMYFUNCTION("""COMPUTED_VALUE"""),"maikelclimb@gmail.com")</f>
        <v>maikelclimb@gmail.com</v>
      </c>
      <c r="O211" s="1" t="str">
        <f ca="1">IFERROR(__xludf.DUMMYFUNCTION("""COMPUTED_VALUE"""),"mmm")</f>
        <v>mmm</v>
      </c>
      <c r="P211" s="1" t="str">
        <f ca="1">IFERROR(__xludf.DUMMYFUNCTION("""COMPUTED_VALUE"""),"mmmm")</f>
        <v>mmmm</v>
      </c>
      <c r="Q211" s="1" t="str">
        <f ca="1">IFERROR(__xludf.DUMMYFUNCTION("""COMPUTED_VALUE"""),"mmm")</f>
        <v>mmm</v>
      </c>
      <c r="R211" s="1" t="str">
        <f ca="1">IFERROR(__xludf.DUMMYFUNCTION("""COMPUTED_VALUE"""),"Si")</f>
        <v>Si</v>
      </c>
      <c r="S211" s="1" t="str">
        <f ca="1">IFERROR(__xludf.DUMMYFUNCTION("""COMPUTED_VALUE"""),"escalada")</f>
        <v>escalada</v>
      </c>
      <c r="T211" s="1" t="str">
        <f ca="1">IFERROR(__xludf.DUMMYFUNCTION("""COMPUTED_VALUE"""),"No")</f>
        <v>No</v>
      </c>
      <c r="U211" s="1"/>
      <c r="V211" s="1" t="str">
        <f ca="1">IFERROR(__xludf.DUMMYFUNCTION("""COMPUTED_VALUE"""),"escalada")</f>
        <v>escalada</v>
      </c>
      <c r="W211" s="1" t="str">
        <f ca="1">IFERROR(__xludf.DUMMYFUNCTION("""COMPUTED_VALUE"""),"escalada")</f>
        <v>escalada</v>
      </c>
      <c r="X211" s="1" t="str">
        <f ca="1">IFERROR(__xludf.DUMMYFUNCTION("""COMPUTED_VALUE"""),"D. Me gustan los deportes")</f>
        <v>D. Me gustan los deportes</v>
      </c>
      <c r="Y211" s="1" t="str">
        <f ca="1">IFERROR(__xludf.DUMMYFUNCTION("""COMPUTED_VALUE"""),"no")</f>
        <v>no</v>
      </c>
      <c r="Z211" s="1"/>
    </row>
    <row r="212" spans="1:26" x14ac:dyDescent="0.35">
      <c r="A212" s="2">
        <f ca="1">IFERROR(__xludf.DUMMYFUNCTION("""COMPUTED_VALUE"""),45857.4826736111)</f>
        <v>45857.482673611099</v>
      </c>
      <c r="B212" s="1"/>
      <c r="C212" s="1" t="str">
        <f ca="1">IFERROR(__xludf.DUMMYFUNCTION("""COMPUTED_VALUE"""),"Jessica Estela, Macías Monroy")</f>
        <v>Jessica Estela, Macías Monroy</v>
      </c>
      <c r="D212" s="1">
        <f ca="1">IFERROR(__xludf.DUMMYFUNCTION("""COMPUTED_VALUE"""),18)</f>
        <v>18</v>
      </c>
      <c r="E212" s="1" t="str">
        <f ca="1">IFERROR(__xludf.DUMMYFUNCTION("""COMPUTED_VALUE"""),"Mujer")</f>
        <v>Mujer</v>
      </c>
      <c r="F212" s="1" t="str">
        <f ca="1">IFERROR(__xludf.DUMMYFUNCTION("""COMPUTED_VALUE"""),"Mexico City, Mexico")</f>
        <v>Mexico City, Mexico</v>
      </c>
      <c r="G212" s="1" t="str">
        <f ca="1">IFERROR(__xludf.DUMMYFUNCTION("""COMPUTED_VALUE"""),"jessiejemm@icloud.com")</f>
        <v>jessiejemm@icloud.com</v>
      </c>
      <c r="H212" s="1">
        <f ca="1">IFERROR(__xludf.DUMMYFUNCTION("""COMPUTED_VALUE"""),525567459416)</f>
        <v>525567459416</v>
      </c>
      <c r="I212" s="1" t="str">
        <f ca="1">IFERROR(__xludf.DUMMYFUNCTION("""COMPUTED_VALUE"""),"Semana de niños y niñas (21-25) Julio")</f>
        <v>Semana de niños y niñas (21-25) Julio</v>
      </c>
      <c r="J212" s="1" t="str">
        <f ca="1">IFERROR(__xludf.DUMMYFUNCTION("""COMPUTED_VALUE"""),"la Biblia")</f>
        <v>la Biblia</v>
      </c>
      <c r="K212" s="1" t="str">
        <f ca="1">IFERROR(__xludf.DUMMYFUNCTION("""COMPUTED_VALUE"""),"Semilla de Mostaza Sta. Mónica")</f>
        <v>Semilla de Mostaza Sta. Mónica</v>
      </c>
      <c r="L212" s="1" t="str">
        <f ca="1">IFERROR(__xludf.DUMMYFUNCTION("""COMPUTED_VALUE"""),"David Silva")</f>
        <v>David Silva</v>
      </c>
      <c r="M212" s="1">
        <f ca="1">IFERROR(__xludf.DUMMYFUNCTION("""COMPUTED_VALUE"""),525565242964)</f>
        <v>525565242964</v>
      </c>
      <c r="N212" s="1" t="str">
        <f ca="1">IFERROR(__xludf.DUMMYFUNCTION("""COMPUTED_VALUE"""),"davidsigaet@gmail.com")</f>
        <v>davidsigaet@gmail.com</v>
      </c>
      <c r="O212" s="1" t="str">
        <f ca="1">IFERROR(__xludf.DUMMYFUNCTION("""COMPUTED_VALUE"""),"servicio general")</f>
        <v>servicio general</v>
      </c>
      <c r="P212" s="1" t="str">
        <f ca="1">IFERROR(__xludf.DUMMYFUNCTION("""COMPUTED_VALUE"""),"nací en “cuna cristiana” pero hasta que cumplí 15 años fue cuando conscientemente acepté a Cristo como mi Salvador, ese mismo año me bauticé pero no me sentía como cristiana, había veces que lo ocultaba para encajar, fue el año pasado cuándo me ocurrió un"&amp;" accidente en mi pierna aquí en campamento y todo lo que había aprendido en las prédicas me hizo cambiar mi forma de ver las cosas, poner en prioridad a Dios y entender que son sus propósitos y no los míos, en en esa fogata consagré mi vida a Dios")</f>
        <v>nací en “cuna cristiana” pero hasta que cumplí 15 años fue cuando conscientemente acepté a Cristo como mi Salvador, ese mismo año me bauticé pero no me sentía como cristiana, había veces que lo ocultaba para encajar, fue el año pasado cuándo me ocurrió un accidente en mi pierna aquí en campamento y todo lo que había aprendido en las prédicas me hizo cambiar mi forma de ver las cosas, poner en prioridad a Dios y entender que son sus propósitos y no los míos, en en esa fogata consagré mi vida a Dios</v>
      </c>
      <c r="Q212" s="1" t="str">
        <f ca="1">IFERROR(__xludf.DUMMYFUNCTION("""COMPUTED_VALUE"""),"pienso firmemente que el propósito de Dios para mi vida es estar en el ministerio de servicio, y entre más paso tiempo caminando con Dios me doy cuenta de lo mucho que me gustar estar de lleno en el ministerio")</f>
        <v>pienso firmemente que el propósito de Dios para mi vida es estar en el ministerio de servicio, y entre más paso tiempo caminando con Dios me doy cuenta de lo mucho que me gustar estar de lleno en el ministerio</v>
      </c>
      <c r="R212" s="1" t="str">
        <f ca="1">IFERROR(__xludf.DUMMYFUNCTION("""COMPUTED_VALUE"""),"Si")</f>
        <v>Si</v>
      </c>
      <c r="S212" s="1" t="str">
        <f ca="1">IFERROR(__xludf.DUMMYFUNCTION("""COMPUTED_VALUE"""),"basketball, volleyball, y tochi")</f>
        <v>basketball, volleyball, y tochi</v>
      </c>
      <c r="T212" s="1" t="str">
        <f ca="1">IFERROR(__xludf.DUMMYFUNCTION("""COMPUTED_VALUE"""),"Si")</f>
        <v>Si</v>
      </c>
      <c r="U212" s="1" t="str">
        <f ca="1">IFERROR(__xludf.DUMMYFUNCTION("""COMPUTED_VALUE"""),"piano")</f>
        <v>piano</v>
      </c>
      <c r="V212" s="1" t="str">
        <f ca="1">IFERROR(__xludf.DUMMYFUNCTION("""COMPUTED_VALUE"""),"estudio la preparatoria en el sistema ACE")</f>
        <v>estudio la preparatoria en el sistema ACE</v>
      </c>
      <c r="W212" s="1" t="str">
        <f ca="1">IFERROR(__xludf.DUMMYFUNCTION("""COMPUTED_VALUE"""),"soy buena artista y eficiente en aprender cualquier cosa")</f>
        <v>soy buena artista y eficiente en aprender cualquier cosa</v>
      </c>
      <c r="X212" s="1" t="str">
        <f ca="1">IFERROR(__xludf.DUMMYFUNCTION("""COMPUTED_VALUE"""),"B. Me gusta animar a las personas, C. Suelo buscar que el trabajo se realice en equipo, D. Me gustan los deportes, E. Me gusta el trabajo con niños, K. Soy creativo (a), N. Suelo llevar el liderazgo en un grupo")</f>
        <v>B. Me gusta animar a las personas, C. Suelo buscar que el trabajo se realice en equipo, D. Me gustan los deportes, E. Me gusta el trabajo con niños, K. Soy creativo (a), N. Suelo llevar el liderazgo en un grupo</v>
      </c>
      <c r="Y212" s="1" t="str">
        <f ca="1">IFERROR(__xludf.DUMMYFUNCTION("""COMPUTED_VALUE"""),"2023, 2024 y 2025")</f>
        <v>2023, 2024 y 2025</v>
      </c>
      <c r="Z212" s="1"/>
    </row>
    <row r="213" spans="1:26" x14ac:dyDescent="0.35">
      <c r="A213" s="2">
        <f ca="1">IFERROR(__xludf.DUMMYFUNCTION("""COMPUTED_VALUE"""),45857.5116666666)</f>
        <v>45857.5116666666</v>
      </c>
      <c r="B213" s="1"/>
      <c r="C213" s="1" t="str">
        <f ca="1">IFERROR(__xludf.DUMMYFUNCTION("""COMPUTED_VALUE"""),"Sofía Airam, Arellano Ortiz")</f>
        <v>Sofía Airam, Arellano Ortiz</v>
      </c>
      <c r="D213" s="1">
        <f ca="1">IFERROR(__xludf.DUMMYFUNCTION("""COMPUTED_VALUE"""),20)</f>
        <v>20</v>
      </c>
      <c r="E213" s="1" t="str">
        <f ca="1">IFERROR(__xludf.DUMMYFUNCTION("""COMPUTED_VALUE"""),"Mujer")</f>
        <v>Mujer</v>
      </c>
      <c r="F213" s="1" t="str">
        <f ca="1">IFERROR(__xludf.DUMMYFUNCTION("""COMPUTED_VALUE"""),"Jalisco, Mexico")</f>
        <v>Jalisco, Mexico</v>
      </c>
      <c r="G213" s="1" t="str">
        <f ca="1">IFERROR(__xludf.DUMMYFUNCTION("""COMPUTED_VALUE"""),"sofiairam11@gmail.com")</f>
        <v>sofiairam11@gmail.com</v>
      </c>
      <c r="H213" s="1">
        <f ca="1">IFERROR(__xludf.DUMMYFUNCTION("""COMPUTED_VALUE"""),524436957334)</f>
        <v>524436957334</v>
      </c>
      <c r="I213" s="1" t="str">
        <f ca="1">IFERROR(__xludf.DUMMYFUNCTION("""COMPUTED_VALUE"""),"Semana de niños y niñas (21-25) Julio")</f>
        <v>Semana de niños y niñas (21-25) Julio</v>
      </c>
      <c r="J213" s="1" t="str">
        <f ca="1">IFERROR(__xludf.DUMMYFUNCTION("""COMPUTED_VALUE"""),"Job: confiar en Dios en nuestro sufrimiento")</f>
        <v>Job: confiar en Dios en nuestro sufrimiento</v>
      </c>
      <c r="K213" s="1" t="str">
        <f ca="1">IFERROR(__xludf.DUMMYFUNCTION("""COMPUTED_VALUE"""),"Vida Guadalajara")</f>
        <v>Vida Guadalajara</v>
      </c>
      <c r="L213" s="1" t="str">
        <f ca="1">IFERROR(__xludf.DUMMYFUNCTION("""COMPUTED_VALUE"""),"Neftalí Rubio")</f>
        <v>Neftalí Rubio</v>
      </c>
      <c r="M213" s="1">
        <f ca="1">IFERROR(__xludf.DUMMYFUNCTION("""COMPUTED_VALUE"""),524411036024)</f>
        <v>524411036024</v>
      </c>
      <c r="N213" s="1" t="str">
        <f ca="1">IFERROR(__xludf.DUMMYFUNCTION("""COMPUTED_VALUE"""),"nefaly@gmail.com")</f>
        <v>nefaly@gmail.com</v>
      </c>
      <c r="O213" s="1" t="str">
        <f ca="1">IFERROR(__xludf.DUMMYFUNCTION("""COMPUTED_VALUE"""),"Alabanza y grupo de Jovenes")</f>
        <v>Alabanza y grupo de Jovenes</v>
      </c>
      <c r="P213" s="1" t="str">
        <f ca="1">IFERROR(__xludf.DUMMYFUNCTION("""COMPUTED_VALUE"""),"Crecí en una casa donde mi mamá era Cristiana pero mi papá no, esto llevó a un conflicto de Fe en el que mis padres actuaban de manera distinta, cada uno con ideas sobre como debería de ser la vida. Crezco influenciada mayormente por mi mamá pero todo se "&amp;"vuelve difícil en la adolescencia, hasta que después de un intento de suicidio fallido Dios me llama a ser su hija y a creer en sus promesas, y ahora soy salva y siempre con unos brazos a dónde regresar")</f>
        <v>Crecí en una casa donde mi mamá era Cristiana pero mi papá no, esto llevó a un conflicto de Fe en el que mis padres actuaban de manera distinta, cada uno con ideas sobre como debería de ser la vida. Crezco influenciada mayormente por mi mamá pero todo se vuelve difícil en la adolescencia, hasta que después de un intento de suicidio fallido Dios me llama a ser su hija y a creer en sus promesas, y ahora soy salva y siempre con unos brazos a dónde regresar</v>
      </c>
      <c r="Q213" s="1" t="str">
        <f ca="1">IFERROR(__xludf.DUMMYFUNCTION("""COMPUTED_VALUE"""),"En este campamento Dios me llamó a despertar a ser activa en su obra y a seguir trabajando en mis dones, a ver hacia aquellos que siguen antes despues de nosotros.")</f>
        <v>En este campamento Dios me llamó a despertar a ser activa en su obra y a seguir trabajando en mis dones, a ver hacia aquellos que siguen antes despues de nosotros.</v>
      </c>
      <c r="R213" s="1" t="str">
        <f ca="1">IFERROR(__xludf.DUMMYFUNCTION("""COMPUTED_VALUE"""),"No")</f>
        <v>No</v>
      </c>
      <c r="S213" s="1"/>
      <c r="T213" s="1" t="str">
        <f ca="1">IFERROR(__xludf.DUMMYFUNCTION("""COMPUTED_VALUE"""),"Si")</f>
        <v>Si</v>
      </c>
      <c r="U213" s="1" t="str">
        <f ca="1">IFERROR(__xludf.DUMMYFUNCTION("""COMPUTED_VALUE"""),"Canto")</f>
        <v>Canto</v>
      </c>
      <c r="V213" s="1" t="str">
        <f ca="1">IFERROR(__xludf.DUMMYFUNCTION("""COMPUTED_VALUE"""),"Música en la ciudad de Guadalajara, en la universidad de esta misma ciudad")</f>
        <v>Música en la ciudad de Guadalajara, en la universidad de esta misma ciudad</v>
      </c>
      <c r="W213" s="1" t="str">
        <f ca="1">IFERROR(__xludf.DUMMYFUNCTION("""COMPUTED_VALUE"""),"Soy maestra de música de niños y adultos, por lo que la paciencia y la facilidad para expresar lo que se busca es algo que se encuentra, además de activa y comprensiva")</f>
        <v>Soy maestra de música de niños y adultos, por lo que la paciencia y la facilidad para expresar lo que se busca es algo que se encuentra, además de activa y comprensiva</v>
      </c>
      <c r="X213" s="1" t="str">
        <f ca="1">IFERROR(__xludf.DUMMYFUNCTION("""COMPUTED_VALUE"""),"B. Me gusta animar a las personas, E. Me gusta el trabajo con niños, J. Me gusta la atención a las personas, K. Soy creativo (a), L. Soy bueno (a) en canto o algún instrumento, O. Puedo enseñar con facilidad")</f>
        <v>B. Me gusta animar a las personas, E. Me gusta el trabajo con niños, J. Me gusta la atención a las personas, K. Soy creativo (a), L. Soy bueno (a) en canto o algún instrumento, O. Puedo enseñar con facilidad</v>
      </c>
      <c r="Y213" s="1" t="str">
        <f ca="1">IFERROR(__xludf.DUMMYFUNCTION("""COMPUTED_VALUE"""),"Justo en 2025, eternos")</f>
        <v>Justo en 2025, eternos</v>
      </c>
      <c r="Z213" s="1"/>
    </row>
    <row r="214" spans="1:26" x14ac:dyDescent="0.35">
      <c r="A214" s="2">
        <f ca="1">IFERROR(__xludf.DUMMYFUNCTION("""COMPUTED_VALUE"""),45857.5167129629)</f>
        <v>45857.516712962897</v>
      </c>
      <c r="B214" s="1"/>
      <c r="C214" s="1" t="str">
        <f ca="1">IFERROR(__xludf.DUMMYFUNCTION("""COMPUTED_VALUE"""),"Casandra Nohemí, Serra Hernández")</f>
        <v>Casandra Nohemí, Serra Hernández</v>
      </c>
      <c r="D214" s="1">
        <f ca="1">IFERROR(__xludf.DUMMYFUNCTION("""COMPUTED_VALUE"""),23)</f>
        <v>23</v>
      </c>
      <c r="E214" s="1" t="str">
        <f ca="1">IFERROR(__xludf.DUMMYFUNCTION("""COMPUTED_VALUE"""),"Mujer")</f>
        <v>Mujer</v>
      </c>
      <c r="F214" s="1" t="str">
        <f ca="1">IFERROR(__xludf.DUMMYFUNCTION("""COMPUTED_VALUE"""),"Mexico, Mexico")</f>
        <v>Mexico, Mexico</v>
      </c>
      <c r="G214" s="1" t="str">
        <f ca="1">IFERROR(__xludf.DUMMYFUNCTION("""COMPUTED_VALUE"""),"casandrabaez0209@gmail.com")</f>
        <v>casandrabaez0209@gmail.com</v>
      </c>
      <c r="H214" s="1">
        <f ca="1">IFERROR(__xludf.DUMMYFUNCTION("""COMPUTED_VALUE"""),525582139007)</f>
        <v>525582139007</v>
      </c>
      <c r="I214" s="1" t="str">
        <f ca="1">IFERROR(__xludf.DUMMYFUNCTION("""COMPUTED_VALUE"""),"Jóvenes de 13 – 17 años / SEM2/ (4 - 09 agosto), Jóvenes de 13 – 17 años / SEM3/ (11 - 16 agosto)")</f>
        <v>Jóvenes de 13 – 17 años / SEM2/ (4 - 09 agosto), Jóvenes de 13 – 17 años / SEM3/ (11 - 16 agosto)</v>
      </c>
      <c r="J214" s="1" t="str">
        <f ca="1">IFERROR(__xludf.DUMMYFUNCTION("""COMPUTED_VALUE"""),"Decisiones que transforman")</f>
        <v>Decisiones que transforman</v>
      </c>
      <c r="K214" s="1" t="str">
        <f ca="1">IFERROR(__xludf.DUMMYFUNCTION("""COMPUTED_VALUE"""),"Iglesia cristiana de la gracia")</f>
        <v>Iglesia cristiana de la gracia</v>
      </c>
      <c r="L214" s="1" t="str">
        <f ca="1">IFERROR(__xludf.DUMMYFUNCTION("""COMPUTED_VALUE"""),"Toño Ortega")</f>
        <v>Toño Ortega</v>
      </c>
      <c r="M214" s="1">
        <f ca="1">IFERROR(__xludf.DUMMYFUNCTION("""COMPUTED_VALUE"""),525530807649)</f>
        <v>525530807649</v>
      </c>
      <c r="N214" s="1" t="str">
        <f ca="1">IFERROR(__xludf.DUMMYFUNCTION("""COMPUTED_VALUE"""),"Toga87@Prodiyi.net.mx")</f>
        <v>Toga87@Prodiyi.net.mx</v>
      </c>
      <c r="O214" s="1" t="str">
        <f ca="1">IFERROR(__xludf.DUMMYFUNCTION("""COMPUTED_VALUE"""),"Cuneros")</f>
        <v>Cuneros</v>
      </c>
      <c r="P214" s="1" t="str">
        <f ca="1">IFERROR(__xludf.DUMMYFUNCTION("""COMPUTED_VALUE"""),"En el 2019 como equipante Dios usó a Charito quien me compartió el evangelio y tomé la decisión de cambiar mi vida")</f>
        <v>En el 2019 como equipante Dios usó a Charito quien me compartió el evangelio y tomé la decisión de cambiar mi vida</v>
      </c>
      <c r="Q214" s="1" t="str">
        <f ca="1">IFERROR(__xludf.DUMMYFUNCTION("""COMPUTED_VALUE"""),"Porque sé que se necesita apoyo")</f>
        <v>Porque sé que se necesita apoyo</v>
      </c>
      <c r="R214" s="1" t="str">
        <f ca="1">IFERROR(__xludf.DUMMYFUNCTION("""COMPUTED_VALUE"""),"No")</f>
        <v>No</v>
      </c>
      <c r="S214" s="1"/>
      <c r="T214" s="1" t="str">
        <f ca="1">IFERROR(__xludf.DUMMYFUNCTION("""COMPUTED_VALUE"""),"No")</f>
        <v>No</v>
      </c>
      <c r="U214" s="1"/>
      <c r="V214" s="1" t="str">
        <f ca="1">IFERROR(__xludf.DUMMYFUNCTION("""COMPUTED_VALUE"""),"La universidad")</f>
        <v>La universidad</v>
      </c>
      <c r="W214" s="1" t="str">
        <f ca="1">IFERROR(__xludf.DUMMYFUNCTION("""COMPUTED_VALUE"""),";)")</f>
        <v>;)</v>
      </c>
      <c r="X214" s="1" t="str">
        <f ca="1">IFERROR(__xludf.DUMMYFUNCTION("""COMPUTED_VALUE"""),"G. Soy más eficiente en el trabajo individual")</f>
        <v>G. Soy más eficiente en el trabajo individual</v>
      </c>
      <c r="Y214" s="1" t="str">
        <f ca="1">IFERROR(__xludf.DUMMYFUNCTION("""COMPUTED_VALUE"""),"Del 2013-2018")</f>
        <v>Del 2013-2018</v>
      </c>
      <c r="Z214" s="1"/>
    </row>
    <row r="215" spans="1:26" x14ac:dyDescent="0.35">
      <c r="A215" s="2">
        <f ca="1">IFERROR(__xludf.DUMMYFUNCTION("""COMPUTED_VALUE"""),45857.5285879629)</f>
        <v>45857.528587962901</v>
      </c>
      <c r="B215" s="1"/>
      <c r="C215" s="1" t="str">
        <f ca="1">IFERROR(__xludf.DUMMYFUNCTION("""COMPUTED_VALUE"""),"Ailany, Aguilar Segovia")</f>
        <v>Ailany, Aguilar Segovia</v>
      </c>
      <c r="D215" s="1">
        <f ca="1">IFERROR(__xludf.DUMMYFUNCTION("""COMPUTED_VALUE"""),18)</f>
        <v>18</v>
      </c>
      <c r="E215" s="1" t="str">
        <f ca="1">IFERROR(__xludf.DUMMYFUNCTION("""COMPUTED_VALUE"""),"Mujer")</f>
        <v>Mujer</v>
      </c>
      <c r="F215" s="1" t="str">
        <f ca="1">IFERROR(__xludf.DUMMYFUNCTION("""COMPUTED_VALUE"""),"Queretaro, Mexico")</f>
        <v>Queretaro, Mexico</v>
      </c>
      <c r="G215" s="1" t="str">
        <f ca="1">IFERROR(__xludf.DUMMYFUNCTION("""COMPUTED_VALUE"""),"lanyasego@gmail.com")</f>
        <v>lanyasego@gmail.com</v>
      </c>
      <c r="H215" s="1">
        <f ca="1">IFERROR(__xludf.DUMMYFUNCTION("""COMPUTED_VALUE"""),524412521563)</f>
        <v>524412521563</v>
      </c>
      <c r="I215" s="1" t="str">
        <f ca="1">IFERROR(__xludf.DUMMYFUNCTION("""COMPUTED_VALUE"""),"Semana de niños y niñas (21-25) Julio, Jóvenes de 13 – 17 años / SEM2/ (4 - 09 agosto)")</f>
        <v>Semana de niños y niñas (21-25) Julio, Jóvenes de 13 – 17 años / SEM2/ (4 - 09 agosto)</v>
      </c>
      <c r="J215" s="1" t="str">
        <f ca="1">IFERROR(__xludf.DUMMYFUNCTION("""COMPUTED_VALUE"""),"Diario de una joven conforme al corazón de Dios")</f>
        <v>Diario de una joven conforme al corazón de Dios</v>
      </c>
      <c r="K215" s="1" t="str">
        <f ca="1">IFERROR(__xludf.DUMMYFUNCTION("""COMPUTED_VALUE"""),"Horizonte Tequisquiapan")</f>
        <v>Horizonte Tequisquiapan</v>
      </c>
      <c r="L215" s="1" t="str">
        <f ca="1">IFERROR(__xludf.DUMMYFUNCTION("""COMPUTED_VALUE"""),"Víctor Hugo Ventura Vázquez")</f>
        <v>Víctor Hugo Ventura Vázquez</v>
      </c>
      <c r="M215" s="1">
        <f ca="1">IFERROR(__xludf.DUMMYFUNCTION("""COMPUTED_VALUE"""),524422301269)</f>
        <v>524422301269</v>
      </c>
      <c r="N215" s="1" t="str">
        <f ca="1">IFERROR(__xludf.DUMMYFUNCTION("""COMPUTED_VALUE"""),"venturahugo10@gmail.com")</f>
        <v>venturahugo10@gmail.com</v>
      </c>
      <c r="O215" s="1" t="str">
        <f ca="1">IFERROR(__xludf.DUMMYFUNCTION("""COMPUTED_VALUE"""),"por el momento no sirvo en la igleisa")</f>
        <v>por el momento no sirvo en la igleisa</v>
      </c>
      <c r="P215" s="1" t="str">
        <f ca="1">IFERROR(__xludf.DUMMYFUNCTION("""COMPUTED_VALUE"""),"Mis papás se divorciaron y años después de volvieron a casar, a partir de eso pude ver que Dios es necesario y debe ser la base de nuestras vidas, que es necesario entregarle todo el control.")</f>
        <v>Mis papás se divorciaron y años después de volvieron a casar, a partir de eso pude ver que Dios es necesario y debe ser la base de nuestras vidas, que es necesario entregarle todo el control.</v>
      </c>
      <c r="Q215" s="1" t="str">
        <f ca="1">IFERROR(__xludf.DUMMYFUNCTION("""COMPUTED_VALUE"""),"Disfruto mucho el campamento y me gustaría apoyar y servir a Dios")</f>
        <v>Disfruto mucho el campamento y me gustaría apoyar y servir a Dios</v>
      </c>
      <c r="R215" s="1" t="str">
        <f ca="1">IFERROR(__xludf.DUMMYFUNCTION("""COMPUTED_VALUE"""),"No")</f>
        <v>No</v>
      </c>
      <c r="S215" s="1"/>
      <c r="T215" s="1" t="str">
        <f ca="1">IFERROR(__xludf.DUMMYFUNCTION("""COMPUTED_VALUE"""),"Si")</f>
        <v>Si</v>
      </c>
      <c r="U215" s="1" t="str">
        <f ca="1">IFERROR(__xludf.DUMMYFUNCTION("""COMPUTED_VALUE"""),"Violín y acordeón")</f>
        <v>Violín y acordeón</v>
      </c>
      <c r="V215" s="1" t="str">
        <f ca="1">IFERROR(__xludf.DUMMYFUNCTION("""COMPUTED_VALUE"""),"Licenciatura en educación primaria")</f>
        <v>Licenciatura en educación primaria</v>
      </c>
      <c r="W215" s="1" t="str">
        <f ca="1">IFERROR(__xludf.DUMMYFUNCTION("""COMPUTED_VALUE"""),"Maestra de la ECM")</f>
        <v>Maestra de la ECM</v>
      </c>
      <c r="X215" s="1" t="str">
        <f ca="1">IFERROR(__xludf.DUMMYFUNCTION("""COMPUTED_VALUE"""),"B. Me gusta animar a las personas, E. Me gusta el trabajo con niños, H. Soy organizado (a), J. Me gusta la atención a las personas, K. Soy creativo (a), L. Soy bueno (a) en canto o algún instrumento, O. Puedo enseñar con facilidad")</f>
        <v>B. Me gusta animar a las personas, E. Me gusta el trabajo con niños, H. Soy organizado (a), J. Me gusta la atención a las personas, K. Soy creativo (a), L. Soy bueno (a) en canto o algún instrumento, O. Puedo enseñar con facilidad</v>
      </c>
      <c r="Y215" s="1" t="str">
        <f ca="1">IFERROR(__xludf.DUMMYFUNCTION("""COMPUTED_VALUE"""),"Desde 2022")</f>
        <v>Desde 2022</v>
      </c>
      <c r="Z215" s="1"/>
    </row>
    <row r="216" spans="1:26" x14ac:dyDescent="0.35">
      <c r="A216" s="2">
        <f ca="1">IFERROR(__xludf.DUMMYFUNCTION("""COMPUTED_VALUE"""),45857.5367129629)</f>
        <v>45857.536712962901</v>
      </c>
      <c r="B216" s="1"/>
      <c r="C216" s="1" t="str">
        <f ca="1">IFERROR(__xludf.DUMMYFUNCTION("""COMPUTED_VALUE"""),"Diana Alejandra, Lopez Viveros")</f>
        <v>Diana Alejandra, Lopez Viveros</v>
      </c>
      <c r="D216" s="1">
        <f ca="1">IFERROR(__xludf.DUMMYFUNCTION("""COMPUTED_VALUE"""),22)</f>
        <v>22</v>
      </c>
      <c r="E216" s="1" t="str">
        <f ca="1">IFERROR(__xludf.DUMMYFUNCTION("""COMPUTED_VALUE"""),"Mujer")</f>
        <v>Mujer</v>
      </c>
      <c r="F216" s="1" t="str">
        <f ca="1">IFERROR(__xludf.DUMMYFUNCTION("""COMPUTED_VALUE"""),"Michoacan, Mexico")</f>
        <v>Michoacan, Mexico</v>
      </c>
      <c r="G216" s="1" t="str">
        <f ca="1">IFERROR(__xludf.DUMMYFUNCTION("""COMPUTED_VALUE"""),"dianaalejandraviverosorozco@gmail.com")</f>
        <v>dianaalejandraviverosorozco@gmail.com</v>
      </c>
      <c r="H216" s="1">
        <f ca="1">IFERROR(__xludf.DUMMYFUNCTION("""COMPUTED_VALUE"""),525614230158)</f>
        <v>525614230158</v>
      </c>
      <c r="I216" s="1" t="str">
        <f ca="1">IFERROR(__xludf.DUMMYFUNCTION("""COMPUTED_VALUE"""),"Semana de niños y niñas (21-25) Julio, Jóvenes de 13 – 17 años / SEM1/ (28 Julio a 02 de agosto)")</f>
        <v>Semana de niños y niñas (21-25) Julio, Jóvenes de 13 – 17 años / SEM1/ (28 Julio a 02 de agosto)</v>
      </c>
      <c r="J216" s="1" t="str">
        <f ca="1">IFERROR(__xludf.DUMMYFUNCTION("""COMPUTED_VALUE"""),"Glorify")</f>
        <v>Glorify</v>
      </c>
      <c r="K216" s="1" t="str">
        <f ca="1">IFERROR(__xludf.DUMMYFUNCTION("""COMPUTED_VALUE"""),"Lampei")</f>
        <v>Lampei</v>
      </c>
      <c r="L216" s="1" t="str">
        <f ca="1">IFERROR(__xludf.DUMMYFUNCTION("""COMPUTED_VALUE"""),"David Garcia Nateras")</f>
        <v>David Garcia Nateras</v>
      </c>
      <c r="M216" s="1">
        <f ca="1">IFERROR(__xludf.DUMMYFUNCTION("""COMPUTED_VALUE"""),524431427233)</f>
        <v>524431427233</v>
      </c>
      <c r="N216" s="1" t="str">
        <f ca="1">IFERROR(__xludf.DUMMYFUNCTION("""COMPUTED_VALUE"""),"iglesialampei@gmail.com")</f>
        <v>iglesialampei@gmail.com</v>
      </c>
      <c r="O216" s="1" t="str">
        <f ca="1">IFERROR(__xludf.DUMMYFUNCTION("""COMPUTED_VALUE"""),"Fotografía y niños")</f>
        <v>Fotografía y niños</v>
      </c>
      <c r="P216" s="1" t="str">
        <f ca="1">IFERROR(__xludf.DUMMYFUNCTION("""COMPUTED_VALUE"""),"Dios me salvo de un intento de suicidio")</f>
        <v>Dios me salvo de un intento de suicidio</v>
      </c>
      <c r="Q216" s="1" t="str">
        <f ca="1">IFERROR(__xludf.DUMMYFUNCTION("""COMPUTED_VALUE"""),"Quiero venir a estudiar en septiembre y me gustaría comenzar a servir desde ya.
Hace tiempo Dios hablo a mi corazón y quiero ser obediente.")</f>
        <v>Quiero venir a estudiar en septiembre y me gustaría comenzar a servir desde ya.
Hace tiempo Dios hablo a mi corazón y quiero ser obediente.</v>
      </c>
      <c r="R216" s="1" t="str">
        <f ca="1">IFERROR(__xludf.DUMMYFUNCTION("""COMPUTED_VALUE"""),"No")</f>
        <v>No</v>
      </c>
      <c r="S216" s="1"/>
      <c r="T216" s="1" t="str">
        <f ca="1">IFERROR(__xludf.DUMMYFUNCTION("""COMPUTED_VALUE"""),"No")</f>
        <v>No</v>
      </c>
      <c r="U216" s="1"/>
      <c r="V216" s="1" t="str">
        <f ca="1">IFERROR(__xludf.DUMMYFUNCTION("""COMPUTED_VALUE"""),"Biología")</f>
        <v>Biología</v>
      </c>
      <c r="W216" s="1" t="str">
        <f ca="1">IFERROR(__xludf.DUMMYFUNCTION("""COMPUTED_VALUE"""),"Hago videos en redes sociales")</f>
        <v>Hago videos en redes sociales</v>
      </c>
      <c r="X216" s="1" t="str">
        <f ca="1">IFERROR(__xludf.DUMMYFUNCTION("""COMPUTED_VALUE"""),"E. Me gusta el trabajo con niños")</f>
        <v>E. Me gusta el trabajo con niños</v>
      </c>
      <c r="Y216" s="1" t="str">
        <f ca="1">IFERROR(__xludf.DUMMYFUNCTION("""COMPUTED_VALUE"""),"No")</f>
        <v>No</v>
      </c>
      <c r="Z216" s="1"/>
    </row>
    <row r="217" spans="1:26" x14ac:dyDescent="0.35">
      <c r="A217" s="2">
        <f ca="1">IFERROR(__xludf.DUMMYFUNCTION("""COMPUTED_VALUE"""),45857.5448726851)</f>
        <v>45857.544872685103</v>
      </c>
      <c r="B217" s="1"/>
      <c r="C217" s="1" t="str">
        <f ca="1">IFERROR(__xludf.DUMMYFUNCTION("""COMPUTED_VALUE"""),"Jacob Emanuel, Macías Monroy")</f>
        <v>Jacob Emanuel, Macías Monroy</v>
      </c>
      <c r="D217" s="1">
        <f ca="1">IFERROR(__xludf.DUMMYFUNCTION("""COMPUTED_VALUE"""),20)</f>
        <v>20</v>
      </c>
      <c r="E217" s="1" t="str">
        <f ca="1">IFERROR(__xludf.DUMMYFUNCTION("""COMPUTED_VALUE"""),"Hombre")</f>
        <v>Hombre</v>
      </c>
      <c r="F217" s="1" t="str">
        <f ca="1">IFERROR(__xludf.DUMMYFUNCTION("""COMPUTED_VALUE"""),"Mexico, Mexico")</f>
        <v>Mexico, Mexico</v>
      </c>
      <c r="G217" s="1" t="str">
        <f ca="1">IFERROR(__xludf.DUMMYFUNCTION("""COMPUTED_VALUE"""),"jemacmon@gmail.com")</f>
        <v>jemacmon@gmail.com</v>
      </c>
      <c r="H217" s="1">
        <f ca="1">IFERROR(__xludf.DUMMYFUNCTION("""COMPUTED_VALUE"""),524777292223)</f>
        <v>524777292223</v>
      </c>
      <c r="I217" s="1" t="str">
        <f ca="1">IFERROR(__xludf.DUMMYFUNCTION("""COMPUTED_VALUE"""),"Semana de niños y niñas (21-25) Julio")</f>
        <v>Semana de niños y niñas (21-25) Julio</v>
      </c>
      <c r="J217" s="1" t="str">
        <f ca="1">IFERROR(__xludf.DUMMYFUNCTION("""COMPUTED_VALUE"""),"La Biblia")</f>
        <v>La Biblia</v>
      </c>
      <c r="K217" s="1" t="str">
        <f ca="1">IFERROR(__xludf.DUMMYFUNCTION("""COMPUTED_VALUE"""),"Semilla de Mostaza Santa Monica")</f>
        <v>Semilla de Mostaza Santa Monica</v>
      </c>
      <c r="L217" s="1" t="str">
        <f ca="1">IFERROR(__xludf.DUMMYFUNCTION("""COMPUTED_VALUE"""),"Patricio Garduño")</f>
        <v>Patricio Garduño</v>
      </c>
      <c r="M217" s="1">
        <f ca="1">IFERROR(__xludf.DUMMYFUNCTION("""COMPUTED_VALUE"""),525540533661)</f>
        <v>525540533661</v>
      </c>
      <c r="N217" s="1" t="str">
        <f ca="1">IFERROR(__xludf.DUMMYFUNCTION("""COMPUTED_VALUE"""),"megarush_92@hotmail.com")</f>
        <v>megarush_92@hotmail.com</v>
      </c>
      <c r="O217" s="1" t="str">
        <f ca="1">IFERROR(__xludf.DUMMYFUNCTION("""COMPUTED_VALUE"""),"Servía en multimedia, actualmente solo escucho")</f>
        <v>Servía en multimedia, actualmente solo escucho</v>
      </c>
      <c r="P217" s="1" t="str">
        <f ca="1">IFERROR(__xludf.DUMMYFUNCTION("""COMPUTED_VALUE"""),"Fue en una CEM de 2020 aquí en Palabra de Vida que Dios tocó mi corazón a través del pastor y me quebranté y acepté al señor como mi salvador personal")</f>
        <v>Fue en una CEM de 2020 aquí en Palabra de Vida que Dios tocó mi corazón a través del pastor y me quebranté y acepté al señor como mi salvador personal</v>
      </c>
      <c r="Q217" s="1" t="str">
        <f ca="1">IFERROR(__xludf.DUMMYFUNCTION("""COMPUTED_VALUE"""),"Porque en la noche de consagración tomé la decisión de entregarle las riendas de mi vida al Señor y dejarme totalmente que me moldeé a su voluntad, y me nació una chispa para poder quedarme a servir")</f>
        <v>Porque en la noche de consagración tomé la decisión de entregarle las riendas de mi vida al Señor y dejarme totalmente que me moldeé a su voluntad, y me nació una chispa para poder quedarme a servir</v>
      </c>
      <c r="R217" s="1" t="str">
        <f ca="1">IFERROR(__xludf.DUMMYFUNCTION("""COMPUTED_VALUE"""),"Si")</f>
        <v>Si</v>
      </c>
      <c r="S217" s="1" t="str">
        <f ca="1">IFERROR(__xludf.DUMMYFUNCTION("""COMPUTED_VALUE"""),"Basketball")</f>
        <v>Basketball</v>
      </c>
      <c r="T217" s="1" t="str">
        <f ca="1">IFERROR(__xludf.DUMMYFUNCTION("""COMPUTED_VALUE"""),"Si")</f>
        <v>Si</v>
      </c>
      <c r="U217" s="1" t="str">
        <f ca="1">IFERROR(__xludf.DUMMYFUNCTION("""COMPUTED_VALUE"""),"Piano")</f>
        <v>Piano</v>
      </c>
      <c r="V217" s="1" t="str">
        <f ca="1">IFERROR(__xludf.DUMMYFUNCTION("""COMPUTED_VALUE"""),"Fotografía")</f>
        <v>Fotografía</v>
      </c>
      <c r="W217" s="1" t="str">
        <f ca="1">IFERROR(__xludf.DUMMYFUNCTION("""COMPUTED_VALUE"""),"Soy fotógrafo , y trabajo en logística en una empresa de logística y transporte")</f>
        <v>Soy fotógrafo , y trabajo en logística en una empresa de logística y transporte</v>
      </c>
      <c r="X217" s="1" t="str">
        <f ca="1">IFERROR(__xludf.DUMMYFUNCTION("""COMPUTED_VALUE"""),"B. Me gusta animar a las personas, D. Me gustan los deportes, G. Soy más eficiente en el trabajo individual, J. Me gusta la atención a las personas, M. Soy bueno (a) con los números")</f>
        <v>B. Me gusta animar a las personas, D. Me gustan los deportes, G. Soy más eficiente en el trabajo individual, J. Me gusta la atención a las personas, M. Soy bueno (a) con los números</v>
      </c>
      <c r="Y217" s="1" t="str">
        <f ca="1">IFERROR(__xludf.DUMMYFUNCTION("""COMPUTED_VALUE"""),"Temporada 2023 y 2025")</f>
        <v>Temporada 2023 y 2025</v>
      </c>
      <c r="Z217" s="1"/>
    </row>
    <row r="218" spans="1:26" x14ac:dyDescent="0.35">
      <c r="A218" s="2">
        <f ca="1">IFERROR(__xludf.DUMMYFUNCTION("""COMPUTED_VALUE"""),45857.5472337962)</f>
        <v>45857.547233796198</v>
      </c>
      <c r="B218" s="1"/>
      <c r="C218" s="1" t="str">
        <f ca="1">IFERROR(__xludf.DUMMYFUNCTION("""COMPUTED_VALUE"""),"Jahaziel, Ruiz")</f>
        <v>Jahaziel, Ruiz</v>
      </c>
      <c r="D218" s="1">
        <f ca="1">IFERROR(__xludf.DUMMYFUNCTION("""COMPUTED_VALUE"""),18)</f>
        <v>18</v>
      </c>
      <c r="E218" s="1" t="str">
        <f ca="1">IFERROR(__xludf.DUMMYFUNCTION("""COMPUTED_VALUE"""),"Hombre")</f>
        <v>Hombre</v>
      </c>
      <c r="F218" s="1" t="str">
        <f ca="1">IFERROR(__xludf.DUMMYFUNCTION("""COMPUTED_VALUE"""),"Mexico, Mexico")</f>
        <v>Mexico, Mexico</v>
      </c>
      <c r="G218" s="1" t="str">
        <f ca="1">IFERROR(__xludf.DUMMYFUNCTION("""COMPUTED_VALUE"""),"jruizroldan29@gmail.com")</f>
        <v>jruizroldan29@gmail.com</v>
      </c>
      <c r="H218" s="1">
        <f ca="1">IFERROR(__xludf.DUMMYFUNCTION("""COMPUTED_VALUE"""),525582143226)</f>
        <v>525582143226</v>
      </c>
      <c r="I218" s="1" t="str">
        <f ca="1">IFERROR(__xludf.DUMMYFUNCTION("""COMPUTED_VALUE"""),"Semana de niños y niñas (21-25) Julio, Jóvenes de 13 – 17 años / SEM1/ (28 Julio a 02 de agosto)")</f>
        <v>Semana de niños y niñas (21-25) Julio, Jóvenes de 13 – 17 años / SEM1/ (28 Julio a 02 de agosto)</v>
      </c>
      <c r="J218" s="1" t="str">
        <f ca="1">IFERROR(__xludf.DUMMYFUNCTION("""COMPUTED_VALUE"""),"todavía no hago")</f>
        <v>todavía no hago</v>
      </c>
      <c r="K218" s="1" t="str">
        <f ca="1">IFERROR(__xludf.DUMMYFUNCTION("""COMPUTED_VALUE"""),"centro Cristiano Calacoaya")</f>
        <v>centro Cristiano Calacoaya</v>
      </c>
      <c r="L218" s="1" t="str">
        <f ca="1">IFERROR(__xludf.DUMMYFUNCTION("""COMPUTED_VALUE"""),"Gilberto Rocha Margaín")</f>
        <v>Gilberto Rocha Margaín</v>
      </c>
      <c r="M218" s="1">
        <f ca="1">IFERROR(__xludf.DUMMYFUNCTION("""COMPUTED_VALUE"""),525553661601)</f>
        <v>525553661601</v>
      </c>
      <c r="N218" s="1" t="str">
        <f ca="1">IFERROR(__xludf.DUMMYFUNCTION("""COMPUTED_VALUE"""),"Giroma@calacoaya.com")</f>
        <v>Giroma@calacoaya.com</v>
      </c>
      <c r="O218" s="1" t="str">
        <f ca="1">IFERROR(__xludf.DUMMYFUNCTION("""COMPUTED_VALUE"""),"Ayudo a la cocina de la iglesia")</f>
        <v>Ayudo a la cocina de la iglesia</v>
      </c>
      <c r="P218" s="1" t="str">
        <f ca="1">IFERROR(__xludf.DUMMYFUNCTION("""COMPUTED_VALUE"""),"vengo de cuna cristiana pero a pesar de eso era tibio en la palabra, cuando entré a la prepa me desvíe por mal camino, vine a un campamento y hablé con un consejero me ayudó y me guio para tomar una decisión y le entregue mi vida y mis decisiones a Dios, "&amp;"desde ahí e tenido una relación con Dios más cercana, no siempre a sido frecuente pero me e comprometido a seguirlo a él cada día más")</f>
        <v>vengo de cuna cristiana pero a pesar de eso era tibio en la palabra, cuando entré a la prepa me desvíe por mal camino, vine a un campamento y hablé con un consejero me ayudó y me guio para tomar una decisión y le entregue mi vida y mis decisiones a Dios, desde ahí e tenido una relación con Dios más cercana, no siempre a sido frecuente pero me e comprometido a seguirlo a él cada día más</v>
      </c>
      <c r="Q218" s="1" t="str">
        <f ca="1">IFERROR(__xludf.DUMMYFUNCTION("""COMPUTED_VALUE"""),"porque me gustaría ser parte del camino de la personas que lleguen a la palabra en el campamento, el ver como reconocen a Dios como su único salvador es algo bonito desde la perspectiva de afuera porque sabes el proceso que pasan, no siempre es el mismo p"&amp;"ecado pero se entiende el sentimiento de arrepentiento")</f>
        <v>porque me gustaría ser parte del camino de la personas que lleguen a la palabra en el campamento, el ver como reconocen a Dios como su único salvador es algo bonito desde la perspectiva de afuera porque sabes el proceso que pasan, no siempre es el mismo pecado pero se entiende el sentimiento de arrepentiento</v>
      </c>
      <c r="R218" s="1" t="str">
        <f ca="1">IFERROR(__xludf.DUMMYFUNCTION("""COMPUTED_VALUE"""),"Si")</f>
        <v>Si</v>
      </c>
      <c r="S218" s="1" t="str">
        <f ca="1">IFERROR(__xludf.DUMMYFUNCTION("""COMPUTED_VALUE"""),"fútbol soccer")</f>
        <v>fútbol soccer</v>
      </c>
      <c r="T218" s="1" t="str">
        <f ca="1">IFERROR(__xludf.DUMMYFUNCTION("""COMPUTED_VALUE"""),"No")</f>
        <v>No</v>
      </c>
      <c r="U218" s="1"/>
      <c r="V218" s="1" t="str">
        <f ca="1">IFERROR(__xludf.DUMMYFUNCTION("""COMPUTED_VALUE"""),"estoy esperando respuesta de la universidad")</f>
        <v>estoy esperando respuesta de la universidad</v>
      </c>
      <c r="W218" s="1" t="str">
        <f ca="1">IFERROR(__xludf.DUMMYFUNCTION("""COMPUTED_VALUE"""),"soy bueno en la cocina y en manualidades")</f>
        <v>soy bueno en la cocina y en manualidades</v>
      </c>
      <c r="X218" s="1" t="str">
        <f ca="1">IFERROR(__xludf.DUMMYFUNCTION("""COMPUTED_VALUE"""),"E. Me gusta el trabajo con niños, G. Soy más eficiente en el trabajo individual, H. Soy organizado (a), O. Puedo enseñar con facilidad")</f>
        <v>E. Me gusta el trabajo con niños, G. Soy más eficiente en el trabajo individual, H. Soy organizado (a), O. Puedo enseñar con facilidad</v>
      </c>
      <c r="Y218" s="1" t="str">
        <f ca="1">IFERROR(__xludf.DUMMYFUNCTION("""COMPUTED_VALUE"""),"eh venido en 2019 como niño, 2023,2024 en semana de jóvenes y este año en semana +18")</f>
        <v>eh venido en 2019 como niño, 2023,2024 en semana de jóvenes y este año en semana +18</v>
      </c>
      <c r="Z218" s="1"/>
    </row>
    <row r="219" spans="1:26" x14ac:dyDescent="0.35">
      <c r="A219" s="2">
        <f ca="1">IFERROR(__xludf.DUMMYFUNCTION("""COMPUTED_VALUE"""),45857.8880902777)</f>
        <v>45857.888090277702</v>
      </c>
      <c r="B219" s="1"/>
      <c r="C219" s="1" t="str">
        <f ca="1">IFERROR(__xludf.DUMMYFUNCTION("""COMPUTED_VALUE"""),"Brandon Yair, Gómez Florean")</f>
        <v>Brandon Yair, Gómez Florean</v>
      </c>
      <c r="D219" s="1">
        <f ca="1">IFERROR(__xludf.DUMMYFUNCTION("""COMPUTED_VALUE"""),28)</f>
        <v>28</v>
      </c>
      <c r="E219" s="1" t="str">
        <f ca="1">IFERROR(__xludf.DUMMYFUNCTION("""COMPUTED_VALUE"""),"Hombre")</f>
        <v>Hombre</v>
      </c>
      <c r="F219" s="1" t="str">
        <f ca="1">IFERROR(__xludf.DUMMYFUNCTION("""COMPUTED_VALUE"""),"Mexico, Mexico")</f>
        <v>Mexico, Mexico</v>
      </c>
      <c r="G219" s="1" t="str">
        <f ca="1">IFERROR(__xludf.DUMMYFUNCTION("""COMPUTED_VALUE"""),"bgomezflorean@gmail.com")</f>
        <v>bgomezflorean@gmail.com</v>
      </c>
      <c r="H219" s="1">
        <f ca="1">IFERROR(__xludf.DUMMYFUNCTION("""COMPUTED_VALUE"""),525586168303)</f>
        <v>525586168303</v>
      </c>
      <c r="I219" s="1" t="str">
        <f ca="1">IFERROR(__xludf.DUMMYFUNCTION("""COMPUTED_VALUE"""),"Semana de niños y niñas (21-25) Julio, Jóvenes de 13 – 17 años / SEM1/ (28 Julio a 02 de agosto)")</f>
        <v>Semana de niños y niñas (21-25) Julio, Jóvenes de 13 – 17 años / SEM1/ (28 Julio a 02 de agosto)</v>
      </c>
      <c r="J219" s="1" t="str">
        <f ca="1">IFERROR(__xludf.DUMMYFUNCTION("""COMPUTED_VALUE"""),"Conociendo la voluntad de Dios")</f>
        <v>Conociendo la voluntad de Dios</v>
      </c>
      <c r="K219" s="1" t="str">
        <f ca="1">IFERROR(__xludf.DUMMYFUNCTION("""COMPUTED_VALUE"""),"Vida nueva para el mundo Qro")</f>
        <v>Vida nueva para el mundo Qro</v>
      </c>
      <c r="L219" s="1" t="str">
        <f ca="1">IFERROR(__xludf.DUMMYFUNCTION("""COMPUTED_VALUE"""),"Christian Alan Alducin")</f>
        <v>Christian Alan Alducin</v>
      </c>
      <c r="M219" s="1">
        <f ca="1">IFERROR(__xludf.DUMMYFUNCTION("""COMPUTED_VALUE"""),524426693899)</f>
        <v>524426693899</v>
      </c>
      <c r="N219" s="1" t="str">
        <f ca="1">IFERROR(__xludf.DUMMYFUNCTION("""COMPUTED_VALUE"""),"chrisalduciin@gmail.com")</f>
        <v>chrisalduciin@gmail.com</v>
      </c>
      <c r="O219" s="1" t="str">
        <f ca="1">IFERROR(__xludf.DUMMYFUNCTION("""COMPUTED_VALUE"""),"Jóvenes parte del liderazgo")</f>
        <v>Jóvenes parte del liderazgo</v>
      </c>
      <c r="P219" s="1" t="str">
        <f ca="1">IFERROR(__xludf.DUMMYFUNCTION("""COMPUTED_VALUE"""),"A la edad de 20 años le entregué mi vida a mi señor Jesús ,reconocí que sin él estaba perdido y que solo él podía salvarme de mis pecados ,creó fielmente que él me rescató y me liberó de todos mis pecados y que ahora soy su hijo .")</f>
        <v>A la edad de 20 años le entregué mi vida a mi señor Jesús ,reconocí que sin él estaba perdido y que solo él podía salvarme de mis pecados ,creó fielmente que él me rescató y me liberó de todos mis pecados y que ahora soy su hijo .</v>
      </c>
      <c r="Q219" s="1" t="str">
        <f ca="1">IFERROR(__xludf.DUMMYFUNCTION("""COMPUTED_VALUE"""),"Y es un privilegio servir")</f>
        <v>Y es un privilegio servir</v>
      </c>
      <c r="R219" s="1" t="str">
        <f ca="1">IFERROR(__xludf.DUMMYFUNCTION("""COMPUTED_VALUE"""),"Si")</f>
        <v>Si</v>
      </c>
      <c r="S219" s="1" t="str">
        <f ca="1">IFERROR(__xludf.DUMMYFUNCTION("""COMPUTED_VALUE"""),"Gym")</f>
        <v>Gym</v>
      </c>
      <c r="T219" s="1" t="str">
        <f ca="1">IFERROR(__xludf.DUMMYFUNCTION("""COMPUTED_VALUE"""),"No")</f>
        <v>No</v>
      </c>
      <c r="U219" s="1"/>
      <c r="V219" s="1" t="str">
        <f ca="1">IFERROR(__xludf.DUMMYFUNCTION("""COMPUTED_VALUE"""),"Trabajo")</f>
        <v>Trabajo</v>
      </c>
      <c r="W219" s="1" t="str">
        <f ca="1">IFERROR(__xludf.DUMMYFUNCTION("""COMPUTED_VALUE"""),"Detallado de autos")</f>
        <v>Detallado de autos</v>
      </c>
      <c r="X219" s="1" t="str">
        <f ca="1">IFERROR(__xludf.DUMMYFUNCTION("""COMPUTED_VALUE"""),"A. Soy un discipulador activo, B. Me gusta animar a las personas, C. Suelo buscar que el trabajo se realice en equipo, D. Me gustan los deportes")</f>
        <v>A. Soy un discipulador activo, B. Me gusta animar a las personas, C. Suelo buscar que el trabajo se realice en equipo, D. Me gustan los deportes</v>
      </c>
      <c r="Y219" s="1" t="str">
        <f ca="1">IFERROR(__xludf.DUMMYFUNCTION("""COMPUTED_VALUE"""),"Si")</f>
        <v>Si</v>
      </c>
      <c r="Z219" s="1"/>
    </row>
    <row r="220" spans="1:26" x14ac:dyDescent="0.35">
      <c r="A220" s="2">
        <f ca="1">IFERROR(__xludf.DUMMYFUNCTION("""COMPUTED_VALUE"""),45857.9068171296)</f>
        <v>45857.906817129602</v>
      </c>
      <c r="B220" s="1"/>
      <c r="C220" s="1" t="str">
        <f ca="1">IFERROR(__xludf.DUMMYFUNCTION("""COMPUTED_VALUE"""),"Danna Naomi, Peasland Guadarrama")</f>
        <v>Danna Naomi, Peasland Guadarrama</v>
      </c>
      <c r="D220" s="1">
        <f ca="1">IFERROR(__xludf.DUMMYFUNCTION("""COMPUTED_VALUE"""),19)</f>
        <v>19</v>
      </c>
      <c r="E220" s="1" t="str">
        <f ca="1">IFERROR(__xludf.DUMMYFUNCTION("""COMPUTED_VALUE"""),"Mujer")</f>
        <v>Mujer</v>
      </c>
      <c r="F220" s="1" t="str">
        <f ca="1">IFERROR(__xludf.DUMMYFUNCTION("""COMPUTED_VALUE"""),"Guanajuato, Mexico")</f>
        <v>Guanajuato, Mexico</v>
      </c>
      <c r="G220" s="1" t="str">
        <f ca="1">IFERROR(__xludf.DUMMYFUNCTION("""COMPUTED_VALUE"""),"dannapeasland@gmail.com")</f>
        <v>dannapeasland@gmail.com</v>
      </c>
      <c r="H220" s="1">
        <f ca="1">IFERROR(__xludf.DUMMYFUNCTION("""COMPUTED_VALUE"""),524613303628)</f>
        <v>524613303628</v>
      </c>
      <c r="I220" s="1" t="str">
        <f ca="1">IFERROR(__xludf.DUMMYFUNCTION("""COMPUTED_VALUE"""),"Jóvenes de 13 – 17 años / SEM1/ (28 Julio a 02 de agosto), Jóvenes de 13 – 17 años / SEM2/ (4 - 09 agosto), Jóvenes de 13 – 17 años / SEM3/ (11 - 16 agosto)")</f>
        <v>Jóvenes de 13 – 17 años / SEM1/ (28 Julio a 02 de agosto), Jóvenes de 13 – 17 años / SEM2/ (4 - 09 agosto), Jóvenes de 13 – 17 años / SEM3/ (11 - 16 agosto)</v>
      </c>
      <c r="J220" s="1" t="str">
        <f ca="1">IFERROR(__xludf.DUMMYFUNCTION("""COMPUTED_VALUE"""),"Biblia, nuevo testamento")</f>
        <v>Biblia, nuevo testamento</v>
      </c>
      <c r="K220" s="1" t="str">
        <f ca="1">IFERROR(__xludf.DUMMYFUNCTION("""COMPUTED_VALUE"""),"Iglesia Cristiana Bíblica de Celaya")</f>
        <v>Iglesia Cristiana Bíblica de Celaya</v>
      </c>
      <c r="L220" s="1" t="str">
        <f ca="1">IFERROR(__xludf.DUMMYFUNCTION("""COMPUTED_VALUE"""),"Daniel Peasland Alcántara")</f>
        <v>Daniel Peasland Alcántara</v>
      </c>
      <c r="M220" s="1">
        <f ca="1">IFERROR(__xludf.DUMMYFUNCTION("""COMPUTED_VALUE"""),524613303628)</f>
        <v>524613303628</v>
      </c>
      <c r="N220" s="1" t="str">
        <f ca="1">IFERROR(__xludf.DUMMYFUNCTION("""COMPUTED_VALUE"""),"danielpeasland@outlook.com")</f>
        <v>danielpeasland@outlook.com</v>
      </c>
      <c r="O220" s="1" t="str">
        <f ca="1">IFERROR(__xludf.DUMMYFUNCTION("""COMPUTED_VALUE"""),"Librería, multimedia, dirigir estudio y tiempo de oración en la reunión de chicas, actividades en la reunión de jóvenes.")</f>
        <v>Librería, multimedia, dirigir estudio y tiempo de oración en la reunión de chicas, actividades en la reunión de jóvenes.</v>
      </c>
      <c r="P220" s="1" t="str">
        <f ca="1">IFERROR(__xludf.DUMMYFUNCTION("""COMPUTED_VALUE"""),"Crecí en una familia cristiana. A los 7 años, el Señor me alcanzó en su gracia. Estaba en mi casa con mis papás y comprendí el Evangelio, que era pecadora, y necesitaba salvación, hice una oración pidiéndole perdón, que me limpiara y salvara.
Fui creyente"&amp;" tibia varios años; no tenía una vida consagrada y devota al Señor de corazón. Empecé a alejarme del Señor, cayendo en un pecado cada vez más fuerte…querer encontrar mi valor fuera de Él, en cómo me veía físicamente, buscando mi valor e identidad en cosas"&amp;" vanas y pasajeras.
Pero sé que el Señor permitió eso para volver a enamorarme y regresar a Él. Un día, a la edad de 14 años, Dios, en su misericordia, me mostró mi pecado y me quebrantó. Llorando y orando, le pedí perdón y le pedí que rompiera esa cadena"&amp;" de pecado que me estaba alejando de crecer en santificación y conocerle más.
Clamé al Señor y me rescató de haber tocado fondo,  Dios rompió esa cadena en mi vida que yo sabía que me estaba alejando de crecer en mi relación con Él. Me recordó que mi iden"&amp;"tidad está en Él y que soy valiosa a sus ojos y eso llena mi corazón, y lo sigue haciendo cada día.
Desde ese día decidí tomar la decisión de vivir una vida entregada a su servicio y su voluntad, realmente de corazón. Él sigue trabajando en mi vida y en m"&amp;"i corazón cada día. Mi deleite, esperanza y gozo es Cristo. Cada día sé y es una necesidad el volver a la cruz y recordar quién soy en el Padre… soy amada, soy salva, soy acepta y soy su hija, y Él me recuerda la verdad en su Palabra. 
Me extiende su grac"&amp;"ia, amor y misericordia todos los días, y mi deseo es vivir cada día de mi vida en obediencia a su Palabra y su voluntad, para alabanza de la gloria de su gracia.")</f>
        <v>Crecí en una familia cristiana. A los 7 años, el Señor me alcanzó en su gracia. Estaba en mi casa con mis papás y comprendí el Evangelio, que era pecadora, y necesitaba salvación, hice una oración pidiéndole perdón, que me limpiara y salvara.
Fui creyente tibia varios años; no tenía una vida consagrada y devota al Señor de corazón. Empecé a alejarme del Señor, cayendo en un pecado cada vez más fuerte…querer encontrar mi valor fuera de Él, en cómo me veía físicamente, buscando mi valor e identidad en cosas vanas y pasajeras.
Pero sé que el Señor permitió eso para volver a enamorarme y regresar a Él. Un día, a la edad de 14 años, Dios, en su misericordia, me mostró mi pecado y me quebrantó. Llorando y orando, le pedí perdón y le pedí que rompiera esa cadena de pecado que me estaba alejando de crecer en santificación y conocerle más.
Clamé al Señor y me rescató de haber tocado fondo,  Dios rompió esa cadena en mi vida que yo sabía que me estaba alejando de crecer en mi relación con Él. Me recordó que mi identidad está en Él y que soy valiosa a sus ojos y eso llena mi corazón, y lo sigue haciendo cada día.
Desde ese día decidí tomar la decisión de vivir una vida entregada a su servicio y su voluntad, realmente de corazón. Él sigue trabajando en mi vida y en mi corazón cada día. Mi deleite, esperanza y gozo es Cristo. Cada día sé y es una necesidad el volver a la cruz y recordar quién soy en el Padre… soy amada, soy salva, soy acepta y soy su hija, y Él me recuerda la verdad en su Palabra. 
Me extiende su gracia, amor y misericordia todos los días, y mi deseo es vivir cada día de mi vida en obediencia a su Palabra y su voluntad, para alabanza de la gloria de su gracia.</v>
      </c>
      <c r="Q220" s="1" t="str">
        <f ca="1">IFERROR(__xludf.DUMMYFUNCTION("""COMPUTED_VALUE"""),"Porque amo a Dios y quiero obedecerle, he tenido el deseo en mi corazón de hacerlo desde el año pasado y sé que no nace de mi, es un deseo que Dios pone en mi, palabra de vida ha sido parte de mi vida desde chiquita, sé que es un lugar que Dios usa y ha p"&amp;"uesto corazones devotos y entregados al Padre que buscan proclamar el Evangelio en esta temporada de campas, y me encanta lo que Dios hace en este lugar a través de hermanos que aman al Señor, todos unidos por una misma fe y gracia, entregarle mi vida y t"&amp;"iempo para su reino y sumarme a esta obra tan hermosa de lo que realmente importa…de lo eterno y poder ser un instrumento para mostrar el amor, gracia y misericordia de Dios. es un deseo que ha estado en mi corazón todo el año, tuve la oportunidad de serv"&amp;"ir hace 2 años y me encantó, me encanta ver la obra del Espíritu en los corazones y sé que aunque no soy indispensable para el Señor, quiero ofrecer mis servicios a su obra y dejarme usar por Él en el área que se necesite y Él guíe.")</f>
        <v>Porque amo a Dios y quiero obedecerle, he tenido el deseo en mi corazón de hacerlo desde el año pasado y sé que no nace de mi, es un deseo que Dios pone en mi, palabra de vida ha sido parte de mi vida desde chiquita, sé que es un lugar que Dios usa y ha puesto corazones devotos y entregados al Padre que buscan proclamar el Evangelio en esta temporada de campas, y me encanta lo que Dios hace en este lugar a través de hermanos que aman al Señor, todos unidos por una misma fe y gracia, entregarle mi vida y tiempo para su reino y sumarme a esta obra tan hermosa de lo que realmente importa…de lo eterno y poder ser un instrumento para mostrar el amor, gracia y misericordia de Dios. es un deseo que ha estado en mi corazón todo el año, tuve la oportunidad de servir hace 2 años y me encantó, me encanta ver la obra del Espíritu en los corazones y sé que aunque no soy indispensable para el Señor, quiero ofrecer mis servicios a su obra y dejarme usar por Él en el área que se necesite y Él guíe.</v>
      </c>
      <c r="R220" s="1" t="str">
        <f ca="1">IFERROR(__xludf.DUMMYFUNCTION("""COMPUTED_VALUE"""),"Si")</f>
        <v>Si</v>
      </c>
      <c r="S220" s="1" t="str">
        <f ca="1">IFERROR(__xludf.DUMMYFUNCTION("""COMPUTED_VALUE"""),"Ahorita corro, pero juego futbol y volley")</f>
        <v>Ahorita corro, pero juego futbol y volley</v>
      </c>
      <c r="T220" s="1" t="str">
        <f ca="1">IFERROR(__xludf.DUMMYFUNCTION("""COMPUTED_VALUE"""),"No")</f>
        <v>No</v>
      </c>
      <c r="U220" s="1"/>
      <c r="V220" s="1" t="str">
        <f ca="1">IFERROR(__xludf.DUMMYFUNCTION("""COMPUTED_VALUE"""),"Terminé la prepa y entro en Septiembre primero Dios a la universidad a la carrera de derecho")</f>
        <v>Terminé la prepa y entro en Septiembre primero Dios a la universidad a la carrera de derecho</v>
      </c>
      <c r="W220" s="1" t="str">
        <f ca="1">IFERROR(__xludf.DUMMYFUNCTION("""COMPUTED_VALUE"""),"Hago y vendo postres (panadería y pastelería) y me gusta cocinar, disfruto mucho estar con niños, manualidades, bailar, cantar y actuar, me gusta correr, jugar fútbol, volley.")</f>
        <v>Hago y vendo postres (panadería y pastelería) y me gusta cocinar, disfruto mucho estar con niños, manualidades, bailar, cantar y actuar, me gusta correr, jugar fútbol, volley.</v>
      </c>
      <c r="X220" s="1" t="str">
        <f ca="1">IFERROR(__xludf.DUMMYFUNCTION("""COMPUTED_VALUE"""),"B. Me gusta animar a las personas, D. Me gustan los deportes, E. Me gusta el trabajo con niños, G. Soy más eficiente en el trabajo individual, J. Me gusta la atención a las personas, K. Soy creativo (a), L. Soy bueno (a) en canto o algún instrumento, N. S"&amp;"uelo llevar el liderazgo en un grupo")</f>
        <v>B. Me gusta animar a las personas, D. Me gustan los deportes, E. Me gusta el trabajo con niños, G. Soy más eficiente en el trabajo individual, J. Me gusta la atención a las personas, K. Soy creativo (a), L. Soy bueno (a) en canto o algún instrumento, N. Suelo llevar el liderazgo en un grupo</v>
      </c>
      <c r="Y220" s="1" t="str">
        <f ca="1">IFERROR(__xludf.DUMMYFUNCTION("""COMPUTED_VALUE"""),"Si, he venido desde 2016 si no mal recuerdo fue mi primer año, de ahí he venido 8-9 veces")</f>
        <v>Si, he venido desde 2016 si no mal recuerdo fue mi primer año, de ahí he venido 8-9 veces</v>
      </c>
      <c r="Z220" s="1"/>
    </row>
    <row r="221" spans="1:26" x14ac:dyDescent="0.35">
      <c r="A221" s="2">
        <f ca="1">IFERROR(__xludf.DUMMYFUNCTION("""COMPUTED_VALUE"""),45858.6353703703)</f>
        <v>45858.635370370299</v>
      </c>
      <c r="B221" s="1"/>
      <c r="C221" s="1" t="str">
        <f ca="1">IFERROR(__xludf.DUMMYFUNCTION("""COMPUTED_VALUE"""),"Ethan Gadiel, Aguirre López")</f>
        <v>Ethan Gadiel, Aguirre López</v>
      </c>
      <c r="D221" s="1">
        <f ca="1">IFERROR(__xludf.DUMMYFUNCTION("""COMPUTED_VALUE"""),19)</f>
        <v>19</v>
      </c>
      <c r="E221" s="1" t="str">
        <f ca="1">IFERROR(__xludf.DUMMYFUNCTION("""COMPUTED_VALUE"""),"Hombre")</f>
        <v>Hombre</v>
      </c>
      <c r="F221" s="1" t="str">
        <f ca="1">IFERROR(__xludf.DUMMYFUNCTION("""COMPUTED_VALUE"""),"Hidalgo, Mexico")</f>
        <v>Hidalgo, Mexico</v>
      </c>
      <c r="G221" s="1" t="str">
        <f ca="1">IFERROR(__xludf.DUMMYFUNCTION("""COMPUTED_VALUE"""),"ethanlopez208712@gmail.com")</f>
        <v>ethanlopez208712@gmail.com</v>
      </c>
      <c r="H221" s="1">
        <f ca="1">IFERROR(__xludf.DUMMYFUNCTION("""COMPUTED_VALUE"""),527712650080)</f>
        <v>527712650080</v>
      </c>
      <c r="I221" s="1" t="str">
        <f ca="1">IFERROR(__xludf.DUMMYFUNCTION("""COMPUTED_VALUE"""),"Semana de niños y niñas (21-25) Julio, Jóvenes de 13 – 17 años / SEM1/ (28 Julio a 02 de agosto), Jóvenes de 13 – 17 años / SEM2/ (4 - 09 agosto)")</f>
        <v>Semana de niños y niñas (21-25) Julio, Jóvenes de 13 – 17 años / SEM1/ (28 Julio a 02 de agosto), Jóvenes de 13 – 17 años / SEM2/ (4 - 09 agosto)</v>
      </c>
      <c r="J221" s="1" t="str">
        <f ca="1">IFERROR(__xludf.DUMMYFUNCTION("""COMPUTED_VALUE"""),"Hora de silencio")</f>
        <v>Hora de silencio</v>
      </c>
      <c r="K221" s="1" t="str">
        <f ca="1">IFERROR(__xludf.DUMMYFUNCTION("""COMPUTED_VALUE"""),"El Jubileo")</f>
        <v>El Jubileo</v>
      </c>
      <c r="L221" s="1" t="str">
        <f ca="1">IFERROR(__xludf.DUMMYFUNCTION("""COMPUTED_VALUE"""),"Luis Artemio López Camacho")</f>
        <v>Luis Artemio López Camacho</v>
      </c>
      <c r="M221" s="1">
        <f ca="1">IFERROR(__xludf.DUMMYFUNCTION("""COMPUTED_VALUE"""),527711366338)</f>
        <v>527711366338</v>
      </c>
      <c r="N221" s="1" t="str">
        <f ca="1">IFERROR(__xludf.DUMMYFUNCTION("""COMPUTED_VALUE"""),"luis.lopez.c@icloud.com")</f>
        <v>luis.lopez.c@icloud.com</v>
      </c>
      <c r="O221" s="1" t="str">
        <f ca="1">IFERROR(__xludf.DUMMYFUNCTION("""COMPUTED_VALUE"""),"Multimedia y suplente de maestro")</f>
        <v>Multimedia y suplente de maestro</v>
      </c>
      <c r="P221" s="1" t="str">
        <f ca="1">IFERROR(__xludf.DUMMYFUNCTION("""COMPUTED_VALUE"""),"Yo vengo de cuna cristiana, pero nunca había entendido lo que era que Dios estuviera en mi vida. Estuve viviendo en la iglesia de forma hipócrita, con un vacío en mi corazón hasta que llegó un momento en el que no pude luchar contra mi mismo y entendí que"&amp;" solo Dios podía llenar ese vacío emocional y espiritual que sentía en mi vida.")</f>
        <v>Yo vengo de cuna cristiana, pero nunca había entendido lo que era que Dios estuviera en mi vida. Estuve viviendo en la iglesia de forma hipócrita, con un vacío en mi corazón hasta que llegó un momento en el que no pude luchar contra mi mismo y entendí que solo Dios podía llenar ese vacío emocional y espiritual que sentía en mi vida.</v>
      </c>
      <c r="Q221" s="1" t="str">
        <f ca="1">IFERROR(__xludf.DUMMYFUNCTION("""COMPUTED_VALUE"""),"Estuve en la semana de jóvenes +18 aconsejado por Kevin, y fue por lo que viví que entendí que me tocaba servir.")</f>
        <v>Estuve en la semana de jóvenes +18 aconsejado por Kevin, y fue por lo que viví que entendí que me tocaba servir.</v>
      </c>
      <c r="R221" s="1" t="str">
        <f ca="1">IFERROR(__xludf.DUMMYFUNCTION("""COMPUTED_VALUE"""),"No")</f>
        <v>No</v>
      </c>
      <c r="S221" s="1"/>
      <c r="T221" s="1" t="str">
        <f ca="1">IFERROR(__xludf.DUMMYFUNCTION("""COMPUTED_VALUE"""),"No")</f>
        <v>No</v>
      </c>
      <c r="U221" s="1"/>
      <c r="V221" s="1" t="str">
        <f ca="1">IFERROR(__xludf.DUMMYFUNCTION("""COMPUTED_VALUE"""),"Ingeniería Mecatronica")</f>
        <v>Ingeniería Mecatronica</v>
      </c>
      <c r="W221" s="1" t="str">
        <f ca="1">IFERROR(__xludf.DUMMYFUNCTION("""COMPUTED_VALUE"""),"Deportes, liderazgo")</f>
        <v>Deportes, liderazgo</v>
      </c>
      <c r="X221" s="1" t="str">
        <f ca="1">IFERROR(__xludf.DUMMYFUNCTION("""COMPUTED_VALUE"""),"A. Soy un discipulador activo, C. Suelo buscar que el trabajo se realice en equipo, D. Me gustan los deportes, I. Se me facilita el trabajo físico, J. Me gusta la atención a las personas, M. Soy bueno (a) con los números, N. Suelo llevar el liderazgo en u"&amp;"n grupo")</f>
        <v>A. Soy un discipulador activo, C. Suelo buscar que el trabajo se realice en equipo, D. Me gustan los deportes, I. Se me facilita el trabajo físico, J. Me gusta la atención a las personas, M. Soy bueno (a) con los números, N. Suelo llevar el liderazgo en un grupo</v>
      </c>
      <c r="Y221" s="1" t="str">
        <f ca="1">IFERROR(__xludf.DUMMYFUNCTION("""COMPUTED_VALUE"""),"Semana 18+ 2025")</f>
        <v>Semana 18+ 2025</v>
      </c>
      <c r="Z221" s="1"/>
    </row>
    <row r="222" spans="1:26" x14ac:dyDescent="0.35">
      <c r="A222" s="2">
        <f ca="1">IFERROR(__xludf.DUMMYFUNCTION("""COMPUTED_VALUE"""),45858.7063194444)</f>
        <v>45858.706319444398</v>
      </c>
      <c r="B222" s="1"/>
      <c r="C222" s="1" t="str">
        <f ca="1">IFERROR(__xludf.DUMMYFUNCTION("""COMPUTED_VALUE"""),"Franco, Torres")</f>
        <v>Franco, Torres</v>
      </c>
      <c r="D222" s="1">
        <f ca="1">IFERROR(__xludf.DUMMYFUNCTION("""COMPUTED_VALUE"""),15)</f>
        <v>15</v>
      </c>
      <c r="E222" s="1" t="str">
        <f ca="1">IFERROR(__xludf.DUMMYFUNCTION("""COMPUTED_VALUE"""),"Hombre")</f>
        <v>Hombre</v>
      </c>
      <c r="F222" s="1" t="str">
        <f ca="1">IFERROR(__xludf.DUMMYFUNCTION("""COMPUTED_VALUE"""),"Queretaro, Mexico")</f>
        <v>Queretaro, Mexico</v>
      </c>
      <c r="G222" s="1" t="str">
        <f ca="1">IFERROR(__xludf.DUMMYFUNCTION("""COMPUTED_VALUE"""),"lirio.13@hotmail.com")</f>
        <v>lirio.13@hotmail.com</v>
      </c>
      <c r="H222" s="1">
        <f ca="1">IFERROR(__xludf.DUMMYFUNCTION("""COMPUTED_VALUE"""),524421414059)</f>
        <v>524421414059</v>
      </c>
      <c r="I222" s="1" t="str">
        <f ca="1">IFERROR(__xludf.DUMMYFUNCTION("""COMPUTED_VALUE"""),"Semana de niños y niñas (21-25) Julio")</f>
        <v>Semana de niños y niñas (21-25) Julio</v>
      </c>
      <c r="J222" s="1" t="str">
        <f ca="1">IFERROR(__xludf.DUMMYFUNCTION("""COMPUTED_VALUE"""),"Biblia")</f>
        <v>Biblia</v>
      </c>
      <c r="K222" s="1" t="str">
        <f ca="1">IFERROR(__xludf.DUMMYFUNCTION("""COMPUTED_VALUE"""),"Mr ministerios de Reconciliacion")</f>
        <v>Mr ministerios de Reconciliacion</v>
      </c>
      <c r="L222" s="1" t="str">
        <f ca="1">IFERROR(__xludf.DUMMYFUNCTION("""COMPUTED_VALUE"""),"Abel Sánchez")</f>
        <v>Abel Sánchez</v>
      </c>
      <c r="M222" s="1">
        <f ca="1">IFERROR(__xludf.DUMMYFUNCTION("""COMPUTED_VALUE"""),524422009595)</f>
        <v>524422009595</v>
      </c>
      <c r="N222" s="1" t="str">
        <f ca="1">IFERROR(__xludf.DUMMYFUNCTION("""COMPUTED_VALUE"""),"excelencia.familias@gmail.com")</f>
        <v>excelencia.familias@gmail.com</v>
      </c>
      <c r="O222" s="1" t="str">
        <f ca="1">IFERROR(__xludf.DUMMYFUNCTION("""COMPUTED_VALUE"""),"En la cafetería")</f>
        <v>En la cafetería</v>
      </c>
      <c r="P222" s="1" t="str">
        <f ca="1">IFERROR(__xludf.DUMMYFUNCTION("""COMPUTED_VALUE"""),"En un campamento 2017 con mi consejero Cristian")</f>
        <v>En un campamento 2017 con mi consejero Cristian</v>
      </c>
      <c r="Q222" s="1" t="str">
        <f ca="1">IFERROR(__xludf.DUMMYFUNCTION("""COMPUTED_VALUE"""),"Para ayudar en lo que pueda")</f>
        <v>Para ayudar en lo que pueda</v>
      </c>
      <c r="R222" s="1" t="str">
        <f ca="1">IFERROR(__xludf.DUMMYFUNCTION("""COMPUTED_VALUE"""),"Si")</f>
        <v>Si</v>
      </c>
      <c r="S222" s="1" t="str">
        <f ca="1">IFERROR(__xludf.DUMMYFUNCTION("""COMPUTED_VALUE"""),"Futbol / esgrima/")</f>
        <v>Futbol / esgrima/</v>
      </c>
      <c r="T222" s="1" t="str">
        <f ca="1">IFERROR(__xludf.DUMMYFUNCTION("""COMPUTED_VALUE"""),"No")</f>
        <v>No</v>
      </c>
      <c r="U222" s="1"/>
      <c r="V222" s="1" t="str">
        <f ca="1">IFERROR(__xludf.DUMMYFUNCTION("""COMPUTED_VALUE"""),"Secundaria")</f>
        <v>Secundaria</v>
      </c>
      <c r="W222" s="1" t="str">
        <f ca="1">IFERROR(__xludf.DUMMYFUNCTION("""COMPUTED_VALUE"""),"Liderazgo y servicio")</f>
        <v>Liderazgo y servicio</v>
      </c>
      <c r="X222" s="1" t="str">
        <f ca="1">IFERROR(__xludf.DUMMYFUNCTION("""COMPUTED_VALUE"""),"B. Me gusta animar a las personas, C. Suelo buscar que el trabajo se realice en equipo, D. Me gustan los deportes, E. Me gusta el trabajo con niños, H. Soy organizado (a), I. Se me facilita el trabajo físico, K. Soy creativo (a), N. Suelo llevar el lidera"&amp;"zgo en un grupo, O. Puedo enseñar con facilidad")</f>
        <v>B. Me gusta animar a las personas, C. Suelo buscar que el trabajo se realice en equipo, D. Me gustan los deportes, E. Me gusta el trabajo con niños, H. Soy organizado (a), I. Se me facilita el trabajo físico, K. Soy creativo (a), N. Suelo llevar el liderazgo en un grupo, O. Puedo enseñar con facilidad</v>
      </c>
      <c r="Y222" s="1" t="str">
        <f ca="1">IFERROR(__xludf.DUMMYFUNCTION("""COMPUTED_VALUE"""),"Desde 2017")</f>
        <v>Desde 2017</v>
      </c>
      <c r="Z222" s="1"/>
    </row>
    <row r="223" spans="1:26" x14ac:dyDescent="0.35">
      <c r="A223" s="2">
        <f ca="1">IFERROR(__xludf.DUMMYFUNCTION("""COMPUTED_VALUE"""),45859.3235069444)</f>
        <v>45859.323506944398</v>
      </c>
      <c r="B223" s="1"/>
      <c r="C223" s="1" t="str">
        <f ca="1">IFERROR(__xludf.DUMMYFUNCTION("""COMPUTED_VALUE"""),"Ulises, Camacho")</f>
        <v>Ulises, Camacho</v>
      </c>
      <c r="D223" s="1">
        <f ca="1">IFERROR(__xludf.DUMMYFUNCTION("""COMPUTED_VALUE"""),18)</f>
        <v>18</v>
      </c>
      <c r="E223" s="1" t="str">
        <f ca="1">IFERROR(__xludf.DUMMYFUNCTION("""COMPUTED_VALUE"""),"Hombre")</f>
        <v>Hombre</v>
      </c>
      <c r="F223" s="1" t="str">
        <f ca="1">IFERROR(__xludf.DUMMYFUNCTION("""COMPUTED_VALUE"""),"Puebla, Mexico")</f>
        <v>Puebla, Mexico</v>
      </c>
      <c r="G223" s="1" t="str">
        <f ca="1">IFERROR(__xludf.DUMMYFUNCTION("""COMPUTED_VALUE"""),"Ulisescamacho237@gmail.com")</f>
        <v>Ulisescamacho237@gmail.com</v>
      </c>
      <c r="H223" s="1">
        <f ca="1">IFERROR(__xludf.DUMMYFUNCTION("""COMPUTED_VALUE"""),527351429603)</f>
        <v>527351429603</v>
      </c>
      <c r="I223" s="1" t="str">
        <f ca="1">IFERROR(__xludf.DUMMYFUNCTION("""COMPUTED_VALUE"""),"Semana de niños y niñas (21-25) Julio")</f>
        <v>Semana de niños y niñas (21-25) Julio</v>
      </c>
      <c r="J223" s="1" t="str">
        <f ca="1">IFERROR(__xludf.DUMMYFUNCTION("""COMPUTED_VALUE"""),"Mi papa siempre nos da uno que el hace en las noches")</f>
        <v>Mi papa siempre nos da uno que el hace en las noches</v>
      </c>
      <c r="K223" s="1" t="str">
        <f ca="1">IFERROR(__xludf.DUMMYFUNCTION("""COMPUTED_VALUE"""),"Amistad del Valle")</f>
        <v>Amistad del Valle</v>
      </c>
      <c r="L223" s="1" t="str">
        <f ca="1">IFERROR(__xludf.DUMMYFUNCTION("""COMPUTED_VALUE"""),"Israel Cmacho")</f>
        <v>Israel Cmacho</v>
      </c>
      <c r="M223" s="1">
        <f ca="1">IFERROR(__xludf.DUMMYFUNCTION("""COMPUTED_VALUE"""),529581247722)</f>
        <v>529581247722</v>
      </c>
      <c r="N223" s="1" t="str">
        <f ca="1">IFERROR(__xludf.DUMMYFUNCTION("""COMPUTED_VALUE"""),"israelcamacho.0307@gmail.com")</f>
        <v>israelcamacho.0307@gmail.com</v>
      </c>
      <c r="O223" s="1" t="str">
        <f ca="1">IFERROR(__xludf.DUMMYFUNCTION("""COMPUTED_VALUE"""),"Soy nuevo en esa iglesia así que aún andamos viendo")</f>
        <v>Soy nuevo en esa iglesia así que aún andamos viendo</v>
      </c>
      <c r="P223" s="1" t="str">
        <f ca="1">IFERROR(__xludf.DUMMYFUNCTION("""COMPUTED_VALUE"""),"Siempre he creído en lo que me da lógica pero uno de mis hermanos enfermo y al no poder hacer nada busque a Dios")</f>
        <v>Siempre he creído en lo que me da lógica pero uno de mis hermanos enfermo y al no poder hacer nada busque a Dios</v>
      </c>
      <c r="Q223" s="1" t="str">
        <f ca="1">IFERROR(__xludf.DUMMYFUNCTION("""COMPUTED_VALUE"""),"Porque estuve ayudando en mi semana de campista y megusto")</f>
        <v>Porque estuve ayudando en mi semana de campista y megusto</v>
      </c>
      <c r="R223" s="1" t="str">
        <f ca="1">IFERROR(__xludf.DUMMYFUNCTION("""COMPUTED_VALUE"""),"No")</f>
        <v>No</v>
      </c>
      <c r="S223" s="1"/>
      <c r="T223" s="1" t="str">
        <f ca="1">IFERROR(__xludf.DUMMYFUNCTION("""COMPUTED_VALUE"""),"No")</f>
        <v>No</v>
      </c>
      <c r="U223" s="1"/>
      <c r="V223" s="1" t="str">
        <f ca="1">IFERROR(__xludf.DUMMYFUNCTION("""COMPUTED_VALUE"""),"Acabo de terminar la prepa")</f>
        <v>Acabo de terminar la prepa</v>
      </c>
      <c r="W223" s="1" t="str">
        <f ca="1">IFERROR(__xludf.DUMMYFUNCTION("""COMPUTED_VALUE"""),"Me dedico al ramo inmobiliario y trabaje en una tienda de ropa como cajero o admirador de la mercancía")</f>
        <v>Me dedico al ramo inmobiliario y trabaje en una tienda de ropa como cajero o admirador de la mercancía</v>
      </c>
      <c r="X223" s="1" t="str">
        <f ca="1">IFERROR(__xludf.DUMMYFUNCTION("""COMPUTED_VALUE"""),"C. Suelo buscar que el trabajo se realice en equipo")</f>
        <v>C. Suelo buscar que el trabajo se realice en equipo</v>
      </c>
      <c r="Y223" s="1" t="str">
        <f ca="1">IFERROR(__xludf.DUMMYFUNCTION("""COMPUTED_VALUE"""),"Vine en la 2020 y el años pasado y este")</f>
        <v>Vine en la 2020 y el años pasado y este</v>
      </c>
      <c r="Z223" s="1"/>
    </row>
    <row r="224" spans="1:26" x14ac:dyDescent="0.35">
      <c r="A224" s="2">
        <f ca="1">IFERROR(__xludf.DUMMYFUNCTION("""COMPUTED_VALUE"""),45860.7776388888)</f>
        <v>45860.777638888801</v>
      </c>
      <c r="B224" s="1"/>
      <c r="C224" s="1" t="str">
        <f ca="1">IFERROR(__xludf.DUMMYFUNCTION("""COMPUTED_VALUE"""),"Abdiel, Mendez")</f>
        <v>Abdiel, Mendez</v>
      </c>
      <c r="D224" s="1">
        <f ca="1">IFERROR(__xludf.DUMMYFUNCTION("""COMPUTED_VALUE"""),17)</f>
        <v>17</v>
      </c>
      <c r="E224" s="1" t="str">
        <f ca="1">IFERROR(__xludf.DUMMYFUNCTION("""COMPUTED_VALUE"""),"Hombre")</f>
        <v>Hombre</v>
      </c>
      <c r="F224" s="1" t="str">
        <f ca="1">IFERROR(__xludf.DUMMYFUNCTION("""COMPUTED_VALUE"""),"Campeche, Mexico")</f>
        <v>Campeche, Mexico</v>
      </c>
      <c r="G224" s="1" t="str">
        <f ca="1">IFERROR(__xludf.DUMMYFUNCTION("""COMPUTED_VALUE"""),"abdiel240617@gmail.com")</f>
        <v>abdiel240617@gmail.com</v>
      </c>
      <c r="H224" s="1">
        <f ca="1">IFERROR(__xludf.DUMMYFUNCTION("""COMPUTED_VALUE"""),529381808721)</f>
        <v>529381808721</v>
      </c>
      <c r="I224" s="1" t="str">
        <f ca="1">IFERROR(__xludf.DUMMYFUNCTION("""COMPUTED_VALUE"""),"Jóvenes de 13 – 17 años / SEM1/ (28 Julio a 02 de agosto), Jóvenes de 13 – 17 años / SEM2/ (4 - 09 agosto), Jóvenes de 13 – 17 años / SEM3/ (11 - 16 agosto)")</f>
        <v>Jóvenes de 13 – 17 años / SEM1/ (28 Julio a 02 de agosto), Jóvenes de 13 – 17 años / SEM2/ (4 - 09 agosto), Jóvenes de 13 – 17 años / SEM3/ (11 - 16 agosto)</v>
      </c>
      <c r="J224" s="1" t="str">
        <f ca="1">IFERROR(__xludf.DUMMYFUNCTION("""COMPUTED_VALUE"""),"Política y teología")</f>
        <v>Política y teología</v>
      </c>
      <c r="K224" s="1" t="str">
        <f ca="1">IFERROR(__xludf.DUMMYFUNCTION("""COMPUTED_VALUE"""),"Vida sociedad cultural")</f>
        <v>Vida sociedad cultural</v>
      </c>
      <c r="L224" s="1" t="str">
        <f ca="1">IFERROR(__xludf.DUMMYFUNCTION("""COMPUTED_VALUE"""),"J.natividad ramos")</f>
        <v>J.natividad ramos</v>
      </c>
      <c r="M224" s="1">
        <f ca="1">IFERROR(__xludf.DUMMYFUNCTION("""COMPUTED_VALUE"""),529381032007)</f>
        <v>529381032007</v>
      </c>
      <c r="N224" s="1" t="str">
        <f ca="1">IFERROR(__xludf.DUMMYFUNCTION("""COMPUTED_VALUE"""),"jnatividadramosg@gmail.com")</f>
        <v>jnatividadramosg@gmail.com</v>
      </c>
      <c r="O224" s="1" t="str">
        <f ca="1">IFERROR(__xludf.DUMMYFUNCTION("""COMPUTED_VALUE"""),"Colaborador de equipo de jóvenes")</f>
        <v>Colaborador de equipo de jóvenes</v>
      </c>
      <c r="P224" s="1" t="str">
        <f ca="1">IFERROR(__xludf.DUMMYFUNCTION("""COMPUTED_VALUE"""),"A base de una pérdida familia pues me aparte de la iglesia y cuando una persona hablo sobre la vida de Job y como él lo perdió todo, eso toco mi corazón y me hizo pensar de sí Job perdió todo y aún así fue fiel y pues yo que tengo todo que me cuesta segui"&amp;"r a Cristo, pues fue cuando entendí lo que realmente era la salvación")</f>
        <v>A base de una pérdida familia pues me aparte de la iglesia y cuando una persona hablo sobre la vida de Job y como él lo perdió todo, eso toco mi corazón y me hizo pensar de sí Job perdió todo y aún así fue fiel y pues yo que tengo todo que me cuesta seguir a Cristo, pues fue cuando entendí lo que realmente era la salvación</v>
      </c>
      <c r="Q224" s="1" t="str">
        <f ca="1">IFERROR(__xludf.DUMMYFUNCTION("""COMPUTED_VALUE"""),"Para capacitarme más y poder servir a Dios en cualquier área")</f>
        <v>Para capacitarme más y poder servir a Dios en cualquier área</v>
      </c>
      <c r="R224" s="1" t="str">
        <f ca="1">IFERROR(__xludf.DUMMYFUNCTION("""COMPUTED_VALUE"""),"Si")</f>
        <v>Si</v>
      </c>
      <c r="S224" s="1" t="str">
        <f ca="1">IFERROR(__xludf.DUMMYFUNCTION("""COMPUTED_VALUE"""),"Fútbol y voley")</f>
        <v>Fútbol y voley</v>
      </c>
      <c r="T224" s="1" t="str">
        <f ca="1">IFERROR(__xludf.DUMMYFUNCTION("""COMPUTED_VALUE"""),"Si")</f>
        <v>Si</v>
      </c>
      <c r="U224" s="1" t="str">
        <f ca="1">IFERROR(__xludf.DUMMYFUNCTION("""COMPUTED_VALUE"""),"Guitarra")</f>
        <v>Guitarra</v>
      </c>
      <c r="V224" s="1" t="str">
        <f ca="1">IFERROR(__xludf.DUMMYFUNCTION("""COMPUTED_VALUE"""),"La prepa")</f>
        <v>La prepa</v>
      </c>
      <c r="W224" s="1" t="str">
        <f ca="1">IFERROR(__xludf.DUMMYFUNCTION("""COMPUTED_VALUE"""),"Soy barista especializado en una cafetería")</f>
        <v>Soy barista especializado en una cafetería</v>
      </c>
      <c r="X224" s="1" t="str">
        <f ca="1">IFERROR(__xludf.DUMMYFUNCTION("""COMPUTED_VALUE"""),"A. Soy un discipulador activo, B. Me gusta animar a las personas, D. Me gustan los deportes, J. Me gusta la atención a las personas, L. Soy bueno (a) en canto o algún instrumento, M. Soy bueno (a) con los números, N. Suelo llevar el liderazgo en un grupo,"&amp;" O. Puedo enseñar con facilidad")</f>
        <v>A. Soy un discipulador activo, B. Me gusta animar a las personas, D. Me gustan los deportes, J. Me gusta la atención a las personas, L. Soy bueno (a) en canto o algún instrumento, M. Soy bueno (a) con los números, N. Suelo llevar el liderazgo en un grupo, O. Puedo enseñar con facilidad</v>
      </c>
      <c r="Y224" s="1" t="str">
        <f ca="1">IFERROR(__xludf.DUMMYFUNCTION("""COMPUTED_VALUE"""),"Si, 2023")</f>
        <v>Si, 2023</v>
      </c>
      <c r="Z224" s="1"/>
    </row>
    <row r="225" spans="1:26" x14ac:dyDescent="0.35">
      <c r="A225" s="2">
        <f ca="1">IFERROR(__xludf.DUMMYFUNCTION("""COMPUTED_VALUE"""),45861.7748842592)</f>
        <v>45861.774884259197</v>
      </c>
      <c r="B225" s="1"/>
      <c r="C225" s="1" t="str">
        <f ca="1">IFERROR(__xludf.DUMMYFUNCTION("""COMPUTED_VALUE"""),"Luz Maria, Ramirez Zuñiga")</f>
        <v>Luz Maria, Ramirez Zuñiga</v>
      </c>
      <c r="D225" s="1">
        <f ca="1">IFERROR(__xludf.DUMMYFUNCTION("""COMPUTED_VALUE"""),26)</f>
        <v>26</v>
      </c>
      <c r="E225" s="1" t="str">
        <f ca="1">IFERROR(__xludf.DUMMYFUNCTION("""COMPUTED_VALUE"""),"Mujer")</f>
        <v>Mujer</v>
      </c>
      <c r="F225" s="1" t="str">
        <f ca="1">IFERROR(__xludf.DUMMYFUNCTION("""COMPUTED_VALUE"""),"Mexico City, Mexico")</f>
        <v>Mexico City, Mexico</v>
      </c>
      <c r="G225" s="1" t="str">
        <f ca="1">IFERROR(__xludf.DUMMYFUNCTION("""COMPUTED_VALUE"""),"luzmarinss_21@hotmail.com")</f>
        <v>luzmarinss_21@hotmail.com</v>
      </c>
      <c r="H225" s="1">
        <f ca="1">IFERROR(__xludf.DUMMYFUNCTION("""COMPUTED_VALUE"""),525511959099)</f>
        <v>525511959099</v>
      </c>
      <c r="I225" s="1" t="str">
        <f ca="1">IFERROR(__xludf.DUMMYFUNCTION("""COMPUTED_VALUE"""),"Jóvenes de 13 – 17 años / SEM1/ (28 Julio a 02 de agosto)")</f>
        <v>Jóvenes de 13 – 17 años / SEM1/ (28 Julio a 02 de agosto)</v>
      </c>
      <c r="J225" s="1" t="str">
        <f ca="1">IFERROR(__xludf.DUMMYFUNCTION("""COMPUTED_VALUE"""),"En busca de Dios")</f>
        <v>En busca de Dios</v>
      </c>
      <c r="K225" s="1" t="str">
        <f ca="1">IFERROR(__xludf.DUMMYFUNCTION("""COMPUTED_VALUE"""),"Iglesia Cristiana Bautista de San Juan Ixtayopan")</f>
        <v>Iglesia Cristiana Bautista de San Juan Ixtayopan</v>
      </c>
      <c r="L225" s="1" t="str">
        <f ca="1">IFERROR(__xludf.DUMMYFUNCTION("""COMPUTED_VALUE"""),"Pedro Ramirez Perez")</f>
        <v>Pedro Ramirez Perez</v>
      </c>
      <c r="M225" s="1">
        <f ca="1">IFERROR(__xludf.DUMMYFUNCTION("""COMPUTED_VALUE"""),525535075750)</f>
        <v>525535075750</v>
      </c>
      <c r="N225" s="1" t="str">
        <f ca="1">IFERROR(__xludf.DUMMYFUNCTION("""COMPUTED_VALUE"""),"Pedroclasic@gmail.com")</f>
        <v>Pedroclasic@gmail.com</v>
      </c>
      <c r="O225" s="1" t="str">
        <f ca="1">IFERROR(__xludf.DUMMYFUNCTION("""COMPUTED_VALUE"""),"Estoy en el ministerio de alabanza, pastoreo de jovenes, club infantil de sábados")</f>
        <v>Estoy en el ministerio de alabanza, pastoreo de jovenes, club infantil de sábados</v>
      </c>
      <c r="P225" s="1" t="str">
        <f ca="1">IFERROR(__xludf.DUMMYFUNCTION("""COMPUTED_VALUE"""),"Yo era una chica que creía que no tenia ningún tipo de pecados, en 2017 asisti al campamento PDV y mi consejera me dijo que el decir palabras o chisme era un pecado como también el no perdonar, a mi me costaba perdonar a mi mama biológica hasta que conocí"&amp;" mas De Dios, decidí consagrar mi vida en el campamento, pero había cosas que aun seguía haciendo en mi vida, hasta que el 17 de abril decidí tener mi conversión realmente y me bautice, fue cuando realmente hice la voluntad De Dios en mi vida, ahora le si"&amp;"rvo y le sigo.")</f>
        <v>Yo era una chica que creía que no tenia ningún tipo de pecados, en 2017 asisti al campamento PDV y mi consejera me dijo que el decir palabras o chisme era un pecado como también el no perdonar, a mi me costaba perdonar a mi mama biológica hasta que conocí mas De Dios, decidí consagrar mi vida en el campamento, pero había cosas que aun seguía haciendo en mi vida, hasta que el 17 de abril decidí tener mi conversión realmente y me bautice, fue cuando realmente hice la voluntad De Dios en mi vida, ahora le sirvo y le sigo.</v>
      </c>
      <c r="Q225" s="1" t="str">
        <f ca="1">IFERROR(__xludf.DUMMYFUNCTION("""COMPUTED_VALUE"""),"Me gusta servir y poder ayudar en lo que pueda.")</f>
        <v>Me gusta servir y poder ayudar en lo que pueda.</v>
      </c>
      <c r="R225" s="1" t="str">
        <f ca="1">IFERROR(__xludf.DUMMYFUNCTION("""COMPUTED_VALUE"""),"No")</f>
        <v>No</v>
      </c>
      <c r="S225" s="1"/>
      <c r="T225" s="1" t="str">
        <f ca="1">IFERROR(__xludf.DUMMYFUNCTION("""COMPUTED_VALUE"""),"No")</f>
        <v>No</v>
      </c>
      <c r="U225" s="1"/>
      <c r="V225" s="1" t="str">
        <f ca="1">IFERROR(__xludf.DUMMYFUNCTION("""COMPUTED_VALUE"""),"ama de casa")</f>
        <v>ama de casa</v>
      </c>
      <c r="W225" s="1" t="str">
        <f ca="1">IFERROR(__xludf.DUMMYFUNCTION("""COMPUTED_VALUE"""),"Contadora Tecnica")</f>
        <v>Contadora Tecnica</v>
      </c>
      <c r="X225" s="1" t="str">
        <f ca="1">IFERROR(__xludf.DUMMYFUNCTION("""COMPUTED_VALUE"""),"B. Me gusta animar a las personas, E. Me gusta el trabajo con niños, H. Soy organizado (a), J. Me gusta la atención a las personas, K. Soy creativo (a), L. Soy bueno (a) en canto o algún instrumento, M. Soy bueno (a) con los números, N. Suelo llevar el li"&amp;"derazgo en un grupo, O. Puedo enseñar con facilidad")</f>
        <v>B. Me gusta animar a las personas, E. Me gusta el trabajo con niños, H. Soy organizado (a), J. Me gusta la atención a las personas, K. Soy creativo (a), L. Soy bueno (a) en canto o algún instrumento, M. Soy bueno (a) con los números, N. Suelo llevar el liderazgo en un grupo, O. Puedo enseñar con facilidad</v>
      </c>
      <c r="Y225" s="1" t="str">
        <f ca="1">IFERROR(__xludf.DUMMYFUNCTION("""COMPUTED_VALUE"""),"Si, en 2017")</f>
        <v>Si, en 2017</v>
      </c>
      <c r="Z225" s="1"/>
    </row>
    <row r="226" spans="1:26" x14ac:dyDescent="0.35">
      <c r="A226" s="2">
        <f ca="1">IFERROR(__xludf.DUMMYFUNCTION("""COMPUTED_VALUE"""),45861.9341319444)</f>
        <v>45861.934131944399</v>
      </c>
      <c r="B226" s="1"/>
      <c r="C226" s="1" t="str">
        <f ca="1">IFERROR(__xludf.DUMMYFUNCTION("""COMPUTED_VALUE"""),"Pablo, Ramirez Fraga")</f>
        <v>Pablo, Ramirez Fraga</v>
      </c>
      <c r="D226" s="1">
        <f ca="1">IFERROR(__xludf.DUMMYFUNCTION("""COMPUTED_VALUE"""),27)</f>
        <v>27</v>
      </c>
      <c r="E226" s="1" t="str">
        <f ca="1">IFERROR(__xludf.DUMMYFUNCTION("""COMPUTED_VALUE"""),"Hombre")</f>
        <v>Hombre</v>
      </c>
      <c r="F226" s="1" t="str">
        <f ca="1">IFERROR(__xludf.DUMMYFUNCTION("""COMPUTED_VALUE"""),"Mexico City, Mexico")</f>
        <v>Mexico City, Mexico</v>
      </c>
      <c r="G226" s="1" t="str">
        <f ca="1">IFERROR(__xludf.DUMMYFUNCTION("""COMPUTED_VALUE"""),"pabloramirezfraga@gmail.com")</f>
        <v>pabloramirezfraga@gmail.com</v>
      </c>
      <c r="H226" s="1">
        <f ca="1">IFERROR(__xludf.DUMMYFUNCTION("""COMPUTED_VALUE"""),525573311405)</f>
        <v>525573311405</v>
      </c>
      <c r="I226" s="1" t="str">
        <f ca="1">IFERROR(__xludf.DUMMYFUNCTION("""COMPUTED_VALUE"""),"Jóvenes de 13 – 17 años / SEM1/ (28 Julio a 02 de agosto)")</f>
        <v>Jóvenes de 13 – 17 años / SEM1/ (28 Julio a 02 de agosto)</v>
      </c>
      <c r="J226" s="1" t="str">
        <f ca="1">IFERROR(__xludf.DUMMYFUNCTION("""COMPUTED_VALUE"""),"Biblia")</f>
        <v>Biblia</v>
      </c>
      <c r="K226" s="1" t="str">
        <f ca="1">IFERROR(__xludf.DUMMYFUNCTION("""COMPUTED_VALUE"""),"Iglesia Cristiana Bautista de San Juan Ixtayopan")</f>
        <v>Iglesia Cristiana Bautista de San Juan Ixtayopan</v>
      </c>
      <c r="L226" s="1" t="str">
        <f ca="1">IFERROR(__xludf.DUMMYFUNCTION("""COMPUTED_VALUE"""),"Pedro Ramirez Perez")</f>
        <v>Pedro Ramirez Perez</v>
      </c>
      <c r="M226" s="1">
        <f ca="1">IFERROR(__xludf.DUMMYFUNCTION("""COMPUTED_VALUE"""),525535075750)</f>
        <v>525535075750</v>
      </c>
      <c r="N226" s="1" t="str">
        <f ca="1">IFERROR(__xludf.DUMMYFUNCTION("""COMPUTED_VALUE"""),"Pedroclasic@gmail.com")</f>
        <v>Pedroclasic@gmail.com</v>
      </c>
      <c r="O226" s="1" t="str">
        <f ca="1">IFERROR(__xludf.DUMMYFUNCTION("""COMPUTED_VALUE"""),"Ministerio de alabanza, pastoreo de jovenes y club infantil sabatino.")</f>
        <v>Ministerio de alabanza, pastoreo de jovenes y club infantil sabatino.</v>
      </c>
      <c r="P226" s="1" t="str">
        <f ca="1">IFERROR(__xludf.DUMMYFUNCTION("""COMPUTED_VALUE"""),"Soy hijo de pastor y crecí en un hogar donde siempre escuché hablar de Dios. Aunque estuve cerca de la iglesia y participé en la escuela dominical, entendí a una edad temprana que, a pesar de mi contexto, no estaba garantizada mi salvación. A los 13-14 añ"&amp;"os tomé la decisión de aceptar a Cristo como mi Salvador, tras una conversación con mi papá sobre el rapto. Él me ayudó a comprender que Cristo había muerto por mí en la cruz, y esa verdad transformó mi vida.
En mi adolescencia, pasé por momentos de rebe"&amp;"ldía, pero fue en el Campamento de Palabras de Vida donde Dios me confrontó y me mostró que ser cristiano no solo era asistir a la iglesia, sino rendir mi vida completamente a Él. Desde entonces, mi vida se ha enfocado en servirle y en vivir para su glori"&amp;"a. …")</f>
        <v>Soy hijo de pastor y crecí en un hogar donde siempre escuché hablar de Dios. Aunque estuve cerca de la iglesia y participé en la escuela dominical, entendí a una edad temprana que, a pesar de mi contexto, no estaba garantizada mi salvación. A los 13-14 años tomé la decisión de aceptar a Cristo como mi Salvador, tras una conversación con mi papá sobre el rapto. Él me ayudó a comprender que Cristo había muerto por mí en la cruz, y esa verdad transformó mi vida.
En mi adolescencia, pasé por momentos de rebeldía, pero fue en el Campamento de Palabras de Vida donde Dios me confrontó y me mostró que ser cristiano no solo era asistir a la iglesia, sino rendir mi vida completamente a Él. Desde entonces, mi vida se ha enfocado en servirle y en vivir para su gloria. …</v>
      </c>
      <c r="Q226" s="1" t="str">
        <f ca="1">IFERROR(__xludf.DUMMYFUNCTION("""COMPUTED_VALUE"""),"Porque me gusta servir a Dios y voy en acompañamiento a mis jovenes de la iglesia.")</f>
        <v>Porque me gusta servir a Dios y voy en acompañamiento a mis jovenes de la iglesia.</v>
      </c>
      <c r="R226" s="1" t="str">
        <f ca="1">IFERROR(__xludf.DUMMYFUNCTION("""COMPUTED_VALUE"""),"Si")</f>
        <v>Si</v>
      </c>
      <c r="S226" s="1" t="str">
        <f ca="1">IFERROR(__xludf.DUMMYFUNCTION("""COMPUTED_VALUE"""),"todos")</f>
        <v>todos</v>
      </c>
      <c r="T226" s="1" t="str">
        <f ca="1">IFERROR(__xludf.DUMMYFUNCTION("""COMPUTED_VALUE"""),"Si")</f>
        <v>Si</v>
      </c>
      <c r="U226" s="1" t="str">
        <f ca="1">IFERROR(__xludf.DUMMYFUNCTION("""COMPUTED_VALUE"""),"guitarra, piano, bateria y bajo")</f>
        <v>guitarra, piano, bateria y bajo</v>
      </c>
      <c r="V226" s="1" t="str">
        <f ca="1">IFERROR(__xludf.DUMMYFUNCTION("""COMPUTED_VALUE"""),"trabajo")</f>
        <v>trabajo</v>
      </c>
      <c r="W226" s="1" t="str">
        <f ca="1">IFERROR(__xludf.DUMMYFUNCTION("""COMPUTED_VALUE"""),"Ingeniero Mecanico")</f>
        <v>Ingeniero Mecanico</v>
      </c>
      <c r="X226" s="1" t="str">
        <f ca="1">IFERROR(__xludf.DUMMYFUNCTION("""COMPUTED_VALUE"""),"A. Soy un discipulador activo, B. Me gusta animar a las personas, C. Suelo buscar que el trabajo se realice en equipo, D. Me gustan los deportes, E. Me gusta el trabajo con niños, F. Soy eficiente en el trabajo con herramientas, equipos y maquinarias, I. "&amp;"Se me facilita el trabajo físico, J. Me gusta la atención a las personas, K. Soy creativo (a), L. Soy bueno (a) en canto o algún instrumento, N. Suelo llevar el liderazgo en un grupo, O. Puedo enseñar con facilidad")</f>
        <v>A. Soy un discipulador activo, B. Me gusta animar a las personas, C. Suelo buscar que el trabajo se realice en equipo, D. Me gustan los deportes, E. Me gusta el trabajo con niños, F. Soy eficiente en el trabajo con herramientas, equipos y maquinarias, I. Se me facilita el trabajo físico, J. Me gusta la atención a las personas, K. Soy creativo (a), L. Soy bueno (a) en canto o algún instrumento, N. Suelo llevar el liderazgo en un grupo, O. Puedo enseñar con facilidad</v>
      </c>
      <c r="Y226" s="1" t="str">
        <f ca="1">IFERROR(__xludf.DUMMYFUNCTION("""COMPUTED_VALUE"""),"si, en 2017 y 2018")</f>
        <v>si, en 2017 y 2018</v>
      </c>
      <c r="Z226" s="1"/>
    </row>
    <row r="227" spans="1:26" x14ac:dyDescent="0.35">
      <c r="A227" s="2">
        <f ca="1">IFERROR(__xludf.DUMMYFUNCTION("""COMPUTED_VALUE"""),45862.2776967592)</f>
        <v>45862.2776967592</v>
      </c>
      <c r="B227" s="1"/>
      <c r="C227" s="1" t="str">
        <f ca="1">IFERROR(__xludf.DUMMYFUNCTION("""COMPUTED_VALUE"""),"Samuel, Ortiz Díaz")</f>
        <v>Samuel, Ortiz Díaz</v>
      </c>
      <c r="D227" s="1">
        <f ca="1">IFERROR(__xludf.DUMMYFUNCTION("""COMPUTED_VALUE"""),15)</f>
        <v>15</v>
      </c>
      <c r="E227" s="1" t="str">
        <f ca="1">IFERROR(__xludf.DUMMYFUNCTION("""COMPUTED_VALUE"""),"Hombre")</f>
        <v>Hombre</v>
      </c>
      <c r="F227" s="1" t="str">
        <f ca="1">IFERROR(__xludf.DUMMYFUNCTION("""COMPUTED_VALUE"""),"Mexico, Mexico")</f>
        <v>Mexico, Mexico</v>
      </c>
      <c r="G227" s="1" t="str">
        <f ca="1">IFERROR(__xludf.DUMMYFUNCTION("""COMPUTED_VALUE"""),"samy2.0sod@gmail.com")</f>
        <v>samy2.0sod@gmail.com</v>
      </c>
      <c r="H227" s="1">
        <f ca="1">IFERROR(__xludf.DUMMYFUNCTION("""COMPUTED_VALUE"""),525634365579)</f>
        <v>525634365579</v>
      </c>
      <c r="I227" s="1" t="str">
        <f ca="1">IFERROR(__xludf.DUMMYFUNCTION("""COMPUTED_VALUE"""),"Jóvenes de 13 – 17 años / SEM3/ (11 - 16 agosto)")</f>
        <v>Jóvenes de 13 – 17 años / SEM3/ (11 - 16 agosto)</v>
      </c>
      <c r="J227" s="1" t="str">
        <f ca="1">IFERROR(__xludf.DUMMYFUNCTION("""COMPUTED_VALUE"""),"2 Timoteo 3:16 Vida abundante Atizapán")</f>
        <v>2 Timoteo 3:16 Vida abundante Atizapán</v>
      </c>
      <c r="K227" s="1" t="str">
        <f ca="1">IFERROR(__xludf.DUMMYFUNCTION("""COMPUTED_VALUE"""),"Comunidad Cristiana Vida Abundante Atizapán")</f>
        <v>Comunidad Cristiana Vida Abundante Atizapán</v>
      </c>
      <c r="L227" s="1" t="str">
        <f ca="1">IFERROR(__xludf.DUMMYFUNCTION("""COMPUTED_VALUE"""),"Benjamin Avilés Chaparro")</f>
        <v>Benjamin Avilés Chaparro</v>
      </c>
      <c r="M227" s="1">
        <f ca="1">IFERROR(__xludf.DUMMYFUNCTION("""COMPUTED_VALUE"""),525535889519)</f>
        <v>525535889519</v>
      </c>
      <c r="N227" s="1" t="str">
        <f ca="1">IFERROR(__xludf.DUMMYFUNCTION("""COMPUTED_VALUE"""),"pastorccvabenavileschaparro@gmail.com")</f>
        <v>pastorccvabenavileschaparro@gmail.com</v>
      </c>
      <c r="O227" s="1" t="str">
        <f ca="1">IFERROR(__xludf.DUMMYFUNCTION("""COMPUTED_VALUE"""),"Artes-Bienvenida-Adolecentes")</f>
        <v>Artes-Bienvenida-Adolecentes</v>
      </c>
      <c r="P227" s="1" t="str">
        <f ca="1">IFERROR(__xludf.DUMMYFUNCTION("""COMPUTED_VALUE"""),"En pocas palabras:
Nací en una cuna Cristiana, mis ambos padres estaban casi siempre en la iglesia, por ende yo también 
A mis 6 años recibí el llamado a ser pastor, todo iba por ""buen camino"" ese mismo año mis padres se separaron, pasamos de ser una fa"&amp;"milia ejemplar a ni si quiera ser familia 
A los pocos años fui víctima de viole cia intrafamiliar, llevo una cicatriz real que aún marca lo que paso, pero también el recuerdo del amor de Dios 
Porque apesar de alejarme unos años de la iglesia, de su volu"&amp;"ntad, malas amistades, malos hábitos, incluso la apostasía, Dios me llamo a sus pies y hoy, vivo junto con el.")</f>
        <v>En pocas palabras:
Nací en una cuna Cristiana, mis ambos padres estaban casi siempre en la iglesia, por ende yo también 
A mis 6 años recibí el llamado a ser pastor, todo iba por "buen camino" ese mismo año mis padres se separaron, pasamos de ser una familia ejemplar a ni si quiera ser familia 
A los pocos años fui víctima de viole cia intrafamiliar, llevo una cicatriz real que aún marca lo que paso, pero también el recuerdo del amor de Dios 
Porque apesar de alejarme unos años de la iglesia, de su voluntad, malas amistades, malos hábitos, incluso la apostasía, Dios me llamo a sus pies y hoy, vivo junto con el.</v>
      </c>
      <c r="Q227" s="1" t="str">
        <f ca="1">IFERROR(__xludf.DUMMYFUNCTION("""COMPUTED_VALUE"""),"Llevo 2 años asistiendo a este campamento, ambas veces me ofrecieron la oportunidad de servir y me gustaría tomarlo, he querido ser parte de algo más allá
Ensayos
Orar por otros 
Servir a otros 
Preparar algo para los demás 
Etc...")</f>
        <v>Llevo 2 años asistiendo a este campamento, ambas veces me ofrecieron la oportunidad de servir y me gustaría tomarlo, he querido ser parte de algo más allá
Ensayos
Orar por otros 
Servir a otros 
Preparar algo para los demás 
Etc...</v>
      </c>
      <c r="R227" s="1" t="str">
        <f ca="1">IFERROR(__xludf.DUMMYFUNCTION("""COMPUTED_VALUE"""),"Si")</f>
        <v>Si</v>
      </c>
      <c r="S227" s="1" t="str">
        <f ca="1">IFERROR(__xludf.DUMMYFUNCTION("""COMPUTED_VALUE"""),"Básquetbol-Natacion-boxeo/ más natación y pocas habilidades de otros deportes")</f>
        <v>Básquetbol-Natacion-boxeo/ más natación y pocas habilidades de otros deportes</v>
      </c>
      <c r="T227" s="1" t="str">
        <f ca="1">IFERROR(__xludf.DUMMYFUNCTION("""COMPUTED_VALUE"""),"Si")</f>
        <v>Si</v>
      </c>
      <c r="U227" s="1" t="str">
        <f ca="1">IFERROR(__xludf.DUMMYFUNCTION("""COMPUTED_VALUE"""),"Canto")</f>
        <v>Canto</v>
      </c>
      <c r="V227" s="1" t="str">
        <f ca="1">IFERROR(__xludf.DUMMYFUNCTION("""COMPUTED_VALUE"""),"La preparatoria")</f>
        <v>La preparatoria</v>
      </c>
      <c r="W227" s="1" t="str">
        <f ca="1">IFERROR(__xludf.DUMMYFUNCTION("""COMPUTED_VALUE"""),"Soy vendedor, atiendo a ancianos de la tercera edad y soy estudiante de preparatoria")</f>
        <v>Soy vendedor, atiendo a ancianos de la tercera edad y soy estudiante de preparatoria</v>
      </c>
      <c r="X227" s="1" t="str">
        <f ca="1">IFERROR(__xludf.DUMMYFUNCTION("""COMPUTED_VALUE"""),"D. Me gustan los deportes, I. Se me facilita el trabajo físico, J. Me gusta la atención a las personas, L. Soy bueno (a) en canto o algún instrumento, N. Suelo llevar el liderazgo en un grupo, O. Puedo enseñar con facilidad")</f>
        <v>D. Me gustan los deportes, I. Se me facilita el trabajo físico, J. Me gusta la atención a las personas, L. Soy bueno (a) en canto o algún instrumento, N. Suelo llevar el liderazgo en un grupo, O. Puedo enseñar con facilidad</v>
      </c>
      <c r="Y227" s="1" t="str">
        <f ca="1">IFERROR(__xludf.DUMMYFUNCTION("""COMPUTED_VALUE"""),"Si (Authentic-Reinos")</f>
        <v>Si (Authentic-Reinos</v>
      </c>
      <c r="Z227" s="1"/>
    </row>
    <row r="228" spans="1:26" x14ac:dyDescent="0.35">
      <c r="A228" s="2">
        <f ca="1">IFERROR(__xludf.DUMMYFUNCTION("""COMPUTED_VALUE"""),45862.4984953703)</f>
        <v>45862.498495370302</v>
      </c>
      <c r="B228" s="1"/>
      <c r="C228" s="1" t="str">
        <f ca="1">IFERROR(__xludf.DUMMYFUNCTION("""COMPUTED_VALUE"""),"Moisés Abraham, Garcia López")</f>
        <v>Moisés Abraham, Garcia López</v>
      </c>
      <c r="D228" s="1">
        <f ca="1">IFERROR(__xludf.DUMMYFUNCTION("""COMPUTED_VALUE"""),20)</f>
        <v>20</v>
      </c>
      <c r="E228" s="1" t="str">
        <f ca="1">IFERROR(__xludf.DUMMYFUNCTION("""COMPUTED_VALUE"""),"Hombre")</f>
        <v>Hombre</v>
      </c>
      <c r="F228" s="1" t="str">
        <f ca="1">IFERROR(__xludf.DUMMYFUNCTION("""COMPUTED_VALUE"""),"Queretaro, Mexico")</f>
        <v>Queretaro, Mexico</v>
      </c>
      <c r="G228" s="1" t="str">
        <f ca="1">IFERROR(__xludf.DUMMYFUNCTION("""COMPUTED_VALUE"""),"macedo.promso@gmail.com")</f>
        <v>macedo.promso@gmail.com</v>
      </c>
      <c r="H228" s="1">
        <f ca="1">IFERROR(__xludf.DUMMYFUNCTION("""COMPUTED_VALUE"""),524426374767)</f>
        <v>524426374767</v>
      </c>
      <c r="I228" s="1" t="str">
        <f ca="1">IFERROR(__xludf.DUMMYFUNCTION("""COMPUTED_VALUE"""),"Jóvenes de 13 – 17 años / SEM2/ (4 - 09 agosto)")</f>
        <v>Jóvenes de 13 – 17 años / SEM2/ (4 - 09 agosto)</v>
      </c>
      <c r="J228" s="1" t="str">
        <f ca="1">IFERROR(__xludf.DUMMYFUNCTION("""COMPUTED_VALUE"""),"La biblia")</f>
        <v>La biblia</v>
      </c>
      <c r="K228" s="1" t="str">
        <f ca="1">IFERROR(__xludf.DUMMYFUNCTION("""COMPUTED_VALUE"""),"Aif")</f>
        <v>Aif</v>
      </c>
      <c r="L228" s="1" t="str">
        <f ca="1">IFERROR(__xludf.DUMMYFUNCTION("""COMPUTED_VALUE"""),"Juan Manuel Nuñez")</f>
        <v>Juan Manuel Nuñez</v>
      </c>
      <c r="M228" s="1">
        <f ca="1">IFERROR(__xludf.DUMMYFUNCTION("""COMPUTED_VALUE"""),524424953342)</f>
        <v>524424953342</v>
      </c>
      <c r="N228" s="1" t="str">
        <f ca="1">IFERROR(__xludf.DUMMYFUNCTION("""COMPUTED_VALUE"""),"macedo.promso@gmail.com")</f>
        <v>macedo.promso@gmail.com</v>
      </c>
      <c r="O228" s="1" t="str">
        <f ca="1">IFERROR(__xludf.DUMMYFUNCTION("""COMPUTED_VALUE"""),"Estoy de apoyo en jovenes")</f>
        <v>Estoy de apoyo en jovenes</v>
      </c>
      <c r="P228" s="1" t="str">
        <f ca="1">IFERROR(__xludf.DUMMYFUNCTION("""COMPUTED_VALUE"""),"Mi familia es cristiana y otra parte judia yo siempre he asistodo a una iglesia cristiana y judia me eduque en el hogar toda mi vida ahora trabajo, me gusta enseñar y soy paramedico. (No me se elcorreo del pastor )")</f>
        <v>Mi familia es cristiana y otra parte judia yo siempre he asistodo a una iglesia cristiana y judia me eduque en el hogar toda mi vida ahora trabajo, me gusta enseñar y soy paramedico. (No me se elcorreo del pastor )</v>
      </c>
      <c r="Q228" s="1" t="str">
        <f ca="1">IFERROR(__xludf.DUMMYFUNCTION("""COMPUTED_VALUE"""),"Siempre asisti de campista y pienso que ahora ta puedo servir al Señor con los dones que tengo")</f>
        <v>Siempre asisti de campista y pienso que ahora ta puedo servir al Señor con los dones que tengo</v>
      </c>
      <c r="R228" s="1" t="str">
        <f ca="1">IFERROR(__xludf.DUMMYFUNCTION("""COMPUTED_VALUE"""),"No")</f>
        <v>No</v>
      </c>
      <c r="S228" s="1"/>
      <c r="T228" s="1" t="str">
        <f ca="1">IFERROR(__xludf.DUMMYFUNCTION("""COMPUTED_VALUE"""),"Si")</f>
        <v>Si</v>
      </c>
      <c r="U228" s="1" t="str">
        <f ca="1">IFERROR(__xludf.DUMMYFUNCTION("""COMPUTED_VALUE"""),"Viola y violin")</f>
        <v>Viola y violin</v>
      </c>
      <c r="V228" s="1" t="str">
        <f ca="1">IFERROR(__xludf.DUMMYFUNCTION("""COMPUTED_VALUE"""),"No estudio por ahora")</f>
        <v>No estudio por ahora</v>
      </c>
      <c r="W228" s="1" t="str">
        <f ca="1">IFERROR(__xludf.DUMMYFUNCTION("""COMPUTED_VALUE"""),"Paramedico, dibujo, enseño, toco instrumentos")</f>
        <v>Paramedico, dibujo, enseño, toco instrumentos</v>
      </c>
      <c r="X228" s="1" t="str">
        <f ca="1">IFERROR(__xludf.DUMMYFUNCTION("""COMPUTED_VALUE"""),"A. Soy un discipulador activo, B. Me gusta animar a las personas, C. Suelo buscar que el trabajo se realice en equipo, E. Me gusta el trabajo con niños, J. Me gusta la atención a las personas, K. Soy creativo (a), L. Soy bueno (a) en canto o algún instrum"&amp;"ento, O. Puedo enseñar con facilidad")</f>
        <v>A. Soy un discipulador activo, B. Me gusta animar a las personas, C. Suelo buscar que el trabajo se realice en equipo, E. Me gusta el trabajo con niños, J. Me gusta la atención a las personas, K. Soy creativo (a), L. Soy bueno (a) en canto o algún instrumento, O. Puedo enseñar con facilidad</v>
      </c>
      <c r="Y228" s="1" t="str">
        <f ca="1">IFERROR(__xludf.DUMMYFUNCTION("""COMPUTED_VALUE"""),"No")</f>
        <v>No</v>
      </c>
      <c r="Z228" s="1"/>
    </row>
    <row r="229" spans="1:26" x14ac:dyDescent="0.35">
      <c r="A229" s="2">
        <f ca="1">IFERROR(__xludf.DUMMYFUNCTION("""COMPUTED_VALUE"""),45862.7254629629)</f>
        <v>45862.725462962902</v>
      </c>
      <c r="B229" s="1"/>
      <c r="C229" s="1" t="str">
        <f ca="1">IFERROR(__xludf.DUMMYFUNCTION("""COMPUTED_VALUE"""),"Vanessa, Reyes Rodríguez")</f>
        <v>Vanessa, Reyes Rodríguez</v>
      </c>
      <c r="D229" s="1">
        <f ca="1">IFERROR(__xludf.DUMMYFUNCTION("""COMPUTED_VALUE"""),18)</f>
        <v>18</v>
      </c>
      <c r="E229" s="1" t="str">
        <f ca="1">IFERROR(__xludf.DUMMYFUNCTION("""COMPUTED_VALUE"""),"Mujer")</f>
        <v>Mujer</v>
      </c>
      <c r="F229" s="1" t="str">
        <f ca="1">IFERROR(__xludf.DUMMYFUNCTION("""COMPUTED_VALUE"""),"Queretaro, Mexico")</f>
        <v>Queretaro, Mexico</v>
      </c>
      <c r="G229" s="1" t="str">
        <f ca="1">IFERROR(__xludf.DUMMYFUNCTION("""COMPUTED_VALUE"""),"vanessareyesrodriguezz@gmail.com")</f>
        <v>vanessareyesrodriguezz@gmail.com</v>
      </c>
      <c r="H229" s="1">
        <f ca="1">IFERROR(__xludf.DUMMYFUNCTION("""COMPUTED_VALUE"""),524421734282)</f>
        <v>524421734282</v>
      </c>
      <c r="I229" s="1" t="str">
        <f ca="1">IFERROR(__xludf.DUMMYFUNCTION("""COMPUTED_VALUE"""),"Jóvenes de 13 – 17 años / SEM2/ (4 - 09 agosto), Jóvenes de 13 – 17 años / SEM3/ (11 - 16 agosto)")</f>
        <v>Jóvenes de 13 – 17 años / SEM2/ (4 - 09 agosto), Jóvenes de 13 – 17 años / SEM3/ (11 - 16 agosto)</v>
      </c>
      <c r="J229" s="1" t="str">
        <f ca="1">IFERROR(__xludf.DUMMYFUNCTION("""COMPUTED_VALUE"""),"Si Jesús Me Preguntara")</f>
        <v>Si Jesús Me Preguntara</v>
      </c>
      <c r="K229" s="1" t="str">
        <f ca="1">IFERROR(__xludf.DUMMYFUNCTION("""COMPUTED_VALUE"""),"Horizonte")</f>
        <v>Horizonte</v>
      </c>
      <c r="L229" s="1" t="str">
        <f ca="1">IFERROR(__xludf.DUMMYFUNCTION("""COMPUTED_VALUE"""),"Karol Colindres Rodas")</f>
        <v>Karol Colindres Rodas</v>
      </c>
      <c r="M229" s="1">
        <f ca="1">IFERROR(__xludf.DUMMYFUNCTION("""COMPUTED_VALUE"""),43657)</f>
        <v>43657</v>
      </c>
      <c r="N229" s="1" t="str">
        <f ca="1">IFERROR(__xludf.DUMMYFUNCTION("""COMPUTED_VALUE"""),"karolcolindres2@gmail.com")</f>
        <v>karolcolindres2@gmail.com</v>
      </c>
      <c r="O229" s="1" t="str">
        <f ca="1">IFERROR(__xludf.DUMMYFUNCTION("""COMPUTED_VALUE"""),"aún no ejerzo en un ministerio")</f>
        <v>aún no ejerzo en un ministerio</v>
      </c>
      <c r="P229" s="1" t="str">
        <f ca="1">IFERROR(__xludf.DUMMYFUNCTION("""COMPUTED_VALUE"""),"Fue en el 2019 durante una prédica en un campamento que organizó la escuela")</f>
        <v>Fue en el 2019 durante una prédica en un campamento que organizó la escuela</v>
      </c>
      <c r="Q229" s="1" t="str">
        <f ca="1">IFERROR(__xludf.DUMMYFUNCTION("""COMPUTED_VALUE"""),"Porque quiero tener experiencia de servir y pues es una forma diferente de disfrutar el campa")</f>
        <v>Porque quiero tener experiencia de servir y pues es una forma diferente de disfrutar el campa</v>
      </c>
      <c r="R229" s="1" t="str">
        <f ca="1">IFERROR(__xludf.DUMMYFUNCTION("""COMPUTED_VALUE"""),"Si")</f>
        <v>Si</v>
      </c>
      <c r="S229" s="1" t="str">
        <f ca="1">IFERROR(__xludf.DUMMYFUNCTION("""COMPUTED_VALUE"""),"Volley")</f>
        <v>Volley</v>
      </c>
      <c r="T229" s="1" t="str">
        <f ca="1">IFERROR(__xludf.DUMMYFUNCTION("""COMPUTED_VALUE"""),"No")</f>
        <v>No</v>
      </c>
      <c r="U229" s="1"/>
      <c r="V229" s="1" t="str">
        <f ca="1">IFERROR(__xludf.DUMMYFUNCTION("""COMPUTED_VALUE"""),"acabo de graduarme de prepa")</f>
        <v>acabo de graduarme de prepa</v>
      </c>
      <c r="W229" s="1" t="str">
        <f ca="1">IFERROR(__xludf.DUMMYFUNCTION("""COMPUTED_VALUE"""),"soy buena dibujando o pintando, juego bien volley, sé cocinar, sé hacer cualquier de limpieza, sé animar a las personas- suelen acercarse a mí para consejos, hablo inglés y español.")</f>
        <v>soy buena dibujando o pintando, juego bien volley, sé cocinar, sé hacer cualquier de limpieza, sé animar a las personas- suelen acercarse a mí para consejos, hablo inglés y español.</v>
      </c>
      <c r="X229" s="1" t="str">
        <f ca="1">IFERROR(__xludf.DUMMYFUNCTION("""COMPUTED_VALUE"""),"B. Me gusta animar a las personas, C. Suelo buscar que el trabajo se realice en equipo, D. Me gustan los deportes, E. Me gusta el trabajo con niños, G. Soy más eficiente en el trabajo individual, I. Se me facilita el trabajo físico, J. Me gusta la atenció"&amp;"n a las personas, K. Soy creativo (a), O. Puedo enseñar con facilidad")</f>
        <v>B. Me gusta animar a las personas, C. Suelo buscar que el trabajo se realice en equipo, D. Me gustan los deportes, E. Me gusta el trabajo con niños, G. Soy más eficiente en el trabajo individual, I. Se me facilita el trabajo físico, J. Me gusta la atención a las personas, K. Soy creativo (a), O. Puedo enseñar con facilidad</v>
      </c>
      <c r="Y229" s="1" t="str">
        <f ca="1">IFERROR(__xludf.DUMMYFUNCTION("""COMPUTED_VALUE"""),"si en el 2023 y 2024")</f>
        <v>si en el 2023 y 2024</v>
      </c>
      <c r="Z229" s="1"/>
    </row>
    <row r="230" spans="1:26" x14ac:dyDescent="0.35">
      <c r="A230" s="2">
        <f ca="1">IFERROR(__xludf.DUMMYFUNCTION("""COMPUTED_VALUE"""),45862.741261574)</f>
        <v>45862.741261574003</v>
      </c>
      <c r="B230" s="1"/>
      <c r="C230" s="1" t="str">
        <f ca="1">IFERROR(__xludf.DUMMYFUNCTION("""COMPUTED_VALUE"""),"Paola, Reyes Rodríguez")</f>
        <v>Paola, Reyes Rodríguez</v>
      </c>
      <c r="D230" s="1">
        <f ca="1">IFERROR(__xludf.DUMMYFUNCTION("""COMPUTED_VALUE"""),19)</f>
        <v>19</v>
      </c>
      <c r="E230" s="1" t="str">
        <f ca="1">IFERROR(__xludf.DUMMYFUNCTION("""COMPUTED_VALUE"""),"Mujer")</f>
        <v>Mujer</v>
      </c>
      <c r="F230" s="1" t="str">
        <f ca="1">IFERROR(__xludf.DUMMYFUNCTION("""COMPUTED_VALUE"""),"Queretaro, Mexico")</f>
        <v>Queretaro, Mexico</v>
      </c>
      <c r="G230" s="1" t="str">
        <f ca="1">IFERROR(__xludf.DUMMYFUNCTION("""COMPUTED_VALUE"""),"paolareyesrca@gmail.com")</f>
        <v>paolareyesrca@gmail.com</v>
      </c>
      <c r="H230" s="1">
        <f ca="1">IFERROR(__xludf.DUMMYFUNCTION("""COMPUTED_VALUE"""),52443527548)</f>
        <v>52443527548</v>
      </c>
      <c r="I230" s="1" t="str">
        <f ca="1">IFERROR(__xludf.DUMMYFUNCTION("""COMPUTED_VALUE"""),"Jóvenes de 13 – 17 años / SEM2/ (4 - 09 agosto), Jóvenes de 13 – 17 años / SEM3/ (11 - 16 agosto)")</f>
        <v>Jóvenes de 13 – 17 años / SEM2/ (4 - 09 agosto), Jóvenes de 13 – 17 años / SEM3/ (11 - 16 agosto)</v>
      </c>
      <c r="J230" s="1" t="str">
        <f ca="1">IFERROR(__xludf.DUMMYFUNCTION("""COMPUTED_VALUE"""),"El valor terapéutico del perdón")</f>
        <v>El valor terapéutico del perdón</v>
      </c>
      <c r="K230" s="1" t="str">
        <f ca="1">IFERROR(__xludf.DUMMYFUNCTION("""COMPUTED_VALUE"""),"Horizonte")</f>
        <v>Horizonte</v>
      </c>
      <c r="L230" s="1" t="str">
        <f ca="1">IFERROR(__xludf.DUMMYFUNCTION("""COMPUTED_VALUE"""),"Karol Colindres Rodas")</f>
        <v>Karol Colindres Rodas</v>
      </c>
      <c r="M230" s="1">
        <f ca="1">IFERROR(__xludf.DUMMYFUNCTION("""COMPUTED_VALUE"""),43657)</f>
        <v>43657</v>
      </c>
      <c r="N230" s="1" t="str">
        <f ca="1">IFERROR(__xludf.DUMMYFUNCTION("""COMPUTED_VALUE"""),"karolcolindres2@gmail.com")</f>
        <v>karolcolindres2@gmail.com</v>
      </c>
      <c r="O230" s="1" t="str">
        <f ca="1">IFERROR(__xludf.DUMMYFUNCTION("""COMPUTED_VALUE"""),"aún no ejerzo en uno")</f>
        <v>aún no ejerzo en uno</v>
      </c>
      <c r="P230" s="1" t="str">
        <f ca="1">IFERROR(__xludf.DUMMYFUNCTION("""COMPUTED_VALUE"""),"Yo era católica y tenía creencias y pensamientos erróneos, creía que conocía a Dios pero estaba equivocada. Conocí a Cristo mediante unos amigos de mis papás que nos invitaron a la iglesia, ahí me hablar de aceptar a Cristo en mi corazón y como salvador, "&amp;"y desde los 12 años hasta ahora sigo enamorándome de Cristo cada día más.")</f>
        <v>Yo era católica y tenía creencias y pensamientos erróneos, creía que conocía a Dios pero estaba equivocada. Conocí a Cristo mediante unos amigos de mis papás que nos invitaron a la iglesia, ahí me hablar de aceptar a Cristo en mi corazón y como salvador, y desde los 12 años hasta ahora sigo enamorándome de Cristo cada día más.</v>
      </c>
      <c r="Q230" s="1" t="str">
        <f ca="1">IFERROR(__xludf.DUMMYFUNCTION("""COMPUTED_VALUE"""),"Me gustaría servir porque es algo que nunca he echo y se que Dios quiere que lo haga antes de entrar a la universidad a estudiar medicina y que tal vez en un futuro ya no te va la oportunidad de servir.")</f>
        <v>Me gustaría servir porque es algo que nunca he echo y se que Dios quiere que lo haga antes de entrar a la universidad a estudiar medicina y que tal vez en un futuro ya no te va la oportunidad de servir.</v>
      </c>
      <c r="R230" s="1" t="str">
        <f ca="1">IFERROR(__xludf.DUMMYFUNCTION("""COMPUTED_VALUE"""),"Si")</f>
        <v>Si</v>
      </c>
      <c r="S230" s="1" t="str">
        <f ca="1">IFERROR(__xludf.DUMMYFUNCTION("""COMPUTED_VALUE"""),"Volleyball")</f>
        <v>Volleyball</v>
      </c>
      <c r="T230" s="1" t="str">
        <f ca="1">IFERROR(__xludf.DUMMYFUNCTION("""COMPUTED_VALUE"""),"No")</f>
        <v>No</v>
      </c>
      <c r="U230" s="1"/>
      <c r="V230" s="1" t="str">
        <f ca="1">IFERROR(__xludf.DUMMYFUNCTION("""COMPUTED_VALUE"""),"Todavía no entro a la carrera")</f>
        <v>Todavía no entro a la carrera</v>
      </c>
      <c r="W230" s="1" t="str">
        <f ca="1">IFERROR(__xludf.DUMMYFUNCTION("""COMPUTED_VALUE"""),"aprendo rápido, se hacer cualquier cosa relacionada con la limpieza de hogar, se cocinar, hablo inglés y español, juego bien volley , se bailar,")</f>
        <v>aprendo rápido, se hacer cualquier cosa relacionada con la limpieza de hogar, se cocinar, hablo inglés y español, juego bien volley , se bailar,</v>
      </c>
      <c r="X230" s="1" t="str">
        <f ca="1">IFERROR(__xludf.DUMMYFUNCTION("""COMPUTED_VALUE"""),"B. Me gusta animar a las personas, C. Suelo buscar que el trabajo se realice en equipo, D. Me gustan los deportes, H. Soy organizado (a), I. Se me facilita el trabajo físico, J. Me gusta la atención a las personas, K. Soy creativo (a), M. Soy bueno (a) co"&amp;"n los números, N. Suelo llevar el liderazgo en un grupo, O. Puedo enseñar con facilidad")</f>
        <v>B. Me gusta animar a las personas, C. Suelo buscar que el trabajo se realice en equipo, D. Me gustan los deportes, H. Soy organizado (a), I. Se me facilita el trabajo físico, J. Me gusta la atención a las personas, K. Soy creativo (a), M. Soy bueno (a) con los números, N. Suelo llevar el liderazgo en un grupo, O. Puedo enseñar con facilidad</v>
      </c>
      <c r="Y230" s="1" t="str">
        <f ca="1">IFERROR(__xludf.DUMMYFUNCTION("""COMPUTED_VALUE"""),"2023 y 2024")</f>
        <v>2023 y 2024</v>
      </c>
      <c r="Z230" s="1"/>
    </row>
    <row r="231" spans="1:26" x14ac:dyDescent="0.35">
      <c r="A231" s="2">
        <f ca="1">IFERROR(__xludf.DUMMYFUNCTION("""COMPUTED_VALUE"""),45862.750625)</f>
        <v>45862.750625000001</v>
      </c>
      <c r="B231" s="1"/>
      <c r="C231" s="1" t="str">
        <f ca="1">IFERROR(__xludf.DUMMYFUNCTION("""COMPUTED_VALUE"""),"Juan Carlos, Soto Vázquez")</f>
        <v>Juan Carlos, Soto Vázquez</v>
      </c>
      <c r="D231" s="1">
        <f ca="1">IFERROR(__xludf.DUMMYFUNCTION("""COMPUTED_VALUE"""),23)</f>
        <v>23</v>
      </c>
      <c r="E231" s="1" t="str">
        <f ca="1">IFERROR(__xludf.DUMMYFUNCTION("""COMPUTED_VALUE"""),"Hombre")</f>
        <v>Hombre</v>
      </c>
      <c r="F231" s="1" t="str">
        <f ca="1">IFERROR(__xludf.DUMMYFUNCTION("""COMPUTED_VALUE"""),"Queretaro, Mexico")</f>
        <v>Queretaro, Mexico</v>
      </c>
      <c r="G231" s="1" t="str">
        <f ca="1">IFERROR(__xludf.DUMMYFUNCTION("""COMPUTED_VALUE"""),"sotojcv@gmail.com")</f>
        <v>sotojcv@gmail.com</v>
      </c>
      <c r="H231" s="1">
        <f ca="1">IFERROR(__xludf.DUMMYFUNCTION("""COMPUTED_VALUE"""),527296728432)</f>
        <v>527296728432</v>
      </c>
      <c r="I231" s="1" t="str">
        <f ca="1">IFERROR(__xludf.DUMMYFUNCTION("""COMPUTED_VALUE"""),"Jóvenes de 13 – 17 años / SEM1/ (28 Julio a 02 de agosto)")</f>
        <v>Jóvenes de 13 – 17 años / SEM1/ (28 Julio a 02 de agosto)</v>
      </c>
      <c r="J231" s="1" t="str">
        <f ca="1">IFERROR(__xludf.DUMMYFUNCTION("""COMPUTED_VALUE"""),"Biblia")</f>
        <v>Biblia</v>
      </c>
      <c r="K231" s="1" t="str">
        <f ca="1">IFERROR(__xludf.DUMMYFUNCTION("""COMPUTED_VALUE"""),"Iglesia Bíblica Vida Nueva")</f>
        <v>Iglesia Bíblica Vida Nueva</v>
      </c>
      <c r="L231" s="1" t="str">
        <f ca="1">IFERROR(__xludf.DUMMYFUNCTION("""COMPUTED_VALUE"""),"Héctor Villanueva")</f>
        <v>Héctor Villanueva</v>
      </c>
      <c r="M231" s="1">
        <f ca="1">IFERROR(__xludf.DUMMYFUNCTION("""COMPUTED_VALUE"""),524421578292)</f>
        <v>524421578292</v>
      </c>
      <c r="N231" s="1" t="str">
        <f ca="1">IFERROR(__xludf.DUMMYFUNCTION("""COMPUTED_VALUE"""),"hectorjvj@gmail.com")</f>
        <v>hectorjvj@gmail.com</v>
      </c>
      <c r="O231" s="1" t="str">
        <f ca="1">IFERROR(__xludf.DUMMYFUNCTION("""COMPUTED_VALUE"""),"Líder de club biblico")</f>
        <v>Líder de club biblico</v>
      </c>
      <c r="P231" s="1" t="str">
        <f ca="1">IFERROR(__xludf.DUMMYFUNCTION("""COMPUTED_VALUE"""),"Dios me salvó cuando era pequeño y mi avivamiento vino tiempo después cuando tenía 18 años cuando me cansé de vivir peleando con el pecado en mis propias fuerzas y entonces Dios cambió mi vida como nunca antes y así lo ha estado haciendo hasta hoy.")</f>
        <v>Dios me salvó cuando era pequeño y mi avivamiento vino tiempo después cuando tenía 18 años cuando me cansé de vivir peleando con el pecado en mis propias fuerzas y entonces Dios cambió mi vida como nunca antes y así lo ha estado haciendo hasta hoy.</v>
      </c>
      <c r="Q231" s="1" t="str">
        <f ca="1">IFERROR(__xludf.DUMMYFUNCTION("""COMPUTED_VALUE"""),"Deseo ser parte porque es un privilegio servir al Señor y siempre que se dé la oportunidad como esta semana pues quiero hacerlo en obediencia a la gran comisión.")</f>
        <v>Deseo ser parte porque es un privilegio servir al Señor y siempre que se dé la oportunidad como esta semana pues quiero hacerlo en obediencia a la gran comisión.</v>
      </c>
      <c r="R231" s="1" t="str">
        <f ca="1">IFERROR(__xludf.DUMMYFUNCTION("""COMPUTED_VALUE"""),"Si")</f>
        <v>Si</v>
      </c>
      <c r="S231" s="1" t="str">
        <f ca="1">IFERROR(__xludf.DUMMYFUNCTION("""COMPUTED_VALUE"""),"Básquet")</f>
        <v>Básquet</v>
      </c>
      <c r="T231" s="1" t="str">
        <f ca="1">IFERROR(__xludf.DUMMYFUNCTION("""COMPUTED_VALUE"""),"Si")</f>
        <v>Si</v>
      </c>
      <c r="U231" s="1" t="str">
        <f ca="1">IFERROR(__xludf.DUMMYFUNCTION("""COMPUTED_VALUE"""),"Piano")</f>
        <v>Piano</v>
      </c>
      <c r="V231" s="1" t="str">
        <f ca="1">IFERROR(__xludf.DUMMYFUNCTION("""COMPUTED_VALUE"""),"Administración en finanzas")</f>
        <v>Administración en finanzas</v>
      </c>
      <c r="W231" s="1" t="str">
        <f ca="1">IFERROR(__xludf.DUMMYFUNCTION("""COMPUTED_VALUE"""),"Facilidad para enseñar.")</f>
        <v>Facilidad para enseñar.</v>
      </c>
      <c r="X231" s="1" t="str">
        <f ca="1">IFERROR(__xludf.DUMMYFUNCTION("""COMPUTED_VALUE"""),"A. Soy un discipulador activo, B. Me gusta animar a las personas, D. Me gustan los deportes, E. Me gusta el trabajo con niños, J. Me gusta la atención a las personas, K. Soy creativo (a), O. Puedo enseñar con facilidad")</f>
        <v>A. Soy un discipulador activo, B. Me gusta animar a las personas, D. Me gustan los deportes, E. Me gusta el trabajo con niños, J. Me gusta la atención a las personas, K. Soy creativo (a), O. Puedo enseñar con facilidad</v>
      </c>
      <c r="Y231" s="1" t="str">
        <f ca="1">IFERROR(__xludf.DUMMYFUNCTION("""COMPUTED_VALUE"""),"Sí, 2020")</f>
        <v>Sí, 2020</v>
      </c>
      <c r="Z231" s="1"/>
    </row>
    <row r="232" spans="1:26" x14ac:dyDescent="0.35">
      <c r="A232" s="2">
        <f ca="1">IFERROR(__xludf.DUMMYFUNCTION("""COMPUTED_VALUE"""),45862.7550231481)</f>
        <v>45862.7550231481</v>
      </c>
      <c r="B232" s="1"/>
      <c r="C232" s="1" t="str">
        <f ca="1">IFERROR(__xludf.DUMMYFUNCTION("""COMPUTED_VALUE"""),"Marisol, Liu Ng")</f>
        <v>Marisol, Liu Ng</v>
      </c>
      <c r="D232" s="1">
        <f ca="1">IFERROR(__xludf.DUMMYFUNCTION("""COMPUTED_VALUE"""),24)</f>
        <v>24</v>
      </c>
      <c r="E232" s="1" t="str">
        <f ca="1">IFERROR(__xludf.DUMMYFUNCTION("""COMPUTED_VALUE"""),"Mujer")</f>
        <v>Mujer</v>
      </c>
      <c r="F232" s="1" t="str">
        <f ca="1">IFERROR(__xludf.DUMMYFUNCTION("""COMPUTED_VALUE"""),"Queretaro, Mexico")</f>
        <v>Queretaro, Mexico</v>
      </c>
      <c r="G232" s="1" t="str">
        <f ca="1">IFERROR(__xludf.DUMMYFUNCTION("""COMPUTED_VALUE"""),"marisolng26@gmail.com")</f>
        <v>marisolng26@gmail.com</v>
      </c>
      <c r="H232" s="1">
        <f ca="1">IFERROR(__xludf.DUMMYFUNCTION("""COMPUTED_VALUE"""),527298598399)</f>
        <v>527298598399</v>
      </c>
      <c r="I232" s="1" t="str">
        <f ca="1">IFERROR(__xludf.DUMMYFUNCTION("""COMPUTED_VALUE"""),"Jóvenes de 13 – 17 años / SEM1/ (28 Julio a 02 de agosto)")</f>
        <v>Jóvenes de 13 – 17 años / SEM1/ (28 Julio a 02 de agosto)</v>
      </c>
      <c r="J232" s="1" t="str">
        <f ca="1">IFERROR(__xludf.DUMMYFUNCTION("""COMPUTED_VALUE"""),"Biblia")</f>
        <v>Biblia</v>
      </c>
      <c r="K232" s="1" t="str">
        <f ca="1">IFERROR(__xludf.DUMMYFUNCTION("""COMPUTED_VALUE"""),"Iglesia bíblica vida nueva en Querétaro.")</f>
        <v>Iglesia bíblica vida nueva en Querétaro.</v>
      </c>
      <c r="L232" s="1" t="str">
        <f ca="1">IFERROR(__xludf.DUMMYFUNCTION("""COMPUTED_VALUE"""),"Héctor Villanueva")</f>
        <v>Héctor Villanueva</v>
      </c>
      <c r="M232" s="1">
        <f ca="1">IFERROR(__xludf.DUMMYFUNCTION("""COMPUTED_VALUE"""),524421578292)</f>
        <v>524421578292</v>
      </c>
      <c r="N232" s="1" t="str">
        <f ca="1">IFERROR(__xludf.DUMMYFUNCTION("""COMPUTED_VALUE"""),"hectorjvj@gmail.com")</f>
        <v>hectorjvj@gmail.com</v>
      </c>
      <c r="O232" s="1" t="str">
        <f ca="1">IFERROR(__xludf.DUMMYFUNCTION("""COMPUTED_VALUE"""),"Líder de club biblico")</f>
        <v>Líder de club biblico</v>
      </c>
      <c r="P232" s="1" t="str">
        <f ca="1">IFERROR(__xludf.DUMMYFUNCTION("""COMPUTED_VALUE"""),"Desde pequeña acepté a Cristo pero no comprendí completamente el mensaje de salvación hasta que profundicé en su palabra cuando tenía 18 años estudiando en el instituto bíblico y ahí acepté el amor de Dios en mi vida y dejé de tener dudas sobre mi salvaci"&amp;"ón.")</f>
        <v>Desde pequeña acepté a Cristo pero no comprendí completamente el mensaje de salvación hasta que profundicé en su palabra cuando tenía 18 años estudiando en el instituto bíblico y ahí acepté el amor de Dios en mi vida y dejé de tener dudas sobre mi salvación.</v>
      </c>
      <c r="Q232" s="1" t="str">
        <f ca="1">IFERROR(__xludf.DUMMYFUNCTION("""COMPUTED_VALUE"""),"Porque Dios quiere que le sirvamos siempre que hay la oportunidad.")</f>
        <v>Porque Dios quiere que le sirvamos siempre que hay la oportunidad.</v>
      </c>
      <c r="R232" s="1" t="str">
        <f ca="1">IFERROR(__xludf.DUMMYFUNCTION("""COMPUTED_VALUE"""),"No")</f>
        <v>No</v>
      </c>
      <c r="S232" s="1"/>
      <c r="T232" s="1" t="str">
        <f ca="1">IFERROR(__xludf.DUMMYFUNCTION("""COMPUTED_VALUE"""),"No")</f>
        <v>No</v>
      </c>
      <c r="U232" s="1"/>
      <c r="V232" s="1" t="str">
        <f ca="1">IFERROR(__xludf.DUMMYFUNCTION("""COMPUTED_VALUE"""),"Pedagogía")</f>
        <v>Pedagogía</v>
      </c>
      <c r="W232" s="1" t="str">
        <f ca="1">IFERROR(__xludf.DUMMYFUNCTION("""COMPUTED_VALUE"""),"Facilidad para enseñar y don de servicio")</f>
        <v>Facilidad para enseñar y don de servicio</v>
      </c>
      <c r="X232" s="1" t="str">
        <f ca="1">IFERROR(__xludf.DUMMYFUNCTION("""COMPUTED_VALUE"""),"A. Soy un discipulador activo, C. Suelo buscar que el trabajo se realice en equipo, G. Soy más eficiente en el trabajo individual, H. Soy organizado (a), J. Me gusta la atención a las personas, K. Soy creativo (a), O. Puedo enseñar con facilidad")</f>
        <v>A. Soy un discipulador activo, C. Suelo buscar que el trabajo se realice en equipo, G. Soy más eficiente en el trabajo individual, H. Soy organizado (a), J. Me gusta la atención a las personas, K. Soy creativo (a), O. Puedo enseñar con facilidad</v>
      </c>
      <c r="Y232" s="1" t="str">
        <f ca="1">IFERROR(__xludf.DUMMYFUNCTION("""COMPUTED_VALUE"""),"No")</f>
        <v>No</v>
      </c>
      <c r="Z232" s="1"/>
    </row>
    <row r="233" spans="1:26" x14ac:dyDescent="0.35">
      <c r="A233" s="2">
        <f ca="1">IFERROR(__xludf.DUMMYFUNCTION("""COMPUTED_VALUE"""),45862.7906018518)</f>
        <v>45862.790601851797</v>
      </c>
      <c r="B233" s="1"/>
      <c r="C233" s="1" t="str">
        <f ca="1">IFERROR(__xludf.DUMMYFUNCTION("""COMPUTED_VALUE"""),"Julio, Villanueva Aranda")</f>
        <v>Julio, Villanueva Aranda</v>
      </c>
      <c r="D233" s="1">
        <f ca="1">IFERROR(__xludf.DUMMYFUNCTION("""COMPUTED_VALUE"""),24)</f>
        <v>24</v>
      </c>
      <c r="E233" s="1" t="str">
        <f ca="1">IFERROR(__xludf.DUMMYFUNCTION("""COMPUTED_VALUE"""),"Hombre")</f>
        <v>Hombre</v>
      </c>
      <c r="F233" s="1" t="str">
        <f ca="1">IFERROR(__xludf.DUMMYFUNCTION("""COMPUTED_VALUE"""),"Queretaro, Mexico")</f>
        <v>Queretaro, Mexico</v>
      </c>
      <c r="G233" s="1" t="str">
        <f ca="1">IFERROR(__xludf.DUMMYFUNCTION("""COMPUTED_VALUE"""),"juliovillaran05@gmail.com")</f>
        <v>juliovillaran05@gmail.com</v>
      </c>
      <c r="H233" s="1">
        <f ca="1">IFERROR(__xludf.DUMMYFUNCTION("""COMPUTED_VALUE"""),524423819650)</f>
        <v>524423819650</v>
      </c>
      <c r="I233" s="1" t="str">
        <f ca="1">IFERROR(__xludf.DUMMYFUNCTION("""COMPUTED_VALUE"""),"Jóvenes de 13 – 17 años / SEM1/ (28 Julio a 02 de agosto)")</f>
        <v>Jóvenes de 13 – 17 años / SEM1/ (28 Julio a 02 de agosto)</v>
      </c>
      <c r="J233" s="1" t="str">
        <f ca="1">IFERROR(__xludf.DUMMYFUNCTION("""COMPUTED_VALUE"""),".")</f>
        <v>.</v>
      </c>
      <c r="K233" s="1" t="str">
        <f ca="1">IFERROR(__xludf.DUMMYFUNCTION("""COMPUTED_VALUE"""),".")</f>
        <v>.</v>
      </c>
      <c r="L233" s="1" t="str">
        <f ca="1">IFERROR(__xludf.DUMMYFUNCTION("""COMPUTED_VALUE"""),".")</f>
        <v>.</v>
      </c>
      <c r="M233" s="1">
        <f ca="1">IFERROR(__xludf.DUMMYFUNCTION("""COMPUTED_VALUE"""),52442111111)</f>
        <v>52442111111</v>
      </c>
      <c r="N233" s="1" t="str">
        <f ca="1">IFERROR(__xludf.DUMMYFUNCTION("""COMPUTED_VALUE"""),"2@gmail.com")</f>
        <v>2@gmail.com</v>
      </c>
      <c r="O233" s="1" t="str">
        <f ca="1">IFERROR(__xludf.DUMMYFUNCTION("""COMPUTED_VALUE"""),".")</f>
        <v>.</v>
      </c>
      <c r="P233" s="1" t="str">
        <f ca="1">IFERROR(__xludf.DUMMYFUNCTION("""COMPUTED_VALUE"""),".
.")</f>
        <v>.
.</v>
      </c>
      <c r="Q233" s="1" t="str">
        <f ca="1">IFERROR(__xludf.DUMMYFUNCTION("""COMPUTED_VALUE"""),".")</f>
        <v>.</v>
      </c>
      <c r="R233" s="1" t="str">
        <f ca="1">IFERROR(__xludf.DUMMYFUNCTION("""COMPUTED_VALUE"""),"No")</f>
        <v>No</v>
      </c>
      <c r="S233" s="1"/>
      <c r="T233" s="1" t="str">
        <f ca="1">IFERROR(__xludf.DUMMYFUNCTION("""COMPUTED_VALUE"""),"No")</f>
        <v>No</v>
      </c>
      <c r="U233" s="1"/>
      <c r="V233" s="1" t="str">
        <f ca="1">IFERROR(__xludf.DUMMYFUNCTION("""COMPUTED_VALUE"""),".")</f>
        <v>.</v>
      </c>
      <c r="W233" s="1" t="str">
        <f ca="1">IFERROR(__xludf.DUMMYFUNCTION("""COMPUTED_VALUE"""),".")</f>
        <v>.</v>
      </c>
      <c r="X233" s="1" t="str">
        <f ca="1">IFERROR(__xludf.DUMMYFUNCTION("""COMPUTED_VALUE"""),"N. Suelo llevar el liderazgo en un grupo")</f>
        <v>N. Suelo llevar el liderazgo en un grupo</v>
      </c>
      <c r="Y233" s="1" t="str">
        <f ca="1">IFERROR(__xludf.DUMMYFUNCTION("""COMPUTED_VALUE"""),".")</f>
        <v>.</v>
      </c>
      <c r="Z233" s="1"/>
    </row>
    <row r="234" spans="1:26" x14ac:dyDescent="0.35">
      <c r="A234" s="2">
        <f ca="1">IFERROR(__xludf.DUMMYFUNCTION("""COMPUTED_VALUE"""),45863.4960763888)</f>
        <v>45863.496076388801</v>
      </c>
      <c r="B234" s="1"/>
      <c r="C234" s="1" t="str">
        <f ca="1">IFERROR(__xludf.DUMMYFUNCTION("""COMPUTED_VALUE"""),"Joel Salvador, Almeraz Rubio")</f>
        <v>Joel Salvador, Almeraz Rubio</v>
      </c>
      <c r="D234" s="1">
        <f ca="1">IFERROR(__xludf.DUMMYFUNCTION("""COMPUTED_VALUE"""),23)</f>
        <v>23</v>
      </c>
      <c r="E234" s="1" t="str">
        <f ca="1">IFERROR(__xludf.DUMMYFUNCTION("""COMPUTED_VALUE"""),"Hombre")</f>
        <v>Hombre</v>
      </c>
      <c r="F234" s="1" t="str">
        <f ca="1">IFERROR(__xludf.DUMMYFUNCTION("""COMPUTED_VALUE"""),"Jalisco, Mexico")</f>
        <v>Jalisco, Mexico</v>
      </c>
      <c r="G234" s="1" t="str">
        <f ca="1">IFERROR(__xludf.DUMMYFUNCTION("""COMPUTED_VALUE"""),"Joel20almeraz@gmail.com")</f>
        <v>Joel20almeraz@gmail.com</v>
      </c>
      <c r="H234" s="1">
        <f ca="1">IFERROR(__xludf.DUMMYFUNCTION("""COMPUTED_VALUE"""),523318841885)</f>
        <v>523318841885</v>
      </c>
      <c r="I234" s="1" t="str">
        <f ca="1">IFERROR(__xludf.DUMMYFUNCTION("""COMPUTED_VALUE"""),"Jóvenes de 13 – 17 años / SEM1/ (28 Julio a 02 de agosto)")</f>
        <v>Jóvenes de 13 – 17 años / SEM1/ (28 Julio a 02 de agosto)</v>
      </c>
      <c r="J234" s="1" t="str">
        <f ca="1">IFERROR(__xludf.DUMMYFUNCTION("""COMPUTED_VALUE"""),"Quiet time")</f>
        <v>Quiet time</v>
      </c>
      <c r="K234" s="1" t="str">
        <f ca="1">IFERROR(__xludf.DUMMYFUNCTION("""COMPUTED_VALUE"""),"Emanuel")</f>
        <v>Emanuel</v>
      </c>
      <c r="L234" s="1" t="str">
        <f ca="1">IFERROR(__xludf.DUMMYFUNCTION("""COMPUTED_VALUE"""),"Jesús García")</f>
        <v>Jesús García</v>
      </c>
      <c r="M234" s="1">
        <f ca="1">IFERROR(__xludf.DUMMYFUNCTION("""COMPUTED_VALUE"""),523311128056)</f>
        <v>523311128056</v>
      </c>
      <c r="N234" s="1" t="str">
        <f ca="1">IFERROR(__xludf.DUMMYFUNCTION("""COMPUTED_VALUE"""),"jesus_garcia7@hotmail.com")</f>
        <v>jesus_garcia7@hotmail.com</v>
      </c>
      <c r="O234" s="1" t="str">
        <f ca="1">IFERROR(__xludf.DUMMYFUNCTION("""COMPUTED_VALUE"""),"Multimedia y Liderazgo de jóvenes")</f>
        <v>Multimedia y Liderazgo de jóvenes</v>
      </c>
      <c r="P234" s="1" t="str">
        <f ca="1">IFERROR(__xludf.DUMMYFUNCTION("""COMPUTED_VALUE"""),"Yo acepté a Jesucristo como mi único y suficiente salvador a los 10 años en un campamento y entregué mi vida al Señor en una fogata en palabra de vida")</f>
        <v>Yo acepté a Jesucristo como mi único y suficiente salvador a los 10 años en un campamento y entregué mi vida al Señor en una fogata en palabra de vida</v>
      </c>
      <c r="Q234" s="1" t="str">
        <f ca="1">IFERROR(__xludf.DUMMYFUNCTION("""COMPUTED_VALUE"""),"Me gustaría servir y que mi vida alabe al Padre, y que otras personas conozcan de Él")</f>
        <v>Me gustaría servir y que mi vida alabe al Padre, y que otras personas conozcan de Él</v>
      </c>
      <c r="R234" s="1" t="str">
        <f ca="1">IFERROR(__xludf.DUMMYFUNCTION("""COMPUTED_VALUE"""),"Si")</f>
        <v>Si</v>
      </c>
      <c r="S234" s="1" t="str">
        <f ca="1">IFERROR(__xludf.DUMMYFUNCTION("""COMPUTED_VALUE"""),"Futbol, Ciclismo de montaña")</f>
        <v>Futbol, Ciclismo de montaña</v>
      </c>
      <c r="T234" s="1" t="str">
        <f ca="1">IFERROR(__xludf.DUMMYFUNCTION("""COMPUTED_VALUE"""),"No")</f>
        <v>No</v>
      </c>
      <c r="U234" s="1"/>
      <c r="V234" s="1" t="str">
        <f ca="1">IFERROR(__xludf.DUMMYFUNCTION("""COMPUTED_VALUE"""),"Estudié cultura física y deportes")</f>
        <v>Estudié cultura física y deportes</v>
      </c>
      <c r="W234" s="1" t="str">
        <f ca="1">IFERROR(__xludf.DUMMYFUNCTION("""COMPUTED_VALUE"""),"Soy instructor de actividades físicas para adultos mayores, también trabajo con niños en una escuela de ciclismo")</f>
        <v>Soy instructor de actividades físicas para adultos mayores, también trabajo con niños en una escuela de ciclismo</v>
      </c>
      <c r="X234" s="1" t="str">
        <f ca="1">IFERROR(__xludf.DUMMYFUNCTION("""COMPUTED_VALUE"""),"A. Soy un discipulador activo, B. Me gusta animar a las personas, C. Suelo buscar que el trabajo se realice en equipo, D. Me gustan los deportes, E. Me gusta el trabajo con niños, H. Soy organizado (a), J. Me gusta la atención a las personas, K. Soy creat"&amp;"ivo (a), N. Suelo llevar el liderazgo en un grupo, O. Puedo enseñar con facilidad")</f>
        <v>A. Soy un discipulador activo, B. Me gusta animar a las personas, C. Suelo buscar que el trabajo se realice en equipo, D. Me gustan los deportes, E. Me gusta el trabajo con niños, H. Soy organizado (a), J. Me gusta la atención a las personas, K. Soy creativo (a), N. Suelo llevar el liderazgo en un grupo, O. Puedo enseñar con facilidad</v>
      </c>
      <c r="Y234" s="1" t="str">
        <f ca="1">IFERROR(__xludf.DUMMYFUNCTION("""COMPUTED_VALUE"""),"2012, 2014, 2015, 2016")</f>
        <v>2012, 2014, 2015, 2016</v>
      </c>
      <c r="Z234" s="1"/>
    </row>
    <row r="235" spans="1:26" x14ac:dyDescent="0.35">
      <c r="A235" s="2">
        <f ca="1">IFERROR(__xludf.DUMMYFUNCTION("""COMPUTED_VALUE"""),45863.7661689814)</f>
        <v>45863.766168981398</v>
      </c>
      <c r="B235" s="1"/>
      <c r="C235" s="1" t="str">
        <f ca="1">IFERROR(__xludf.DUMMYFUNCTION("""COMPUTED_VALUE"""),"Bequez, Rodriguez mendez")</f>
        <v>Bequez, Rodriguez mendez</v>
      </c>
      <c r="D235" s="1">
        <f ca="1">IFERROR(__xludf.DUMMYFUNCTION("""COMPUTED_VALUE"""),22)</f>
        <v>22</v>
      </c>
      <c r="E235" s="1" t="str">
        <f ca="1">IFERROR(__xludf.DUMMYFUNCTION("""COMPUTED_VALUE"""),"Hombre")</f>
        <v>Hombre</v>
      </c>
      <c r="F235" s="1" t="str">
        <f ca="1">IFERROR(__xludf.DUMMYFUNCTION("""COMPUTED_VALUE"""),"Jalisco, Mexico")</f>
        <v>Jalisco, Mexico</v>
      </c>
      <c r="G235" s="1" t="str">
        <f ca="1">IFERROR(__xludf.DUMMYFUNCTION("""COMPUTED_VALUE"""),"bequez0406@gmail.com")</f>
        <v>bequez0406@gmail.com</v>
      </c>
      <c r="H235" s="1">
        <f ca="1">IFERROR(__xludf.DUMMYFUNCTION("""COMPUTED_VALUE"""),523326545533)</f>
        <v>523326545533</v>
      </c>
      <c r="I235" s="1" t="str">
        <f ca="1">IFERROR(__xludf.DUMMYFUNCTION("""COMPUTED_VALUE"""),"Jóvenes de 13 – 17 años / SEM1/ (28 Julio a 02 de agosto)")</f>
        <v>Jóvenes de 13 – 17 años / SEM1/ (28 Julio a 02 de agosto)</v>
      </c>
      <c r="J235" s="1" t="str">
        <f ca="1">IFERROR(__xludf.DUMMYFUNCTION("""COMPUTED_VALUE"""),"Lectura personal")</f>
        <v>Lectura personal</v>
      </c>
      <c r="K235" s="1" t="str">
        <f ca="1">IFERROR(__xludf.DUMMYFUNCTION("""COMPUTED_VALUE"""),"Iglesia vida")</f>
        <v>Iglesia vida</v>
      </c>
      <c r="L235" s="1" t="str">
        <f ca="1">IFERROR(__xludf.DUMMYFUNCTION("""COMPUTED_VALUE"""),"Neftali")</f>
        <v>Neftali</v>
      </c>
      <c r="M235" s="1">
        <f ca="1">IFERROR(__xludf.DUMMYFUNCTION("""COMPUTED_VALUE"""),523326545533)</f>
        <v>523326545533</v>
      </c>
      <c r="N235" s="1" t="str">
        <f ca="1">IFERROR(__xludf.DUMMYFUNCTION("""COMPUTED_VALUE"""),"nefaly@gmail.com")</f>
        <v>nefaly@gmail.com</v>
      </c>
      <c r="O235" s="1" t="str">
        <f ca="1">IFERROR(__xludf.DUMMYFUNCTION("""COMPUTED_VALUE"""),"Jovenes lider")</f>
        <v>Jovenes lider</v>
      </c>
      <c r="P235" s="1" t="str">
        <f ca="1">IFERROR(__xludf.DUMMYFUNCTION("""COMPUTED_VALUE"""),"Renia 12 años conoci a nef, predico con el envagelilio ilustrado y entendi que era el evangelio")</f>
        <v>Renia 12 años conoci a nef, predico con el envagelilio ilustrado y entendi que era el evangelio</v>
      </c>
      <c r="Q235" s="1" t="str">
        <f ca="1">IFERROR(__xludf.DUMMYFUNCTION("""COMPUTED_VALUE"""),"Me gusta servir , como cada año , para alcansar a mas personas")</f>
        <v>Me gusta servir , como cada año , para alcansar a mas personas</v>
      </c>
      <c r="R235" s="1" t="str">
        <f ca="1">IFERROR(__xludf.DUMMYFUNCTION("""COMPUTED_VALUE"""),"Si")</f>
        <v>Si</v>
      </c>
      <c r="S235" s="1" t="str">
        <f ca="1">IFERROR(__xludf.DUMMYFUNCTION("""COMPUTED_VALUE"""),"Fut , basquet , bici")</f>
        <v>Fut , basquet , bici</v>
      </c>
      <c r="T235" s="1" t="str">
        <f ca="1">IFERROR(__xludf.DUMMYFUNCTION("""COMPUTED_VALUE"""),"No")</f>
        <v>No</v>
      </c>
      <c r="U235" s="1"/>
      <c r="V235" s="1" t="str">
        <f ca="1">IFERROR(__xludf.DUMMYFUNCTION("""COMPUTED_VALUE"""),"Termine mi año en guatemala , y estoy por retomar mis estudios")</f>
        <v>Termine mi año en guatemala , y estoy por retomar mis estudios</v>
      </c>
      <c r="W235" s="1" t="str">
        <f ca="1">IFERROR(__xludf.DUMMYFUNCTION("""COMPUTED_VALUE"""),"Deportes")</f>
        <v>Deportes</v>
      </c>
      <c r="X235" s="1" t="str">
        <f ca="1">IFERROR(__xludf.DUMMYFUNCTION("""COMPUTED_VALUE"""),"A. Soy un discipulador activo, B. Me gusta animar a las personas, C. Suelo buscar que el trabajo se realice en equipo, D. Me gustan los deportes, I. Se me facilita el trabajo físico, K. Soy creativo (a)")</f>
        <v>A. Soy un discipulador activo, B. Me gusta animar a las personas, C. Suelo buscar que el trabajo se realice en equipo, D. Me gustan los deportes, I. Se me facilita el trabajo físico, K. Soy creativo (a)</v>
      </c>
      <c r="Y235" s="1">
        <f ca="1">IFERROR(__xludf.DUMMYFUNCTION("""COMPUTED_VALUE"""),2019)</f>
        <v>2019</v>
      </c>
      <c r="Z235" s="1"/>
    </row>
    <row r="236" spans="1:26" x14ac:dyDescent="0.35">
      <c r="A236" s="2">
        <f ca="1">IFERROR(__xludf.DUMMYFUNCTION("""COMPUTED_VALUE"""),45863.7687731481)</f>
        <v>45863.768773148098</v>
      </c>
      <c r="B236" s="1"/>
      <c r="C236" s="1" t="str">
        <f ca="1">IFERROR(__xludf.DUMMYFUNCTION("""COMPUTED_VALUE"""),"Baruc, Valero")</f>
        <v>Baruc, Valero</v>
      </c>
      <c r="D236" s="1">
        <f ca="1">IFERROR(__xludf.DUMMYFUNCTION("""COMPUTED_VALUE"""),20)</f>
        <v>20</v>
      </c>
      <c r="E236" s="1" t="str">
        <f ca="1">IFERROR(__xludf.DUMMYFUNCTION("""COMPUTED_VALUE"""),"Hombre")</f>
        <v>Hombre</v>
      </c>
      <c r="F236" s="1" t="str">
        <f ca="1">IFERROR(__xludf.DUMMYFUNCTION("""COMPUTED_VALUE"""),"Veracruz, Mexico")</f>
        <v>Veracruz, Mexico</v>
      </c>
      <c r="G236" s="1" t="str">
        <f ca="1">IFERROR(__xludf.DUMMYFUNCTION("""COMPUTED_VALUE"""),"vartru_valero05@outlook.com")</f>
        <v>vartru_valero05@outlook.com</v>
      </c>
      <c r="H236" s="1">
        <f ca="1">IFERROR(__xludf.DUMMYFUNCTION("""COMPUTED_VALUE"""),522722489813)</f>
        <v>522722489813</v>
      </c>
      <c r="I236" s="1" t="str">
        <f ca="1">IFERROR(__xludf.DUMMYFUNCTION("""COMPUTED_VALUE"""),"Jóvenes de 13 – 17 años / SEM1/ (28 Julio a 02 de agosto)")</f>
        <v>Jóvenes de 13 – 17 años / SEM1/ (28 Julio a 02 de agosto)</v>
      </c>
      <c r="J236" s="1" t="str">
        <f ca="1">IFERROR(__xludf.DUMMYFUNCTION("""COMPUTED_VALUE"""),"Biblia")</f>
        <v>Biblia</v>
      </c>
      <c r="K236" s="1" t="str">
        <f ca="1">IFERROR(__xludf.DUMMYFUNCTION("""COMPUTED_VALUE"""),"Iglesia bautista redención")</f>
        <v>Iglesia bautista redención</v>
      </c>
      <c r="L236" s="1" t="str">
        <f ca="1">IFERROR(__xludf.DUMMYFUNCTION("""COMPUTED_VALUE"""),"Aldo Ramirez")</f>
        <v>Aldo Ramirez</v>
      </c>
      <c r="M236" s="1">
        <f ca="1">IFERROR(__xludf.DUMMYFUNCTION("""COMPUTED_VALUE"""),522294358989)</f>
        <v>522294358989</v>
      </c>
      <c r="N236" s="1" t="str">
        <f ca="1">IFERROR(__xludf.DUMMYFUNCTION("""COMPUTED_VALUE"""),"nomelose@hotmail.com")</f>
        <v>nomelose@hotmail.com</v>
      </c>
      <c r="O236" s="1" t="str">
        <f ca="1">IFERROR(__xludf.DUMMYFUNCTION("""COMPUTED_VALUE"""),"ayudo en algunas actividades")</f>
        <v>ayudo en algunas actividades</v>
      </c>
      <c r="P236" s="1" t="str">
        <f ca="1">IFERROR(__xludf.DUMMYFUNCTION("""COMPUTED_VALUE"""),"Desde muy chico conocí de Dios por mis padres, pero no tiene mucho que realmente intento tener una relación con Dios y quiero hacer su voluntad y dejar que él guíe mi vida :)")</f>
        <v>Desde muy chico conocí de Dios por mis padres, pero no tiene mucho que realmente intento tener una relación con Dios y quiero hacer su voluntad y dejar que él guíe mi vida :)</v>
      </c>
      <c r="Q236" s="1" t="str">
        <f ca="1">IFERROR(__xludf.DUMMYFUNCTION("""COMPUTED_VALUE"""),"Pues la verdad no quería estar de equipante, pero después del campamento sentí un gran deseo de servir y ayudar en lo que se pueda")</f>
        <v>Pues la verdad no quería estar de equipante, pero después del campamento sentí un gran deseo de servir y ayudar en lo que se pueda</v>
      </c>
      <c r="R236" s="1" t="str">
        <f ca="1">IFERROR(__xludf.DUMMYFUNCTION("""COMPUTED_VALUE"""),"Si")</f>
        <v>Si</v>
      </c>
      <c r="S236" s="1" t="str">
        <f ca="1">IFERROR(__xludf.DUMMYFUNCTION("""COMPUTED_VALUE"""),"Basketball")</f>
        <v>Basketball</v>
      </c>
      <c r="T236" s="1" t="str">
        <f ca="1">IFERROR(__xludf.DUMMYFUNCTION("""COMPUTED_VALUE"""),"Si")</f>
        <v>Si</v>
      </c>
      <c r="U236" s="1" t="str">
        <f ca="1">IFERROR(__xludf.DUMMYFUNCTION("""COMPUTED_VALUE"""),"Guitarra")</f>
        <v>Guitarra</v>
      </c>
      <c r="V236" s="1" t="str">
        <f ca="1">IFERROR(__xludf.DUMMYFUNCTION("""COMPUTED_VALUE"""),"Negocios internacionales")</f>
        <v>Negocios internacionales</v>
      </c>
      <c r="W236" s="1" t="str">
        <f ca="1">IFERROR(__xludf.DUMMYFUNCTION("""COMPUTED_VALUE"""),"De dibujar, y me gusta mucho las actividades de riesgo je")</f>
        <v>De dibujar, y me gusta mucho las actividades de riesgo je</v>
      </c>
      <c r="X236" s="1" t="str">
        <f ca="1">IFERROR(__xludf.DUMMYFUNCTION("""COMPUTED_VALUE"""),"D. Me gustan los deportes, G. Soy más eficiente en el trabajo individual")</f>
        <v>D. Me gustan los deportes, G. Soy más eficiente en el trabajo individual</v>
      </c>
      <c r="Y236" s="1" t="str">
        <f ca="1">IFERROR(__xludf.DUMMYFUNCTION("""COMPUTED_VALUE"""),"Si, ya van como 7 años que estoy de campero y 1 de equipante")</f>
        <v>Si, ya van como 7 años que estoy de campero y 1 de equipante</v>
      </c>
      <c r="Z236" s="1"/>
    </row>
    <row r="237" spans="1:26" x14ac:dyDescent="0.35">
      <c r="A237" s="2">
        <f ca="1">IFERROR(__xludf.DUMMYFUNCTION("""COMPUTED_VALUE"""),45865.5901967592)</f>
        <v>45865.5901967592</v>
      </c>
      <c r="B237" s="1"/>
      <c r="C237" s="1" t="str">
        <f ca="1">IFERROR(__xludf.DUMMYFUNCTION("""COMPUTED_VALUE"""),"Sebastian, Mora Mendoza")</f>
        <v>Sebastian, Mora Mendoza</v>
      </c>
      <c r="D237" s="1">
        <f ca="1">IFERROR(__xludf.DUMMYFUNCTION("""COMPUTED_VALUE"""),18)</f>
        <v>18</v>
      </c>
      <c r="E237" s="1" t="str">
        <f ca="1">IFERROR(__xludf.DUMMYFUNCTION("""COMPUTED_VALUE"""),"Hombre")</f>
        <v>Hombre</v>
      </c>
      <c r="F237" s="1" t="str">
        <f ca="1">IFERROR(__xludf.DUMMYFUNCTION("""COMPUTED_VALUE"""),"Queretaro, Mexico")</f>
        <v>Queretaro, Mexico</v>
      </c>
      <c r="G237" s="1" t="str">
        <f ca="1">IFERROR(__xludf.DUMMYFUNCTION("""COMPUTED_VALUE"""),"basticmora@gmail.com")</f>
        <v>basticmora@gmail.com</v>
      </c>
      <c r="H237" s="1">
        <f ca="1">IFERROR(__xludf.DUMMYFUNCTION("""COMPUTED_VALUE"""),524461695000)</f>
        <v>524461695000</v>
      </c>
      <c r="I237" s="1" t="str">
        <f ca="1">IFERROR(__xludf.DUMMYFUNCTION("""COMPUTED_VALUE"""),"Jóvenes de 13 – 17 años / SEM1/ (28 Julio a 02 de agosto)")</f>
        <v>Jóvenes de 13 – 17 años / SEM1/ (28 Julio a 02 de agosto)</v>
      </c>
      <c r="J237" s="1" t="str">
        <f ca="1">IFERROR(__xludf.DUMMYFUNCTION("""COMPUTED_VALUE"""),"Biblia")</f>
        <v>Biblia</v>
      </c>
      <c r="K237" s="1" t="str">
        <f ca="1">IFERROR(__xludf.DUMMYFUNCTION("""COMPUTED_VALUE"""),"MVI")</f>
        <v>MVI</v>
      </c>
      <c r="L237" s="1" t="str">
        <f ca="1">IFERROR(__xludf.DUMMYFUNCTION("""COMPUTED_VALUE"""),"Jonathan Hernández Loera")</f>
        <v>Jonathan Hernández Loera</v>
      </c>
      <c r="M237" s="1">
        <f ca="1">IFERROR(__xludf.DUMMYFUNCTION("""COMPUTED_VALUE"""),524422121125)</f>
        <v>524422121125</v>
      </c>
      <c r="N237" s="1" t="str">
        <f ca="1">IFERROR(__xludf.DUMMYFUNCTION("""COMPUTED_VALUE"""),"oficinamviqueretaro@gmail.com")</f>
        <v>oficinamviqueretaro@gmail.com</v>
      </c>
      <c r="O237" s="1" t="str">
        <f ca="1">IFERROR(__xludf.DUMMYFUNCTION("""COMPUTED_VALUE"""),"Mantenimiento")</f>
        <v>Mantenimiento</v>
      </c>
      <c r="P237" s="1" t="str">
        <f ca="1">IFERROR(__xludf.DUMMYFUNCTION("""COMPUTED_VALUE"""),"Fue en mi primer campamento al que asistí, en 2019 en el momento de la fogata")</f>
        <v>Fue en mi primer campamento al que asistí, en 2019 en el momento de la fogata</v>
      </c>
      <c r="Q237" s="1" t="str">
        <f ca="1">IFERROR(__xludf.DUMMYFUNCTION("""COMPUTED_VALUE"""),"Fui el año pasado gracias a unos amigos que me invitaron y me gustó servir")</f>
        <v>Fui el año pasado gracias a unos amigos que me invitaron y me gustó servir</v>
      </c>
      <c r="R237" s="1" t="str">
        <f ca="1">IFERROR(__xludf.DUMMYFUNCTION("""COMPUTED_VALUE"""),"No")</f>
        <v>No</v>
      </c>
      <c r="S237" s="1"/>
      <c r="T237" s="1" t="str">
        <f ca="1">IFERROR(__xludf.DUMMYFUNCTION("""COMPUTED_VALUE"""),"No")</f>
        <v>No</v>
      </c>
      <c r="U237" s="1"/>
      <c r="V237" s="1" t="str">
        <f ca="1">IFERROR(__xludf.DUMMYFUNCTION("""COMPUTED_VALUE"""),"Preparatoria")</f>
        <v>Preparatoria</v>
      </c>
      <c r="W237" s="1" t="str">
        <f ca="1">IFERROR(__xludf.DUMMYFUNCTION("""COMPUTED_VALUE"""),"Capacidad de adaptación")</f>
        <v>Capacidad de adaptación</v>
      </c>
      <c r="X237" s="1" t="str">
        <f ca="1">IFERROR(__xludf.DUMMYFUNCTION("""COMPUTED_VALUE"""),"F. Soy eficiente en el trabajo con herramientas, equipos y maquinarias, G. Soy más eficiente en el trabajo individual, H. Soy organizado (a), I. Se me facilita el trabajo físico")</f>
        <v>F. Soy eficiente en el trabajo con herramientas, equipos y maquinarias, G. Soy más eficiente en el trabajo individual, H. Soy organizado (a), I. Se me facilita el trabajo físico</v>
      </c>
      <c r="Y237" s="1" t="str">
        <f ca="1">IFERROR(__xludf.DUMMYFUNCTION("""COMPUTED_VALUE"""),"Desde el 2019")</f>
        <v>Desde el 2019</v>
      </c>
      <c r="Z237" s="1"/>
    </row>
    <row r="238" spans="1:26" x14ac:dyDescent="0.35">
      <c r="A238" s="2">
        <f ca="1">IFERROR(__xludf.DUMMYFUNCTION("""COMPUTED_VALUE"""),45865.805949074)</f>
        <v>45865.805949073998</v>
      </c>
      <c r="B238" s="1"/>
      <c r="C238" s="1" t="str">
        <f ca="1">IFERROR(__xludf.DUMMYFUNCTION("""COMPUTED_VALUE"""),"Kevin Jesús, Cruz Mandujano")</f>
        <v>Kevin Jesús, Cruz Mandujano</v>
      </c>
      <c r="D238" s="1">
        <f ca="1">IFERROR(__xludf.DUMMYFUNCTION("""COMPUTED_VALUE"""),26)</f>
        <v>26</v>
      </c>
      <c r="E238" s="1" t="str">
        <f ca="1">IFERROR(__xludf.DUMMYFUNCTION("""COMPUTED_VALUE"""),"Hombre")</f>
        <v>Hombre</v>
      </c>
      <c r="F238" s="1" t="str">
        <f ca="1">IFERROR(__xludf.DUMMYFUNCTION("""COMPUTED_VALUE"""),"Campeche, Mexico")</f>
        <v>Campeche, Mexico</v>
      </c>
      <c r="G238" s="1" t="str">
        <f ca="1">IFERROR(__xludf.DUMMYFUNCTION("""COMPUTED_VALUE"""),"kevinmandujano9@gmail.com")</f>
        <v>kevinmandujano9@gmail.com</v>
      </c>
      <c r="H238" s="1">
        <f ca="1">IFERROR(__xludf.DUMMYFUNCTION("""COMPUTED_VALUE"""),529381077990)</f>
        <v>529381077990</v>
      </c>
      <c r="I238" s="1" t="str">
        <f ca="1">IFERROR(__xludf.DUMMYFUNCTION("""COMPUTED_VALUE"""),"Jóvenes de 13 – 17 años / SEM2/ (4 - 09 agosto), Jóvenes de 13 – 17 años / SEM3/ (11 - 16 agosto)")</f>
        <v>Jóvenes de 13 – 17 años / SEM2/ (4 - 09 agosto), Jóvenes de 13 – 17 años / SEM3/ (11 - 16 agosto)</v>
      </c>
      <c r="J238" s="1" t="str">
        <f ca="1">IFERROR(__xludf.DUMMYFUNCTION("""COMPUTED_VALUE"""),"Vida SC")</f>
        <v>Vida SC</v>
      </c>
      <c r="K238" s="1" t="str">
        <f ca="1">IFERROR(__xludf.DUMMYFUNCTION("""COMPUTED_VALUE"""),"Vida Sc")</f>
        <v>Vida Sc</v>
      </c>
      <c r="L238" s="1" t="str">
        <f ca="1">IFERROR(__xludf.DUMMYFUNCTION("""COMPUTED_VALUE"""),"José Natividad Ramos Oyosa")</f>
        <v>José Natividad Ramos Oyosa</v>
      </c>
      <c r="M238" s="1">
        <f ca="1">IFERROR(__xludf.DUMMYFUNCTION("""COMPUTED_VALUE"""),529381032007)</f>
        <v>529381032007</v>
      </c>
      <c r="N238" s="1" t="str">
        <f ca="1">IFERROR(__xludf.DUMMYFUNCTION("""COMPUTED_VALUE"""),"jnatividadramosg@gmail.com")</f>
        <v>jnatividadramosg@gmail.com</v>
      </c>
      <c r="O238" s="1" t="str">
        <f ca="1">IFERROR(__xludf.DUMMYFUNCTION("""COMPUTED_VALUE"""),"Alabanza/ Jovenes")</f>
        <v>Alabanza/ Jovenes</v>
      </c>
      <c r="P238" s="1" t="str">
        <f ca="1">IFERROR(__xludf.DUMMYFUNCTION("""COMPUTED_VALUE"""),"Desde pequeño he asistido a la iglesia pero no había tenido un encuentro real con Dios hasta hace 5 años, el Señor se reveló de una gran manera en mi vida y todo cambio")</f>
        <v>Desde pequeño he asistido a la iglesia pero no había tenido un encuentro real con Dios hasta hace 5 años, el Señor se reveló de una gran manera en mi vida y todo cambio</v>
      </c>
      <c r="Q238" s="1" t="str">
        <f ca="1">IFERROR(__xludf.DUMMYFUNCTION("""COMPUTED_VALUE"""),"Ya he sido consejero y en mi iglesia soy uno de los líderes de jóvenes, voy con el objetivo de servir al Señor y seguir aprendiendo de cómo darle seguimiento a los chicos")</f>
        <v>Ya he sido consejero y en mi iglesia soy uno de los líderes de jóvenes, voy con el objetivo de servir al Señor y seguir aprendiendo de cómo darle seguimiento a los chicos</v>
      </c>
      <c r="R238" s="1" t="str">
        <f ca="1">IFERROR(__xludf.DUMMYFUNCTION("""COMPUTED_VALUE"""),"No")</f>
        <v>No</v>
      </c>
      <c r="S238" s="1"/>
      <c r="T238" s="1" t="str">
        <f ca="1">IFERROR(__xludf.DUMMYFUNCTION("""COMPUTED_VALUE"""),"Si")</f>
        <v>Si</v>
      </c>
      <c r="U238" s="1" t="str">
        <f ca="1">IFERROR(__xludf.DUMMYFUNCTION("""COMPUTED_VALUE"""),"Guitarra y bajo")</f>
        <v>Guitarra y bajo</v>
      </c>
      <c r="V238" s="1" t="str">
        <f ca="1">IFERROR(__xludf.DUMMYFUNCTION("""COMPUTED_VALUE"""),"Ingeniería en energías")</f>
        <v>Ingeniería en energías</v>
      </c>
      <c r="W238" s="1" t="str">
        <f ca="1">IFERROR(__xludf.DUMMYFUNCTION("""COMPUTED_VALUE"""),"Maestro")</f>
        <v>Maestro</v>
      </c>
      <c r="X238" s="1" t="str">
        <f ca="1">IFERROR(__xludf.DUMMYFUNCTION("""COMPUTED_VALUE"""),"A. Soy un discipulador activo, B. Me gusta animar a las personas, C. Suelo buscar que el trabajo se realice en equipo, G. Soy más eficiente en el trabajo individual, H. Soy organizado (a), J. Me gusta la atención a las personas, K. Soy creativo (a), L. So"&amp;"y bueno (a) en canto o algún instrumento, N. Suelo llevar el liderazgo en un grupo")</f>
        <v>A. Soy un discipulador activo, B. Me gusta animar a las personas, C. Suelo buscar que el trabajo se realice en equipo, G. Soy más eficiente en el trabajo individual, H. Soy organizado (a), J. Me gusta la atención a las personas, K. Soy creativo (a), L. Soy bueno (a) en canto o algún instrumento, N. Suelo llevar el liderazgo en un grupo</v>
      </c>
      <c r="Y238" s="1" t="str">
        <f ca="1">IFERROR(__xludf.DUMMYFUNCTION("""COMPUTED_VALUE"""),"Hace 2 años fui consejero")</f>
        <v>Hace 2 años fui consejero</v>
      </c>
      <c r="Z238" s="1"/>
    </row>
    <row r="239" spans="1:26" x14ac:dyDescent="0.35">
      <c r="A239" s="2">
        <f ca="1">IFERROR(__xludf.DUMMYFUNCTION("""COMPUTED_VALUE"""),45865.8320949074)</f>
        <v>45865.832094907397</v>
      </c>
      <c r="B239" s="1"/>
      <c r="C239" s="1" t="str">
        <f ca="1">IFERROR(__xludf.DUMMYFUNCTION("""COMPUTED_VALUE"""),"Pablo Jafet, Sanchez Garcia")</f>
        <v>Pablo Jafet, Sanchez Garcia</v>
      </c>
      <c r="D239" s="1">
        <f ca="1">IFERROR(__xludf.DUMMYFUNCTION("""COMPUTED_VALUE"""),18)</f>
        <v>18</v>
      </c>
      <c r="E239" s="1" t="str">
        <f ca="1">IFERROR(__xludf.DUMMYFUNCTION("""COMPUTED_VALUE"""),"Hombre")</f>
        <v>Hombre</v>
      </c>
      <c r="F239" s="1" t="str">
        <f ca="1">IFERROR(__xludf.DUMMYFUNCTION("""COMPUTED_VALUE"""),"Queretaro, Mexico")</f>
        <v>Queretaro, Mexico</v>
      </c>
      <c r="G239" s="1" t="str">
        <f ca="1">IFERROR(__xludf.DUMMYFUNCTION("""COMPUTED_VALUE"""),"PabloSanchez2106@hotmail.com")</f>
        <v>PabloSanchez2106@hotmail.com</v>
      </c>
      <c r="H239" s="1">
        <f ca="1">IFERROR(__xludf.DUMMYFUNCTION("""COMPUTED_VALUE"""),524425654393)</f>
        <v>524425654393</v>
      </c>
      <c r="I239" s="1" t="str">
        <f ca="1">IFERROR(__xludf.DUMMYFUNCTION("""COMPUTED_VALUE"""),"Jóvenes de 13 – 17 años / SEM1/ (28 Julio a 02 de agosto)")</f>
        <v>Jóvenes de 13 – 17 años / SEM1/ (28 Julio a 02 de agosto)</v>
      </c>
      <c r="J239" s="1" t="str">
        <f ca="1">IFERROR(__xludf.DUMMYFUNCTION("""COMPUTED_VALUE"""),"Hora Silenciosa")</f>
        <v>Hora Silenciosa</v>
      </c>
      <c r="K239" s="1" t="str">
        <f ca="1">IFERROR(__xludf.DUMMYFUNCTION("""COMPUTED_VALUE"""),"Ministerios de Reconciliacion")</f>
        <v>Ministerios de Reconciliacion</v>
      </c>
      <c r="L239" s="1" t="str">
        <f ca="1">IFERROR(__xludf.DUMMYFUNCTION("""COMPUTED_VALUE"""),"Abel Sánchez")</f>
        <v>Abel Sánchez</v>
      </c>
      <c r="M239" s="1">
        <f ca="1">IFERROR(__xludf.DUMMYFUNCTION("""COMPUTED_VALUE"""),524422009595)</f>
        <v>524422009595</v>
      </c>
      <c r="N239" s="1" t="str">
        <f ca="1">IFERROR(__xludf.DUMMYFUNCTION("""COMPUTED_VALUE"""),"abogadosur@hotmail.com")</f>
        <v>abogadosur@hotmail.com</v>
      </c>
      <c r="O239" s="1" t="str">
        <f ca="1">IFERROR(__xludf.DUMMYFUNCTION("""COMPUTED_VALUE"""),"liderazgo de jóvenes")</f>
        <v>liderazgo de jóvenes</v>
      </c>
      <c r="P239" s="1" t="str">
        <f ca="1">IFERROR(__xludf.DUMMYFUNCTION("""COMPUTED_VALUE"""),"Nací en familia cristiana, y para mí todo era lo mismo, simplemente no tenía una relación con Dios, sin embargo a los 14 años, entregué mi vida a Cristo en el campamento")</f>
        <v>Nací en familia cristiana, y para mí todo era lo mismo, simplemente no tenía una relación con Dios, sin embargo a los 14 años, entregué mi vida a Cristo en el campamento</v>
      </c>
      <c r="Q239" s="1" t="str">
        <f ca="1">IFERROR(__xludf.DUMMYFUNCTION("""COMPUTED_VALUE"""),"Me gustaría darle mi última semana de vacaciones a Dios")</f>
        <v>Me gustaría darle mi última semana de vacaciones a Dios</v>
      </c>
      <c r="R239" s="1" t="str">
        <f ca="1">IFERROR(__xludf.DUMMYFUNCTION("""COMPUTED_VALUE"""),"Si")</f>
        <v>Si</v>
      </c>
      <c r="S239" s="1" t="str">
        <f ca="1">IFERROR(__xludf.DUMMYFUNCTION("""COMPUTED_VALUE"""),"Futbol, Basketball")</f>
        <v>Futbol, Basketball</v>
      </c>
      <c r="T239" s="1" t="str">
        <f ca="1">IFERROR(__xludf.DUMMYFUNCTION("""COMPUTED_VALUE"""),"No")</f>
        <v>No</v>
      </c>
      <c r="U239" s="1"/>
      <c r="V239" s="1" t="str">
        <f ca="1">IFERROR(__xludf.DUMMYFUNCTION("""COMPUTED_VALUE"""),"Medicina")</f>
        <v>Medicina</v>
      </c>
      <c r="W239" s="1" t="str">
        <f ca="1">IFERROR(__xludf.DUMMYFUNCTION("""COMPUTED_VALUE"""),"Hablar en público, se me dan los deportes muy bien, organizo personas, trabajo de mantenimiento")</f>
        <v>Hablar en público, se me dan los deportes muy bien, organizo personas, trabajo de mantenimiento</v>
      </c>
      <c r="X239" s="1" t="str">
        <f ca="1">IFERROR(__xludf.DUMMYFUNCTION("""COMPUTED_VALUE"""),"B. Me gusta animar a las personas, C. Suelo buscar que el trabajo se realice en equipo, D. Me gustan los deportes, F. Soy eficiente en el trabajo con herramientas, equipos y maquinarias, H. Soy organizado (a), I. Se me facilita el trabajo físico, K. Soy c"&amp;"reativo (a), N. Suelo llevar el liderazgo en un grupo, O. Puedo enseñar con facilidad")</f>
        <v>B. Me gusta animar a las personas, C. Suelo buscar que el trabajo se realice en equipo, D. Me gustan los deportes, F. Soy eficiente en el trabajo con herramientas, equipos y maquinarias, H. Soy organizado (a), I. Se me facilita el trabajo físico, K. Soy creativo (a), N. Suelo llevar el liderazgo en un grupo, O. Puedo enseñar con facilidad</v>
      </c>
      <c r="Y239" s="1" t="str">
        <f ca="1">IFERROR(__xludf.DUMMYFUNCTION("""COMPUTED_VALUE"""),"Si desde 2018")</f>
        <v>Si desde 2018</v>
      </c>
      <c r="Z239" s="1"/>
    </row>
    <row r="240" spans="1:26" x14ac:dyDescent="0.35">
      <c r="A240" s="2">
        <f ca="1">IFERROR(__xludf.DUMMYFUNCTION("""COMPUTED_VALUE"""),45865.9209259259)</f>
        <v>45865.920925925901</v>
      </c>
      <c r="B240" s="1"/>
      <c r="C240" s="1" t="str">
        <f ca="1">IFERROR(__xludf.DUMMYFUNCTION("""COMPUTED_VALUE"""),"Leonardo, Mora")</f>
        <v>Leonardo, Mora</v>
      </c>
      <c r="D240" s="1">
        <f ca="1">IFERROR(__xludf.DUMMYFUNCTION("""COMPUTED_VALUE"""),16)</f>
        <v>16</v>
      </c>
      <c r="E240" s="1" t="str">
        <f ca="1">IFERROR(__xludf.DUMMYFUNCTION("""COMPUTED_VALUE"""),"Hombre")</f>
        <v>Hombre</v>
      </c>
      <c r="F240" s="1" t="str">
        <f ca="1">IFERROR(__xludf.DUMMYFUNCTION("""COMPUTED_VALUE"""),"Queretaro, Mexico")</f>
        <v>Queretaro, Mexico</v>
      </c>
      <c r="G240" s="1" t="str">
        <f ca="1">IFERROR(__xludf.DUMMYFUNCTION("""COMPUTED_VALUE"""),"leonardomoramendoza54@gmail.com")</f>
        <v>leonardomoramendoza54@gmail.com</v>
      </c>
      <c r="H240" s="1">
        <f ca="1">IFERROR(__xludf.DUMMYFUNCTION("""COMPUTED_VALUE"""),524461414307)</f>
        <v>524461414307</v>
      </c>
      <c r="I240" s="1" t="str">
        <f ca="1">IFERROR(__xludf.DUMMYFUNCTION("""COMPUTED_VALUE"""),"Jóvenes de 13 – 17 años / SEM1/ (28 Julio a 02 de agosto)")</f>
        <v>Jóvenes de 13 – 17 años / SEM1/ (28 Julio a 02 de agosto)</v>
      </c>
      <c r="J240" s="1" t="str">
        <f ca="1">IFERROR(__xludf.DUMMYFUNCTION("""COMPUTED_VALUE"""),"Alabanza")</f>
        <v>Alabanza</v>
      </c>
      <c r="K240" s="1" t="str">
        <f ca="1">IFERROR(__xludf.DUMMYFUNCTION("""COMPUTED_VALUE"""),"MVI")</f>
        <v>MVI</v>
      </c>
      <c r="L240" s="1" t="str">
        <f ca="1">IFERROR(__xludf.DUMMYFUNCTION("""COMPUTED_VALUE"""),"Jonathan Hernández Loera")</f>
        <v>Jonathan Hernández Loera</v>
      </c>
      <c r="M240" s="1">
        <f ca="1">IFERROR(__xludf.DUMMYFUNCTION("""COMPUTED_VALUE"""),524422121125)</f>
        <v>524422121125</v>
      </c>
      <c r="N240" s="1" t="str">
        <f ca="1">IFERROR(__xludf.DUMMYFUNCTION("""COMPUTED_VALUE"""),"oficinamviqueretaro@gmail.com")</f>
        <v>oficinamviqueretaro@gmail.com</v>
      </c>
      <c r="O240" s="1" t="str">
        <f ca="1">IFERROR(__xludf.DUMMYFUNCTION("""COMPUTED_VALUE"""),"No cuento con uno actualmente")</f>
        <v>No cuento con uno actualmente</v>
      </c>
      <c r="P240" s="1" t="str">
        <f ca="1">IFERROR(__xludf.DUMMYFUNCTION("""COMPUTED_VALUE"""),"Pues yo vengo de cuna cristiana, pero todavía no estaba muy seguro de tomar ese paso de salvación hasta que fui a palabra de vida a mis 13 años fue que en la fogata después de la predicación tomé la edición de aceptar a Dios en mi corazón.")</f>
        <v>Pues yo vengo de cuna cristiana, pero todavía no estaba muy seguro de tomar ese paso de salvación hasta que fui a palabra de vida a mis 13 años fue que en la fogata después de la predicación tomé la edición de aceptar a Dios en mi corazón.</v>
      </c>
      <c r="Q240" s="1" t="str">
        <f ca="1">IFERROR(__xludf.DUMMYFUNCTION("""COMPUTED_VALUE"""),"Por qué quiero adorar a Dios con mi servicio a Él y pasar tiempo con amigos que no he visto en tiempo")</f>
        <v>Por qué quiero adorar a Dios con mi servicio a Él y pasar tiempo con amigos que no he visto en tiempo</v>
      </c>
      <c r="R240" s="1" t="str">
        <f ca="1">IFERROR(__xludf.DUMMYFUNCTION("""COMPUTED_VALUE"""),"Si")</f>
        <v>Si</v>
      </c>
      <c r="S240" s="1" t="str">
        <f ca="1">IFERROR(__xludf.DUMMYFUNCTION("""COMPUTED_VALUE"""),"Futbol")</f>
        <v>Futbol</v>
      </c>
      <c r="T240" s="1" t="str">
        <f ca="1">IFERROR(__xludf.DUMMYFUNCTION("""COMPUTED_VALUE"""),"No")</f>
        <v>No</v>
      </c>
      <c r="U240" s="1"/>
      <c r="V240" s="1" t="str">
        <f ca="1">IFERROR(__xludf.DUMMYFUNCTION("""COMPUTED_VALUE"""),"4to semestre de preparatoria")</f>
        <v>4to semestre de preparatoria</v>
      </c>
      <c r="W240" s="1" t="str">
        <f ca="1">IFERROR(__xludf.DUMMYFUNCTION("""COMPUTED_VALUE"""),"Los deportes más en el futbol pero le sé un poco a todos")</f>
        <v>Los deportes más en el futbol pero le sé un poco a todos</v>
      </c>
      <c r="X240" s="1" t="str">
        <f ca="1">IFERROR(__xludf.DUMMYFUNCTION("""COMPUTED_VALUE"""),"B. Me gusta animar a las personas, D. Me gustan los deportes, H. Soy organizado (a)")</f>
        <v>B. Me gusta animar a las personas, D. Me gustan los deportes, H. Soy organizado (a)</v>
      </c>
      <c r="Y240" s="1" t="str">
        <f ca="1">IFERROR(__xludf.DUMMYFUNCTION("""COMPUTED_VALUE"""),"Si, en las últimas tres temporadas")</f>
        <v>Si, en las últimas tres temporadas</v>
      </c>
      <c r="Z240" s="1"/>
    </row>
    <row r="241" spans="1:26" x14ac:dyDescent="0.35">
      <c r="A241" s="2">
        <f ca="1">IFERROR(__xludf.DUMMYFUNCTION("""COMPUTED_VALUE"""),45865.939074074)</f>
        <v>45865.939074073998</v>
      </c>
      <c r="B241" s="1"/>
      <c r="C241" s="1" t="str">
        <f ca="1">IFERROR(__xludf.DUMMYFUNCTION("""COMPUTED_VALUE"""),"Jire Isaí, Méndez Vázquez")</f>
        <v>Jire Isaí, Méndez Vázquez</v>
      </c>
      <c r="D241" s="1">
        <f ca="1">IFERROR(__xludf.DUMMYFUNCTION("""COMPUTED_VALUE"""),24)</f>
        <v>24</v>
      </c>
      <c r="E241" s="1" t="str">
        <f ca="1">IFERROR(__xludf.DUMMYFUNCTION("""COMPUTED_VALUE"""),"Hombre")</f>
        <v>Hombre</v>
      </c>
      <c r="F241" s="1" t="str">
        <f ca="1">IFERROR(__xludf.DUMMYFUNCTION("""COMPUTED_VALUE"""),"Jalisco, Mexico")</f>
        <v>Jalisco, Mexico</v>
      </c>
      <c r="G241" s="1" t="str">
        <f ca="1">IFERROR(__xludf.DUMMYFUNCTION("""COMPUTED_VALUE"""),"mendezjire@gmail.com")</f>
        <v>mendezjire@gmail.com</v>
      </c>
      <c r="H241" s="1">
        <f ca="1">IFERROR(__xludf.DUMMYFUNCTION("""COMPUTED_VALUE"""),523324552145)</f>
        <v>523324552145</v>
      </c>
      <c r="I241" s="1" t="str">
        <f ca="1">IFERROR(__xludf.DUMMYFUNCTION("""COMPUTED_VALUE"""),"Jóvenes de 13 – 17 años / SEM1/ (28 Julio a 02 de agosto)")</f>
        <v>Jóvenes de 13 – 17 años / SEM1/ (28 Julio a 02 de agosto)</v>
      </c>
      <c r="J241" s="1" t="str">
        <f ca="1">IFERROR(__xludf.DUMMYFUNCTION("""COMPUTED_VALUE"""),"Claves para un cambio profundo")</f>
        <v>Claves para un cambio profundo</v>
      </c>
      <c r="K241" s="1" t="str">
        <f ca="1">IFERROR(__xludf.DUMMYFUNCTION("""COMPUTED_VALUE"""),"Iglesia vida")</f>
        <v>Iglesia vida</v>
      </c>
      <c r="L241" s="1" t="str">
        <f ca="1">IFERROR(__xludf.DUMMYFUNCTION("""COMPUTED_VALUE"""),"Neftalí Rubio")</f>
        <v>Neftalí Rubio</v>
      </c>
      <c r="M241" s="1">
        <f ca="1">IFERROR(__xludf.DUMMYFUNCTION("""COMPUTED_VALUE"""),524411036024)</f>
        <v>524411036024</v>
      </c>
      <c r="N241" s="1" t="str">
        <f ca="1">IFERROR(__xludf.DUMMYFUNCTION("""COMPUTED_VALUE"""),"nefaly@gmail.com")</f>
        <v>nefaly@gmail.com</v>
      </c>
      <c r="O241" s="1" t="str">
        <f ca="1">IFERROR(__xludf.DUMMYFUNCTION("""COMPUTED_VALUE"""),"Jóvenes y alabanza")</f>
        <v>Jóvenes y alabanza</v>
      </c>
      <c r="P241" s="1" t="str">
        <f ca="1">IFERROR(__xludf.DUMMYFUNCTION("""COMPUTED_VALUE"""),"No tenía una identidad definida y que quería hacer con mi vida a la hora de elegir que estudiar, ahí decidí aceptar el perdón de Cristo por mis pecados y enfocarme en servirle con toda mi vida")</f>
        <v>No tenía una identidad definida y que quería hacer con mi vida a la hora de elegir que estudiar, ahí decidí aceptar el perdón de Cristo por mis pecados y enfocarme en servirle con toda mi vida</v>
      </c>
      <c r="Q241" s="1" t="str">
        <f ca="1">IFERROR(__xludf.DUMMYFUNCTION("""COMPUTED_VALUE"""),"Me encanta ser parte de su obra y ver su poder manifestado a mi alrededor")</f>
        <v>Me encanta ser parte de su obra y ver su poder manifestado a mi alrededor</v>
      </c>
      <c r="R241" s="1" t="str">
        <f ca="1">IFERROR(__xludf.DUMMYFUNCTION("""COMPUTED_VALUE"""),"Si")</f>
        <v>Si</v>
      </c>
      <c r="S241" s="1" t="str">
        <f ca="1">IFERROR(__xludf.DUMMYFUNCTION("""COMPUTED_VALUE"""),"Fut")</f>
        <v>Fut</v>
      </c>
      <c r="T241" s="1" t="str">
        <f ca="1">IFERROR(__xludf.DUMMYFUNCTION("""COMPUTED_VALUE"""),"Si")</f>
        <v>Si</v>
      </c>
      <c r="U241" s="1" t="str">
        <f ca="1">IFERROR(__xludf.DUMMYFUNCTION("""COMPUTED_VALUE"""),"Batería y guitarra")</f>
        <v>Batería y guitarra</v>
      </c>
      <c r="V241" s="1" t="str">
        <f ca="1">IFERROR(__xludf.DUMMYFUNCTION("""COMPUTED_VALUE"""),"Producción musical")</f>
        <v>Producción musical</v>
      </c>
      <c r="W241" s="1" t="str">
        <f ca="1">IFERROR(__xludf.DUMMYFUNCTION("""COMPUTED_VALUE"""),"Administrativo de una uni")</f>
        <v>Administrativo de una uni</v>
      </c>
      <c r="X241" s="1" t="str">
        <f ca="1">IFERROR(__xludf.DUMMYFUNCTION("""COMPUTED_VALUE"""),"A. Soy un discipulador activo, B. Me gusta animar a las personas, C. Suelo buscar que el trabajo se realice en equipo, D. Me gustan los deportes, I. Se me facilita el trabajo físico, J. Me gusta la atención a las personas, K. Soy creativo (a), L. Soy buen"&amp;"o (a) en canto o algún instrumento, M. Soy bueno (a) con los números, O. Puedo enseñar con facilidad")</f>
        <v>A. Soy un discipulador activo, B. Me gusta animar a las personas, C. Suelo buscar que el trabajo se realice en equipo, D. Me gustan los deportes, I. Se me facilita el trabajo físico, J. Me gusta la atención a las personas, K. Soy creativo (a), L. Soy bueno (a) en canto o algún instrumento, M. Soy bueno (a) con los números, O. Puedo enseñar con facilidad</v>
      </c>
      <c r="Y241" s="1" t="str">
        <f ca="1">IFERROR(__xludf.DUMMYFUNCTION("""COMPUTED_VALUE"""),"Smn, 2022")</f>
        <v>Smn, 2022</v>
      </c>
      <c r="Z241" s="1"/>
    </row>
    <row r="242" spans="1:26" x14ac:dyDescent="0.35">
      <c r="A242" s="2">
        <f ca="1">IFERROR(__xludf.DUMMYFUNCTION("""COMPUTED_VALUE"""),45865.9451967592)</f>
        <v>45865.945196759203</v>
      </c>
      <c r="B242" s="1"/>
      <c r="C242" s="1" t="str">
        <f ca="1">IFERROR(__xludf.DUMMYFUNCTION("""COMPUTED_VALUE"""),"Zeyry Adrian, Carbajal Miranda")</f>
        <v>Zeyry Adrian, Carbajal Miranda</v>
      </c>
      <c r="D242" s="1">
        <f ca="1">IFERROR(__xludf.DUMMYFUNCTION("""COMPUTED_VALUE"""),31)</f>
        <v>31</v>
      </c>
      <c r="E242" s="1" t="str">
        <f ca="1">IFERROR(__xludf.DUMMYFUNCTION("""COMPUTED_VALUE"""),"Hombre")</f>
        <v>Hombre</v>
      </c>
      <c r="F242" s="1" t="str">
        <f ca="1">IFERROR(__xludf.DUMMYFUNCTION("""COMPUTED_VALUE"""),"Jalisco, Mexico")</f>
        <v>Jalisco, Mexico</v>
      </c>
      <c r="G242" s="1" t="str">
        <f ca="1">IFERROR(__xludf.DUMMYFUNCTION("""COMPUTED_VALUE"""),"zeyrymiranda@gmail.com")</f>
        <v>zeyrymiranda@gmail.com</v>
      </c>
      <c r="H242" s="1">
        <f ca="1">IFERROR(__xludf.DUMMYFUNCTION("""COMPUTED_VALUE"""),523338417251)</f>
        <v>523338417251</v>
      </c>
      <c r="I242" s="1" t="str">
        <f ca="1">IFERROR(__xludf.DUMMYFUNCTION("""COMPUTED_VALUE"""),"Jóvenes de 13 – 17 años / SEM1/ (28 Julio a 02 de agosto)")</f>
        <v>Jóvenes de 13 – 17 años / SEM1/ (28 Julio a 02 de agosto)</v>
      </c>
      <c r="J242" s="1" t="str">
        <f ca="1">IFERROR(__xludf.DUMMYFUNCTION("""COMPUTED_VALUE"""),"Glorify")</f>
        <v>Glorify</v>
      </c>
      <c r="K242" s="1" t="str">
        <f ca="1">IFERROR(__xludf.DUMMYFUNCTION("""COMPUTED_VALUE"""),"Vida")</f>
        <v>Vida</v>
      </c>
      <c r="L242" s="1" t="str">
        <f ca="1">IFERROR(__xludf.DUMMYFUNCTION("""COMPUTED_VALUE"""),"Neftalí Rubio Bonilla")</f>
        <v>Neftalí Rubio Bonilla</v>
      </c>
      <c r="M242" s="1">
        <f ca="1">IFERROR(__xludf.DUMMYFUNCTION("""COMPUTED_VALUE"""),524411036024)</f>
        <v>524411036024</v>
      </c>
      <c r="N242" s="1" t="str">
        <f ca="1">IFERROR(__xludf.DUMMYFUNCTION("""COMPUTED_VALUE"""),"nefaly@gmail.com")</f>
        <v>nefaly@gmail.com</v>
      </c>
      <c r="O242" s="1" t="str">
        <f ca="1">IFERROR(__xludf.DUMMYFUNCTION("""COMPUTED_VALUE"""),"Redes sociales en Vive + jóvenes mayores y en la cafetería")</f>
        <v>Redes sociales en Vive + jóvenes mayores y en la cafetería</v>
      </c>
      <c r="P242" s="1" t="str">
        <f ca="1">IFERROR(__xludf.DUMMYFUNCTION("""COMPUTED_VALUE"""),"Crecí con un padre violento cuando tomaba, pero mi madre me enseñó a depender de un Dios al que podíamos llamar Papá y el día en que mi padre se volvió loco hice una oración que cambió mi vida, acudí a Dios e hice mi confesión de fe, rogándole que fuera m"&amp;"i padre celestial y terrenal. Hasta el día de hoy he sentido y tenido una relación más personal con mi Jesús y creo que muchos jóvenes que han pasado por lo mismo deben saber que Dios puede cubrir cualquier vacío.")</f>
        <v>Crecí con un padre violento cuando tomaba, pero mi madre me enseñó a depender de un Dios al que podíamos llamar Papá y el día en que mi padre se volvió loco hice una oración que cambió mi vida, acudí a Dios e hice mi confesión de fe, rogándole que fuera mi padre celestial y terrenal. Hasta el día de hoy he sentido y tenido una relación más personal con mi Jesús y creo que muchos jóvenes que han pasado por lo mismo deben saber que Dios puede cubrir cualquier vacío.</v>
      </c>
      <c r="Q242" s="1" t="str">
        <f ca="1">IFERROR(__xludf.DUMMYFUNCTION("""COMPUTED_VALUE"""),"Quiero servir en un lugar en donde puedo cumplir mi propósito como hijo de Dios, con aquellos jóvenes que están quebrados como yo en algún momento de mi vida lo estuve.")</f>
        <v>Quiero servir en un lugar en donde puedo cumplir mi propósito como hijo de Dios, con aquellos jóvenes que están quebrados como yo en algún momento de mi vida lo estuve.</v>
      </c>
      <c r="R242" s="1" t="str">
        <f ca="1">IFERROR(__xludf.DUMMYFUNCTION("""COMPUTED_VALUE"""),"Si")</f>
        <v>Si</v>
      </c>
      <c r="S242" s="1" t="str">
        <f ca="1">IFERROR(__xludf.DUMMYFUNCTION("""COMPUTED_VALUE"""),"Gimnasio")</f>
        <v>Gimnasio</v>
      </c>
      <c r="T242" s="1" t="str">
        <f ca="1">IFERROR(__xludf.DUMMYFUNCTION("""COMPUTED_VALUE"""),"Si")</f>
        <v>Si</v>
      </c>
      <c r="U242" s="1" t="str">
        <f ca="1">IFERROR(__xludf.DUMMYFUNCTION("""COMPUTED_VALUE"""),"El pandero")</f>
        <v>El pandero</v>
      </c>
      <c r="V242" s="1" t="str">
        <f ca="1">IFERROR(__xludf.DUMMYFUNCTION("""COMPUTED_VALUE"""),"Inglés")</f>
        <v>Inglés</v>
      </c>
      <c r="W242" s="1" t="str">
        <f ca="1">IFERROR(__xludf.DUMMYFUNCTION("""COMPUTED_VALUE"""),"Soy Abogado")</f>
        <v>Soy Abogado</v>
      </c>
      <c r="X242" s="1" t="str">
        <f ca="1">IFERROR(__xludf.DUMMYFUNCTION("""COMPUTED_VALUE"""),"A. Soy un discipulador activo, B. Me gusta animar a las personas, C. Suelo buscar que el trabajo se realice en equipo, H. Soy organizado (a), K. Soy creativo (a), N. Suelo llevar el liderazgo en un grupo, O. Puedo enseñar con facilidad")</f>
        <v>A. Soy un discipulador activo, B. Me gusta animar a las personas, C. Suelo buscar que el trabajo se realice en equipo, H. Soy organizado (a), K. Soy creativo (a), N. Suelo llevar el liderazgo en un grupo, O. Puedo enseñar con facilidad</v>
      </c>
      <c r="Y242" s="1" t="str">
        <f ca="1">IFERROR(__xludf.DUMMYFUNCTION("""COMPUTED_VALUE"""),"Si, hace dos años y equipante el año pasado.")</f>
        <v>Si, hace dos años y equipante el año pasado.</v>
      </c>
      <c r="Z242" s="1"/>
    </row>
    <row r="243" spans="1:26" x14ac:dyDescent="0.35">
      <c r="A243" s="2">
        <f ca="1">IFERROR(__xludf.DUMMYFUNCTION("""COMPUTED_VALUE"""),45866.3760185185)</f>
        <v>45866.376018518502</v>
      </c>
      <c r="B243" s="1"/>
      <c r="C243" s="1" t="str">
        <f ca="1">IFERROR(__xludf.DUMMYFUNCTION("""COMPUTED_VALUE"""),"Iñaki Alejandro, Maldonado Diaz")</f>
        <v>Iñaki Alejandro, Maldonado Diaz</v>
      </c>
      <c r="D243" s="1">
        <f ca="1">IFERROR(__xludf.DUMMYFUNCTION("""COMPUTED_VALUE"""),21)</f>
        <v>21</v>
      </c>
      <c r="E243" s="1" t="str">
        <f ca="1">IFERROR(__xludf.DUMMYFUNCTION("""COMPUTED_VALUE"""),"Hombre")</f>
        <v>Hombre</v>
      </c>
      <c r="F243" s="1" t="str">
        <f ca="1">IFERROR(__xludf.DUMMYFUNCTION("""COMPUTED_VALUE"""),"Tamaulipas, Mexico")</f>
        <v>Tamaulipas, Mexico</v>
      </c>
      <c r="G243" s="1" t="str">
        <f ca="1">IFERROR(__xludf.DUMMYFUNCTION("""COMPUTED_VALUE"""),"inaki04@outlook.com")</f>
        <v>inaki04@outlook.com</v>
      </c>
      <c r="H243" s="1">
        <f ca="1">IFERROR(__xludf.DUMMYFUNCTION("""COMPUTED_VALUE"""),528333415479)</f>
        <v>528333415479</v>
      </c>
      <c r="I243" s="1" t="str">
        <f ca="1">IFERROR(__xludf.DUMMYFUNCTION("""COMPUTED_VALUE"""),"Jóvenes de 13 – 17 años / SEM1/ (28 Julio a 02 de agosto)")</f>
        <v>Jóvenes de 13 – 17 años / SEM1/ (28 Julio a 02 de agosto)</v>
      </c>
      <c r="J243" s="1" t="str">
        <f ca="1">IFERROR(__xludf.DUMMYFUNCTION("""COMPUTED_VALUE"""),"HS")</f>
        <v>HS</v>
      </c>
      <c r="K243" s="1" t="str">
        <f ca="1">IFERROR(__xludf.DUMMYFUNCTION("""COMPUTED_VALUE"""),"Gracia sobre Gracua")</f>
        <v>Gracia sobre Gracua</v>
      </c>
      <c r="L243" s="1" t="str">
        <f ca="1">IFERROR(__xludf.DUMMYFUNCTION("""COMPUTED_VALUE"""),"Edgar Franco")</f>
        <v>Edgar Franco</v>
      </c>
      <c r="M243" s="1">
        <f ca="1">IFERROR(__xludf.DUMMYFUNCTION("""COMPUTED_VALUE"""),528331768824)</f>
        <v>528331768824</v>
      </c>
      <c r="N243" s="1" t="str">
        <f ca="1">IFERROR(__xludf.DUMMYFUNCTION("""COMPUTED_VALUE"""),"edgar.franco83@gmail.com")</f>
        <v>edgar.franco83@gmail.com</v>
      </c>
      <c r="O243" s="1" t="str">
        <f ca="1">IFERROR(__xludf.DUMMYFUNCTION("""COMPUTED_VALUE"""),"Siervo de jóvenes")</f>
        <v>Siervo de jóvenes</v>
      </c>
      <c r="P243" s="1" t="str">
        <f ca="1">IFERROR(__xludf.DUMMYFUNCTION("""COMPUTED_VALUE"""),"No soy de cama cristiana, mi familia no es cristiana, tuve un acercamiento a la iglesia a los 16 años y conocí a Cristo a los 20, comprendí en el evangelio y una noche le confesé al Señor y entregué mi vida a él")</f>
        <v>No soy de cama cristiana, mi familia no es cristiana, tuve un acercamiento a la iglesia a los 16 años y conocí a Cristo a los 20, comprendí en el evangelio y una noche le confesé al Señor y entregué mi vida a él</v>
      </c>
      <c r="Q243" s="1" t="str">
        <f ca="1">IFERROR(__xludf.DUMMYFUNCTION("""COMPUTED_VALUE"""),"Quiero servir al Señor, y acompañar a mi primo que vino a esta semana")</f>
        <v>Quiero servir al Señor, y acompañar a mi primo que vino a esta semana</v>
      </c>
      <c r="R243" s="1" t="str">
        <f ca="1">IFERROR(__xludf.DUMMYFUNCTION("""COMPUTED_VALUE"""),"Si")</f>
        <v>Si</v>
      </c>
      <c r="S243" s="1" t="str">
        <f ca="1">IFERROR(__xludf.DUMMYFUNCTION("""COMPUTED_VALUE"""),"Futbol")</f>
        <v>Futbol</v>
      </c>
      <c r="T243" s="1" t="str">
        <f ca="1">IFERROR(__xludf.DUMMYFUNCTION("""COMPUTED_VALUE"""),"Si")</f>
        <v>Si</v>
      </c>
      <c r="U243" s="1" t="str">
        <f ca="1">IFERROR(__xludf.DUMMYFUNCTION("""COMPUTED_VALUE"""),"Guitarra")</f>
        <v>Guitarra</v>
      </c>
      <c r="V243" s="1" t="str">
        <f ca="1">IFERROR(__xludf.DUMMYFUNCTION("""COMPUTED_VALUE"""),"Ing industrial")</f>
        <v>Ing industrial</v>
      </c>
      <c r="W243" s="1" t="str">
        <f ca="1">IFERROR(__xludf.DUMMYFUNCTION("""COMPUTED_VALUE"""),"Barbero")</f>
        <v>Barbero</v>
      </c>
      <c r="X243" s="1" t="str">
        <f ca="1">IFERROR(__xludf.DUMMYFUNCTION("""COMPUTED_VALUE"""),"C. Suelo buscar que el trabajo se realice en equipo, D. Me gustan los deportes, I. Se me facilita el trabajo físico, J. Me gusta la atención a las personas, M. Soy bueno (a) con los números")</f>
        <v>C. Suelo buscar que el trabajo se realice en equipo, D. Me gustan los deportes, I. Se me facilita el trabajo físico, J. Me gusta la atención a las personas, M. Soy bueno (a) con los números</v>
      </c>
      <c r="Y243" s="1" t="str">
        <f ca="1">IFERROR(__xludf.DUMMYFUNCTION("""COMPUTED_VALUE"""),"Si, en la semana +18 de este año")</f>
        <v>Si, en la semana +18 de este año</v>
      </c>
      <c r="Z243" s="1"/>
    </row>
    <row r="244" spans="1:26" x14ac:dyDescent="0.35">
      <c r="A244" s="2">
        <f ca="1">IFERROR(__xludf.DUMMYFUNCTION("""COMPUTED_VALUE"""),45866.3782407407)</f>
        <v>45866.378240740698</v>
      </c>
      <c r="B244" s="1"/>
      <c r="C244" s="1" t="str">
        <f ca="1">IFERROR(__xludf.DUMMYFUNCTION("""COMPUTED_VALUE"""),"Elisabet sinai, Mendez casanova")</f>
        <v>Elisabet sinai, Mendez casanova</v>
      </c>
      <c r="D244" s="1">
        <f ca="1">IFERROR(__xludf.DUMMYFUNCTION("""COMPUTED_VALUE"""),15)</f>
        <v>15</v>
      </c>
      <c r="E244" s="1" t="str">
        <f ca="1">IFERROR(__xludf.DUMMYFUNCTION("""COMPUTED_VALUE"""),"Mujer")</f>
        <v>Mujer</v>
      </c>
      <c r="F244" s="1" t="str">
        <f ca="1">IFERROR(__xludf.DUMMYFUNCTION("""COMPUTED_VALUE"""),"Campeche, Mexico")</f>
        <v>Campeche, Mexico</v>
      </c>
      <c r="G244" s="1" t="str">
        <f ca="1">IFERROR(__xludf.DUMMYFUNCTION("""COMPUTED_VALUE"""),"elisabet240617@gmail.com")</f>
        <v>elisabet240617@gmail.com</v>
      </c>
      <c r="H244" s="1">
        <f ca="1">IFERROR(__xludf.DUMMYFUNCTION("""COMPUTED_VALUE"""),529381884771)</f>
        <v>529381884771</v>
      </c>
      <c r="I244" s="1" t="str">
        <f ca="1">IFERROR(__xludf.DUMMYFUNCTION("""COMPUTED_VALUE"""),"Jóvenes de 13 – 17 años / SEM1/ (28 Julio a 02 de agosto), Jóvenes de 13 – 17 años / SEM2/ (4 - 09 agosto), Jóvenes de 13 – 17 años / SEM3/ (11 - 16 agosto)")</f>
        <v>Jóvenes de 13 – 17 años / SEM1/ (28 Julio a 02 de agosto), Jóvenes de 13 – 17 años / SEM2/ (4 - 09 agosto), Jóvenes de 13 – 17 años / SEM3/ (11 - 16 agosto)</v>
      </c>
      <c r="J244" s="1" t="str">
        <f ca="1">IFERROR(__xludf.DUMMYFUNCTION("""COMPUTED_VALUE"""),"Vsc")</f>
        <v>Vsc</v>
      </c>
      <c r="K244" s="1" t="str">
        <f ca="1">IFERROR(__xludf.DUMMYFUNCTION("""COMPUTED_VALUE"""),"Vida sociedad ciltural")</f>
        <v>Vida sociedad ciltural</v>
      </c>
      <c r="L244" s="1" t="str">
        <f ca="1">IFERROR(__xludf.DUMMYFUNCTION("""COMPUTED_VALUE"""),"J. Natividad Ramos")</f>
        <v>J. Natividad Ramos</v>
      </c>
      <c r="M244" s="1">
        <f ca="1">IFERROR(__xludf.DUMMYFUNCTION("""COMPUTED_VALUE"""),529381032007)</f>
        <v>529381032007</v>
      </c>
      <c r="N244" s="1" t="str">
        <f ca="1">IFERROR(__xludf.DUMMYFUNCTION("""COMPUTED_VALUE"""),"jnatividadramosg@gmail.com")</f>
        <v>jnatividadramosg@gmail.com</v>
      </c>
      <c r="O244" s="1" t="str">
        <f ca="1">IFERROR(__xludf.DUMMYFUNCTION("""COMPUTED_VALUE"""),"Limpieza")</f>
        <v>Limpieza</v>
      </c>
      <c r="P244" s="1" t="str">
        <f ca="1">IFERROR(__xludf.DUMMYFUNCTION("""COMPUTED_VALUE"""),"Acepte a cristo a los 13 años despues de darme cue ta que no puedo hacer nada sin cristo y que queria serviorle toda la vida")</f>
        <v>Acepte a cristo a los 13 años despues de darme cue ta que no puedo hacer nada sin cristo y que queria serviorle toda la vida</v>
      </c>
      <c r="Q244" s="1" t="str">
        <f ca="1">IFERROR(__xludf.DUMMYFUNCTION("""COMPUTED_VALUE"""),"Para impactar a otros y demostra que aun lavando un plato o limpiando un baño estas sirviendo al señor fielmente")</f>
        <v>Para impactar a otros y demostra que aun lavando un plato o limpiando un baño estas sirviendo al señor fielmente</v>
      </c>
      <c r="R244" s="1" t="str">
        <f ca="1">IFERROR(__xludf.DUMMYFUNCTION("""COMPUTED_VALUE"""),"No")</f>
        <v>No</v>
      </c>
      <c r="S244" s="1"/>
      <c r="T244" s="1" t="str">
        <f ca="1">IFERROR(__xludf.DUMMYFUNCTION("""COMPUTED_VALUE"""),"No")</f>
        <v>No</v>
      </c>
      <c r="U244" s="1"/>
      <c r="V244" s="1" t="str">
        <f ca="1">IFERROR(__xludf.DUMMYFUNCTION("""COMPUTED_VALUE"""),"Bachillerato")</f>
        <v>Bachillerato</v>
      </c>
      <c r="W244" s="1" t="str">
        <f ca="1">IFERROR(__xludf.DUMMYFUNCTION("""COMPUTED_VALUE"""),"Te go paciencia")</f>
        <v>Te go paciencia</v>
      </c>
      <c r="X244" s="1" t="str">
        <f ca="1">IFERROR(__xludf.DUMMYFUNCTION("""COMPUTED_VALUE"""),"A. Soy un discipulador activo, C. Suelo buscar que el trabajo se realice en equipo, N. Suelo llevar el liderazgo en un grupo")</f>
        <v>A. Soy un discipulador activo, C. Suelo buscar que el trabajo se realice en equipo, N. Suelo llevar el liderazgo en un grupo</v>
      </c>
      <c r="Y244" s="1" t="str">
        <f ca="1">IFERROR(__xludf.DUMMYFUNCTION("""COMPUTED_VALUE"""),"Si, en semana de adolecentes")</f>
        <v>Si, en semana de adolecentes</v>
      </c>
      <c r="Z244" s="1"/>
    </row>
    <row r="245" spans="1:26" x14ac:dyDescent="0.35">
      <c r="A245" s="2">
        <f ca="1">IFERROR(__xludf.DUMMYFUNCTION("""COMPUTED_VALUE"""),45866.5679861111)</f>
        <v>45866.567986111098</v>
      </c>
      <c r="B245" s="1"/>
      <c r="C245" s="1" t="str">
        <f ca="1">IFERROR(__xludf.DUMMYFUNCTION("""COMPUTED_VALUE"""),"Karina, Pollard")</f>
        <v>Karina, Pollard</v>
      </c>
      <c r="D245" s="1">
        <f ca="1">IFERROR(__xludf.DUMMYFUNCTION("""COMPUTED_VALUE"""),54)</f>
        <v>54</v>
      </c>
      <c r="E245" s="1" t="str">
        <f ca="1">IFERROR(__xludf.DUMMYFUNCTION("""COMPUTED_VALUE"""),"Mujer")</f>
        <v>Mujer</v>
      </c>
      <c r="F245" s="1" t="str">
        <f ca="1">IFERROR(__xludf.DUMMYFUNCTION("""COMPUTED_VALUE"""),"Illinois, United States")</f>
        <v>Illinois, United States</v>
      </c>
      <c r="G245" s="1" t="str">
        <f ca="1">IFERROR(__xludf.DUMMYFUNCTION("""COMPUTED_VALUE"""),"karypollard@gmail.com")</f>
        <v>karypollard@gmail.com</v>
      </c>
      <c r="H245" s="1" t="str">
        <f ca="1">IFERROR(__xludf.DUMMYFUNCTION("""COMPUTED_VALUE"""),"#ERROR!")</f>
        <v>#ERROR!</v>
      </c>
      <c r="I245" s="1" t="str">
        <f ca="1">IFERROR(__xludf.DUMMYFUNCTION("""COMPUTED_VALUE"""),"Jóvenes de 13 – 17 años / SEM3/ (11 - 16 agosto)")</f>
        <v>Jóvenes de 13 – 17 años / SEM3/ (11 - 16 agosto)</v>
      </c>
      <c r="J245" s="1" t="str">
        <f ca="1">IFERROR(__xludf.DUMMYFUNCTION("""COMPUTED_VALUE"""),"Mi Biblia")</f>
        <v>Mi Biblia</v>
      </c>
      <c r="K245" s="1" t="str">
        <f ca="1">IFERROR(__xludf.DUMMYFUNCTION("""COMPUTED_VALUE"""),"Ministerios Plenitud de Vida")</f>
        <v>Ministerios Plenitud de Vida</v>
      </c>
      <c r="L245" s="1" t="str">
        <f ca="1">IFERROR(__xludf.DUMMYFUNCTION("""COMPUTED_VALUE"""),"Roberto Cambrany")</f>
        <v>Roberto Cambrany</v>
      </c>
      <c r="M245" s="1" t="str">
        <f ca="1">IFERROR(__xludf.DUMMYFUNCTION("""COMPUTED_VALUE"""),"#ERROR!")</f>
        <v>#ERROR!</v>
      </c>
      <c r="N245" s="1" t="str">
        <f ca="1">IFERROR(__xludf.DUMMYFUNCTION("""COMPUTED_VALUE"""),"Roberto.Cambrany@crosslifeefc.org")</f>
        <v>Roberto.Cambrany@crosslifeefc.org</v>
      </c>
      <c r="O245" s="1" t="str">
        <f ca="1">IFERROR(__xludf.DUMMYFUNCTION("""COMPUTED_VALUE"""),"Enseñanza y oración")</f>
        <v>Enseñanza y oración</v>
      </c>
      <c r="P245" s="1" t="str">
        <f ca="1">IFERROR(__xludf.DUMMYFUNCTION("""COMPUTED_VALUE"""),"Crecí en una familia cristiana. Recibí al Señor Jesucristo como mi Salvador a los 12 años. Pero empezé a conocerlo de una manera personal a los 25 años más o menos. Sin embargo cada vez entiendo de una manera más profunda la Obra de redencion  y Salvacion"&amp;" en Cristo, lo que significa vida cristiana y la Verdad de la Palabra de Dios en mi vida.")</f>
        <v>Crecí en una familia cristiana. Recibí al Señor Jesucristo como mi Salvador a los 12 años. Pero empezé a conocerlo de una manera personal a los 25 años más o menos. Sin embargo cada vez entiendo de una manera más profunda la Obra de redencion  y Salvacion en Cristo, lo que significa vida cristiana y la Verdad de la Palabra de Dios en mi vida.</v>
      </c>
      <c r="Q245" s="1" t="str">
        <f ca="1">IFERROR(__xludf.DUMMYFUNCTION("""COMPUTED_VALUE"""),"Nos encantaría que niestros dos hijos pudierán asistir al campamento y yo poder ser parte de su experiencia estándo esa semana en el campamento, sierviéndo!!
Siempre encuentro mucho gozo y satisfacción en servir al Señor!")</f>
        <v>Nos encantaría que niestros dos hijos pudierán asistir al campamento y yo poder ser parte de su experiencia estándo esa semana en el campamento, sierviéndo!!
Siempre encuentro mucho gozo y satisfacción en servir al Señor!</v>
      </c>
      <c r="R245" s="1" t="str">
        <f ca="1">IFERROR(__xludf.DUMMYFUNCTION("""COMPUTED_VALUE"""),"No")</f>
        <v>No</v>
      </c>
      <c r="S245" s="1"/>
      <c r="T245" s="1" t="str">
        <f ca="1">IFERROR(__xludf.DUMMYFUNCTION("""COMPUTED_VALUE"""),"No")</f>
        <v>No</v>
      </c>
      <c r="U245" s="1"/>
      <c r="V245" s="1" t="str">
        <f ca="1">IFERROR(__xludf.DUMMYFUNCTION("""COMPUTED_VALUE"""),"Soy Mamá, y sigo estudiándo la Palabra de Dios.")</f>
        <v>Soy Mamá, y sigo estudiándo la Palabra de Dios.</v>
      </c>
      <c r="W245" s="1" t="str">
        <f ca="1">IFERROR(__xludf.DUMMYFUNCTION("""COMPUTED_VALUE"""),"Escuchar y dar Palabras de ánimo. Servir en lo que se necesite.")</f>
        <v>Escuchar y dar Palabras de ánimo. Servir en lo que se necesite.</v>
      </c>
      <c r="X245" s="1" t="str">
        <f ca="1">IFERROR(__xludf.DUMMYFUNCTION("""COMPUTED_VALUE"""),"B. Me gusta animar a las personas, J. Me gusta la atención a las personas")</f>
        <v>B. Me gusta animar a las personas, J. Me gusta la atención a las personas</v>
      </c>
      <c r="Y245" s="1" t="str">
        <f ca="1">IFERROR(__xludf.DUMMYFUNCTION("""COMPUTED_VALUE"""),"No")</f>
        <v>No</v>
      </c>
      <c r="Z245" s="1"/>
    </row>
    <row r="246" spans="1:26" x14ac:dyDescent="0.35">
      <c r="A246" s="2">
        <f ca="1">IFERROR(__xludf.DUMMYFUNCTION("""COMPUTED_VALUE"""),45866.659224537)</f>
        <v>45866.659224536997</v>
      </c>
      <c r="B246" s="1"/>
      <c r="C246" s="1" t="str">
        <f ca="1">IFERROR(__xludf.DUMMYFUNCTION("""COMPUTED_VALUE"""),"Jose Maria, Martinez Valle")</f>
        <v>Jose Maria, Martinez Valle</v>
      </c>
      <c r="D246" s="1">
        <f ca="1">IFERROR(__xludf.DUMMYFUNCTION("""COMPUTED_VALUE"""),18)</f>
        <v>18</v>
      </c>
      <c r="E246" s="1" t="str">
        <f ca="1">IFERROR(__xludf.DUMMYFUNCTION("""COMPUTED_VALUE"""),"Hombre")</f>
        <v>Hombre</v>
      </c>
      <c r="F246" s="1" t="str">
        <f ca="1">IFERROR(__xludf.DUMMYFUNCTION("""COMPUTED_VALUE"""),"Jalisco, Mexico")</f>
        <v>Jalisco, Mexico</v>
      </c>
      <c r="G246" s="1" t="str">
        <f ca="1">IFERROR(__xludf.DUMMYFUNCTION("""COMPUTED_VALUE"""),"chemam004@outlook.es")</f>
        <v>chemam004@outlook.es</v>
      </c>
      <c r="H246" s="1">
        <f ca="1">IFERROR(__xludf.DUMMYFUNCTION("""COMPUTED_VALUE"""),523321776077)</f>
        <v>523321776077</v>
      </c>
      <c r="I246" s="1" t="str">
        <f ca="1">IFERROR(__xludf.DUMMYFUNCTION("""COMPUTED_VALUE"""),"Jóvenes de 13 – 17 años / SEM1/ (28 Julio a 02 de agosto), Jóvenes de 13 – 17 años / SEM2/ (4 - 09 agosto), Jóvenes de 13 – 17 años / SEM3/ (11 - 16 agosto)")</f>
        <v>Jóvenes de 13 – 17 años / SEM1/ (28 Julio a 02 de agosto), Jóvenes de 13 – 17 años / SEM2/ (4 - 09 agosto), Jóvenes de 13 – 17 años / SEM3/ (11 - 16 agosto)</v>
      </c>
      <c r="J246" s="1" t="str">
        <f ca="1">IFERROR(__xludf.DUMMYFUNCTION("""COMPUTED_VALUE"""),"Mi Pan Diario")</f>
        <v>Mi Pan Diario</v>
      </c>
      <c r="K246" s="1" t="str">
        <f ca="1">IFERROR(__xludf.DUMMYFUNCTION("""COMPUTED_VALUE"""),"Vida")</f>
        <v>Vida</v>
      </c>
      <c r="L246" s="1" t="str">
        <f ca="1">IFERROR(__xludf.DUMMYFUNCTION("""COMPUTED_VALUE"""),"Neftali")</f>
        <v>Neftali</v>
      </c>
      <c r="M246" s="1">
        <f ca="1">IFERROR(__xludf.DUMMYFUNCTION("""COMPUTED_VALUE"""),524411036024)</f>
        <v>524411036024</v>
      </c>
      <c r="N246" s="1" t="str">
        <f ca="1">IFERROR(__xludf.DUMMYFUNCTION("""COMPUTED_VALUE"""),"nefaly0710@gmail.com")</f>
        <v>nefaly0710@gmail.com</v>
      </c>
      <c r="O246" s="1" t="str">
        <f ca="1">IFERROR(__xludf.DUMMYFUNCTION("""COMPUTED_VALUE"""),"Jóvenes")</f>
        <v>Jóvenes</v>
      </c>
      <c r="P246" s="1" t="str">
        <f ca="1">IFERROR(__xludf.DUMMYFUNCTION("""COMPUTED_VALUE"""),"Dios me salvo cuando me invitaron a una iglesia y asisti, y estando ahi senti como el señor me hablo")</f>
        <v>Dios me salvo cuando me invitaron a una iglesia y asisti, y estando ahi senti como el señor me hablo</v>
      </c>
      <c r="Q246" s="1" t="str">
        <f ca="1">IFERROR(__xludf.DUMMYFUNCTION("""COMPUTED_VALUE"""),"Para servir a Dios")</f>
        <v>Para servir a Dios</v>
      </c>
      <c r="R246" s="1" t="str">
        <f ca="1">IFERROR(__xludf.DUMMYFUNCTION("""COMPUTED_VALUE"""),"Si")</f>
        <v>Si</v>
      </c>
      <c r="S246" s="1" t="str">
        <f ca="1">IFERROR(__xludf.DUMMYFUNCTION("""COMPUTED_VALUE"""),"Básquetbol")</f>
        <v>Básquetbol</v>
      </c>
      <c r="T246" s="1" t="str">
        <f ca="1">IFERROR(__xludf.DUMMYFUNCTION("""COMPUTED_VALUE"""),"Si")</f>
        <v>Si</v>
      </c>
      <c r="U246" s="1" t="str">
        <f ca="1">IFERROR(__xludf.DUMMYFUNCTION("""COMPUTED_VALUE"""),"Trompet")</f>
        <v>Trompet</v>
      </c>
      <c r="V246" s="1" t="str">
        <f ca="1">IFERROR(__xludf.DUMMYFUNCTION("""COMPUTED_VALUE"""),"Universidad")</f>
        <v>Universidad</v>
      </c>
      <c r="W246" s="1" t="str">
        <f ca="1">IFERROR(__xludf.DUMMYFUNCTION("""COMPUTED_VALUE"""),"Ingles")</f>
        <v>Ingles</v>
      </c>
      <c r="X246" s="1" t="str">
        <f ca="1">IFERROR(__xludf.DUMMYFUNCTION("""COMPUTED_VALUE"""),"A. Soy un discipulador activo, B. Me gusta animar a las personas, I. Se me facilita el trabajo físico, K. Soy creativo (a)")</f>
        <v>A. Soy un discipulador activo, B. Me gusta animar a las personas, I. Se me facilita el trabajo físico, K. Soy creativo (a)</v>
      </c>
      <c r="Y246" s="1" t="str">
        <f ca="1">IFERROR(__xludf.DUMMYFUNCTION("""COMPUTED_VALUE"""),"Temporada 2024")</f>
        <v>Temporada 2024</v>
      </c>
      <c r="Z246" s="1"/>
    </row>
    <row r="247" spans="1:26" x14ac:dyDescent="0.35">
      <c r="A247" s="2">
        <f ca="1">IFERROR(__xludf.DUMMYFUNCTION("""COMPUTED_VALUE"""),45867.6090277777)</f>
        <v>45867.609027777697</v>
      </c>
      <c r="B247" s="1"/>
      <c r="C247" s="1" t="str">
        <f ca="1">IFERROR(__xludf.DUMMYFUNCTION("""COMPUTED_VALUE"""),"Isaac Antonio, Hernández García")</f>
        <v>Isaac Antonio, Hernández García</v>
      </c>
      <c r="D247" s="1">
        <f ca="1">IFERROR(__xludf.DUMMYFUNCTION("""COMPUTED_VALUE"""),40)</f>
        <v>40</v>
      </c>
      <c r="E247" s="1" t="str">
        <f ca="1">IFERROR(__xludf.DUMMYFUNCTION("""COMPUTED_VALUE"""),"Hombre")</f>
        <v>Hombre</v>
      </c>
      <c r="F247" s="1" t="str">
        <f ca="1">IFERROR(__xludf.DUMMYFUNCTION("""COMPUTED_VALUE"""),"Mexico, Mexico")</f>
        <v>Mexico, Mexico</v>
      </c>
      <c r="G247" s="1" t="str">
        <f ca="1">IFERROR(__xludf.DUMMYFUNCTION("""COMPUTED_VALUE"""),"isaac_hg@hotmail.com")</f>
        <v>isaac_hg@hotmail.com</v>
      </c>
      <c r="H247" s="1">
        <f ca="1">IFERROR(__xludf.DUMMYFUNCTION("""COMPUTED_VALUE"""),525532048106)</f>
        <v>525532048106</v>
      </c>
      <c r="I247" s="1" t="str">
        <f ca="1">IFERROR(__xludf.DUMMYFUNCTION("""COMPUTED_VALUE"""),"Jóvenes de 13 – 17 años / SEM1/ (28 Julio a 02 de agosto), Jóvenes de 13 – 17 años / SEM2/ (4 - 09 agosto), Jóvenes de 13 – 17 años / SEM3/ (11 - 16 agosto)")</f>
        <v>Jóvenes de 13 – 17 años / SEM1/ (28 Julio a 02 de agosto), Jóvenes de 13 – 17 años / SEM2/ (4 - 09 agosto), Jóvenes de 13 – 17 años / SEM3/ (11 - 16 agosto)</v>
      </c>
      <c r="J247" s="1" t="str">
        <f ca="1">IFERROR(__xludf.DUMMYFUNCTION("""COMPUTED_VALUE"""),"Devocional Diario Personal")</f>
        <v>Devocional Diario Personal</v>
      </c>
      <c r="K247" s="1" t="str">
        <f ca="1">IFERROR(__xludf.DUMMYFUNCTION("""COMPUTED_VALUE"""),"Semilla de Mostaza")</f>
        <v>Semilla de Mostaza</v>
      </c>
      <c r="L247" s="1" t="str">
        <f ca="1">IFERROR(__xludf.DUMMYFUNCTION("""COMPUTED_VALUE"""),"NA")</f>
        <v>NA</v>
      </c>
      <c r="M247" s="1">
        <f ca="1">IFERROR(__xludf.DUMMYFUNCTION("""COMPUTED_VALUE"""),520000000000)</f>
        <v>520000000000</v>
      </c>
      <c r="N247" s="1" t="str">
        <f ca="1">IFERROR(__xludf.DUMMYFUNCTION("""COMPUTED_VALUE"""),"isaac_hg@hotmail.com")</f>
        <v>isaac_hg@hotmail.com</v>
      </c>
      <c r="O247" s="1" t="str">
        <f ca="1">IFERROR(__xludf.DUMMYFUNCTION("""COMPUTED_VALUE"""),"Ministerio al aire libre en la escalada deportiva")</f>
        <v>Ministerio al aire libre en la escalada deportiva</v>
      </c>
      <c r="P247" s="1" t="str">
        <f ca="1">IFERROR(__xludf.DUMMYFUNCTION("""COMPUTED_VALUE"""),"A los 12 años conocí de Cristo pero por situaciones personales y familiares me aleje de la iglesia y de Cristo por rebeldía e inmadurez, después por el vacío en mi vida, de nuevo tuve la oportunidad de ir a una iglesia y comencé a entender varias y otras "&amp;"cosas en donde entendí el propósito de la salvación.")</f>
        <v>A los 12 años conocí de Cristo pero por situaciones personales y familiares me aleje de la iglesia y de Cristo por rebeldía e inmadurez, después por el vacío en mi vida, de nuevo tuve la oportunidad de ir a una iglesia y comencé a entender varias y otras cosas en donde entendí el propósito de la salvación.</v>
      </c>
      <c r="Q247" s="1" t="str">
        <f ca="1">IFERROR(__xludf.DUMMYFUNCTION("""COMPUTED_VALUE"""),"Para poder hablar de Jesús a quien quiera escuchar, compartir un tiempo con varios amigos y servir en Aventura, asistiendo a los chicos y chicas que lo requieran.")</f>
        <v>Para poder hablar de Jesús a quien quiera escuchar, compartir un tiempo con varios amigos y servir en Aventura, asistiendo a los chicos y chicas que lo requieran.</v>
      </c>
      <c r="R247" s="1" t="str">
        <f ca="1">IFERROR(__xludf.DUMMYFUNCTION("""COMPUTED_VALUE"""),"Si")</f>
        <v>Si</v>
      </c>
      <c r="S247" s="1" t="str">
        <f ca="1">IFERROR(__xludf.DUMMYFUNCTION("""COMPUTED_VALUE"""),"Escalada Deportiva")</f>
        <v>Escalada Deportiva</v>
      </c>
      <c r="T247" s="1" t="str">
        <f ca="1">IFERROR(__xludf.DUMMYFUNCTION("""COMPUTED_VALUE"""),"No")</f>
        <v>No</v>
      </c>
      <c r="U247" s="1"/>
      <c r="V247" s="1" t="str">
        <f ca="1">IFERROR(__xludf.DUMMYFUNCTION("""COMPUTED_VALUE"""),"Trabajo de Oficina")</f>
        <v>Trabajo de Oficina</v>
      </c>
      <c r="W247" s="1" t="str">
        <f ca="1">IFERROR(__xludf.DUMMYFUNCTION("""COMPUTED_VALUE"""),"Mercadotecnia")</f>
        <v>Mercadotecnia</v>
      </c>
      <c r="X247" s="1" t="str">
        <f ca="1">IFERROR(__xludf.DUMMYFUNCTION("""COMPUTED_VALUE"""),"B. Me gusta animar a las personas, C. Suelo buscar que el trabajo se realice en equipo, D. Me gustan los deportes, H. Soy organizado (a), I. Se me facilita el trabajo físico, J. Me gusta la atención a las personas, K. Soy creativo (a), M. Soy bueno (a) co"&amp;"n los números, N. Suelo llevar el liderazgo en un grupo, O. Puedo enseñar con facilidad")</f>
        <v>B. Me gusta animar a las personas, C. Suelo buscar que el trabajo se realice en equipo, D. Me gustan los deportes, H. Soy organizado (a), I. Se me facilita el trabajo físico, J. Me gusta la atención a las personas, K. Soy creativo (a), M. Soy bueno (a) con los números, N. Suelo llevar el liderazgo en un grupo, O. Puedo enseñar con facilidad</v>
      </c>
      <c r="Y247" s="1" t="str">
        <f ca="1">IFERROR(__xludf.DUMMYFUNCTION("""COMPUTED_VALUE"""),"No, pero he sido equipante en las 3 temporadas pasadas.")</f>
        <v>No, pero he sido equipante en las 3 temporadas pasadas.</v>
      </c>
      <c r="Z247" s="1"/>
    </row>
    <row r="248" spans="1:26" x14ac:dyDescent="0.35">
      <c r="A248" s="2">
        <f ca="1">IFERROR(__xludf.DUMMYFUNCTION("""COMPUTED_VALUE"""),45867.7099884259)</f>
        <v>45867.709988425901</v>
      </c>
      <c r="B248" s="1"/>
      <c r="C248" s="1" t="str">
        <f ca="1">IFERROR(__xludf.DUMMYFUNCTION("""COMPUTED_VALUE"""),"Santiago, Centeno Romero")</f>
        <v>Santiago, Centeno Romero</v>
      </c>
      <c r="D248" s="1">
        <f ca="1">IFERROR(__xludf.DUMMYFUNCTION("""COMPUTED_VALUE"""),21)</f>
        <v>21</v>
      </c>
      <c r="E248" s="1" t="str">
        <f ca="1">IFERROR(__xludf.DUMMYFUNCTION("""COMPUTED_VALUE"""),"Hombre")</f>
        <v>Hombre</v>
      </c>
      <c r="F248" s="1" t="str">
        <f ca="1">IFERROR(__xludf.DUMMYFUNCTION("""COMPUTED_VALUE"""),"Mexico City, Mexico")</f>
        <v>Mexico City, Mexico</v>
      </c>
      <c r="G248" s="1" t="str">
        <f ca="1">IFERROR(__xludf.DUMMYFUNCTION("""COMPUTED_VALUE"""),"santiagocenteno594@gmail.com")</f>
        <v>santiagocenteno594@gmail.com</v>
      </c>
      <c r="H248" s="1">
        <f ca="1">IFERROR(__xludf.DUMMYFUNCTION("""COMPUTED_VALUE"""),525511958955)</f>
        <v>525511958955</v>
      </c>
      <c r="I248" s="1" t="str">
        <f ca="1">IFERROR(__xludf.DUMMYFUNCTION("""COMPUTED_VALUE"""),"Jóvenes de 13 – 17 años / SEM2/ (4 - 09 agosto)")</f>
        <v>Jóvenes de 13 – 17 años / SEM2/ (4 - 09 agosto)</v>
      </c>
      <c r="J248" s="1" t="str">
        <f ca="1">IFERROR(__xludf.DUMMYFUNCTION("""COMPUTED_VALUE"""),"Crece")</f>
        <v>Crece</v>
      </c>
      <c r="K248" s="1" t="str">
        <f ca="1">IFERROR(__xludf.DUMMYFUNCTION("""COMPUTED_VALUE"""),"Vida Nueva")</f>
        <v>Vida Nueva</v>
      </c>
      <c r="L248" s="1" t="str">
        <f ca="1">IFERROR(__xludf.DUMMYFUNCTION("""COMPUTED_VALUE"""),"Mario del Valle")</f>
        <v>Mario del Valle</v>
      </c>
      <c r="M248" s="1">
        <f ca="1">IFERROR(__xludf.DUMMYFUNCTION("""COMPUTED_VALUE"""),525624927344)</f>
        <v>525624927344</v>
      </c>
      <c r="N248" s="1" t="str">
        <f ca="1">IFERROR(__xludf.DUMMYFUNCTION("""COMPUTED_VALUE"""),"Mariodelvalle@gmail.com")</f>
        <v>Mariodelvalle@gmail.com</v>
      </c>
      <c r="O248" s="1" t="str">
        <f ca="1">IFERROR(__xludf.DUMMYFUNCTION("""COMPUTED_VALUE"""),"Centro conexión")</f>
        <v>Centro conexión</v>
      </c>
      <c r="P248" s="1" t="str">
        <f ca="1">IFERROR(__xludf.DUMMYFUNCTION("""COMPUTED_VALUE"""),"De cuna Cristiana, asistía pero no me interesaba. Fue hasta los 19 años que acepte a Jesús")</f>
        <v>De cuna Cristiana, asistía pero no me interesaba. Fue hasta los 19 años que acepte a Jesús</v>
      </c>
      <c r="Q248" s="1" t="str">
        <f ca="1">IFERROR(__xludf.DUMMYFUNCTION("""COMPUTED_VALUE"""),"Ser discípulo y poder apoyar a un lugar que me gusta bastante")</f>
        <v>Ser discípulo y poder apoyar a un lugar que me gusta bastante</v>
      </c>
      <c r="R248" s="1" t="str">
        <f ca="1">IFERROR(__xludf.DUMMYFUNCTION("""COMPUTED_VALUE"""),"Si")</f>
        <v>Si</v>
      </c>
      <c r="S248" s="1" t="str">
        <f ca="1">IFERROR(__xludf.DUMMYFUNCTION("""COMPUTED_VALUE"""),"Fútbol")</f>
        <v>Fútbol</v>
      </c>
      <c r="T248" s="1" t="str">
        <f ca="1">IFERROR(__xludf.DUMMYFUNCTION("""COMPUTED_VALUE"""),"No")</f>
        <v>No</v>
      </c>
      <c r="U248" s="1"/>
      <c r="V248" s="1" t="str">
        <f ca="1">IFERROR(__xludf.DUMMYFUNCTION("""COMPUTED_VALUE"""),"Economía")</f>
        <v>Economía</v>
      </c>
      <c r="W248" s="1" t="str">
        <f ca="1">IFERROR(__xludf.DUMMYFUNCTION("""COMPUTED_VALUE"""),"Soy ayudante de investigador")</f>
        <v>Soy ayudante de investigador</v>
      </c>
      <c r="X248" s="1" t="str">
        <f ca="1">IFERROR(__xludf.DUMMYFUNCTION("""COMPUTED_VALUE"""),"C. Suelo buscar que el trabajo se realice en equipo, H. Soy organizado (a), N. Suelo llevar el liderazgo en un grupo")</f>
        <v>C. Suelo buscar que el trabajo se realice en equipo, H. Soy organizado (a), N. Suelo llevar el liderazgo en un grupo</v>
      </c>
      <c r="Y248" s="1" t="str">
        <f ca="1">IFERROR(__xludf.DUMMYFUNCTION("""COMPUTED_VALUE"""),"En la semana +18")</f>
        <v>En la semana +18</v>
      </c>
      <c r="Z248" s="1"/>
    </row>
    <row r="249" spans="1:26" x14ac:dyDescent="0.35">
      <c r="A249" s="2">
        <f ca="1">IFERROR(__xludf.DUMMYFUNCTION("""COMPUTED_VALUE"""),45867.8231944444)</f>
        <v>45867.823194444398</v>
      </c>
      <c r="B249" s="1"/>
      <c r="C249" s="1" t="str">
        <f ca="1">IFERROR(__xludf.DUMMYFUNCTION("""COMPUTED_VALUE"""),"Fernando, Soto González")</f>
        <v>Fernando, Soto González</v>
      </c>
      <c r="D249" s="1">
        <f ca="1">IFERROR(__xludf.DUMMYFUNCTION("""COMPUTED_VALUE"""),16)</f>
        <v>16</v>
      </c>
      <c r="E249" s="1" t="str">
        <f ca="1">IFERROR(__xludf.DUMMYFUNCTION("""COMPUTED_VALUE"""),"Hombre")</f>
        <v>Hombre</v>
      </c>
      <c r="F249" s="1" t="str">
        <f ca="1">IFERROR(__xludf.DUMMYFUNCTION("""COMPUTED_VALUE"""),"Queretaro, Mexico")</f>
        <v>Queretaro, Mexico</v>
      </c>
      <c r="G249" s="1" t="str">
        <f ca="1">IFERROR(__xludf.DUMMYFUNCTION("""COMPUTED_VALUE"""),"dinagonzalez1986@gmail.com")</f>
        <v>dinagonzalez1986@gmail.com</v>
      </c>
      <c r="H249" s="1">
        <f ca="1">IFERROR(__xludf.DUMMYFUNCTION("""COMPUTED_VALUE"""),524426014520)</f>
        <v>524426014520</v>
      </c>
      <c r="I249" s="1" t="str">
        <f ca="1">IFERROR(__xludf.DUMMYFUNCTION("""COMPUTED_VALUE"""),"Jóvenes de 13 – 17 años / SEM2/ (4 - 09 agosto)")</f>
        <v>Jóvenes de 13 – 17 años / SEM2/ (4 - 09 agosto)</v>
      </c>
      <c r="J249" s="1" t="str">
        <f ca="1">IFERROR(__xludf.DUMMYFUNCTION("""COMPUTED_VALUE"""),"HORA SILENCIOSA PARA JÓVENES. Un-año interactivo devocional diario.")</f>
        <v>HORA SILENCIOSA PARA JÓVENES. Un-año interactivo devocional diario.</v>
      </c>
      <c r="K249" s="1" t="str">
        <f ca="1">IFERROR(__xludf.DUMMYFUNCTION("""COMPUTED_VALUE"""),"Grace Community Querétaro")</f>
        <v>Grace Community Querétaro</v>
      </c>
      <c r="L249" s="1" t="str">
        <f ca="1">IFERROR(__xludf.DUMMYFUNCTION("""COMPUTED_VALUE"""),"Óscar Mata")</f>
        <v>Óscar Mata</v>
      </c>
      <c r="M249" s="1">
        <f ca="1">IFERROR(__xludf.DUMMYFUNCTION("""COMPUTED_VALUE"""),524424432103)</f>
        <v>524424432103</v>
      </c>
      <c r="N249" s="1" t="str">
        <f ca="1">IFERROR(__xludf.DUMMYFUNCTION("""COMPUTED_VALUE"""),"Oskarmata@icloud.com")</f>
        <v>Oskarmata@icloud.com</v>
      </c>
      <c r="O249" s="1" t="str">
        <f ca="1">IFERROR(__xludf.DUMMYFUNCTION("""COMPUTED_VALUE"""),"Anfitriones, aseo")</f>
        <v>Anfitriones, aseo</v>
      </c>
      <c r="P249" s="1" t="str">
        <f ca="1">IFERROR(__xludf.DUMMYFUNCTION("""COMPUTED_VALUE"""),"Mmm... honestamente, este es un tema delicado para mí, pero está bien. Desde pequeño, yo solía ser un chico solitario y triste, que vivía día tras día al borde de las adicciones y los malos pensamientos que me dominaban todo el tiempo. Tenía depresión, lu"&amp;"chaba constantemente contra la soledad, el morbo, la apatía y la lujuria (aunque nunca llegue a acercarme físicamente a nadie por los demás defectos mencionados), creía que no valía la pena vivir, no podía entender quien era esa Dios del que toda mi famil"&amp;"ia hablaba, porque no me hablaba y porque yo era incapaz de sentir algo; era completamente indiferente a sonrisas, abrazos y al amor en general. Estaba desesperado por encontrar algo, cualquier cosa, que me anclará a este mundo, una simple razón para segu"&amp;"ir viviendo. No fue hasta que la culpa me carcomio que confesé como me sentía y todo lo que hacía. Inicialmente eso me libero, pero yo quería más, quería estar libre de pecado y ser feliz. Finalmente, con el tiempo confesé mis pecados al Señor, y comencé "&amp;"a crecer mente. Ahora, aunque sigo creciendo, he Sido salvó en Cristo, y estoy trabajando por mejorar día tras día.")</f>
        <v>Mmm... honestamente, este es un tema delicado para mí, pero está bien. Desde pequeño, yo solía ser un chico solitario y triste, que vivía día tras día al borde de las adicciones y los malos pensamientos que me dominaban todo el tiempo. Tenía depresión, luchaba constantemente contra la soledad, el morbo, la apatía y la lujuria (aunque nunca llegue a acercarme físicamente a nadie por los demás defectos mencionados), creía que no valía la pena vivir, no podía entender quien era esa Dios del que toda mi familia hablaba, porque no me hablaba y porque yo era incapaz de sentir algo; era completamente indiferente a sonrisas, abrazos y al amor en general. Estaba desesperado por encontrar algo, cualquier cosa, que me anclará a este mundo, una simple razón para seguir viviendo. No fue hasta que la culpa me carcomio que confesé como me sentía y todo lo que hacía. Inicialmente eso me libero, pero yo quería más, quería estar libre de pecado y ser feliz. Finalmente, con el tiempo confesé mis pecados al Señor, y comencé a crecer mente. Ahora, aunque sigo creciendo, he Sido salvó en Cristo, y estoy trabajando por mejorar día tras día.</v>
      </c>
      <c r="Q249" s="1" t="str">
        <f ca="1">IFERROR(__xludf.DUMMYFUNCTION("""COMPUTED_VALUE"""),"Bueno, durante mucho tiempo he sido alguien recio a divertirse e inflexible con los planes de el resto de la gente, no muchas veces se me ha presentado la oportunidad de estar en compañía de otros jóvenes a los cuales servir e intercambiar intereses. Tamp"&amp;"oco soy alguien que le guste mucho ir de campamento, de hecho participe como campero el año pasado, y la experiencia no me sorprendió mucho; técnicamente hablando, ya que los mensajes y enseñanzas que obtuve me ayudaron mucho. Pero, a pesar de mis insegur"&amp;"idades respecto al tema, acabe decidiendo ir nuevamente como equipante no para divertirme, sino para servir a Dios, al igual que mi hermana, que ya lleva 3 años aquí. Me agrada la idea de ayudar a los chicos y chicas del lugar y al personal, en lugar de s"&amp;"er alguien que solo va a divertirse. Claro que todos tienen su propia idea sobre lo que es realmente importante, pero yo quiero superar mis temores y servir a Dios y a mi comunidad, que es la iglesia.")</f>
        <v>Bueno, durante mucho tiempo he sido alguien recio a divertirse e inflexible con los planes de el resto de la gente, no muchas veces se me ha presentado la oportunidad de estar en compañía de otros jóvenes a los cuales servir e intercambiar intereses. Tampoco soy alguien que le guste mucho ir de campamento, de hecho participe como campero el año pasado, y la experiencia no me sorprendió mucho; técnicamente hablando, ya que los mensajes y enseñanzas que obtuve me ayudaron mucho. Pero, a pesar de mis inseguridades respecto al tema, acabe decidiendo ir nuevamente como equipante no para divertirme, sino para servir a Dios, al igual que mi hermana, que ya lleva 3 años aquí. Me agrada la idea de ayudar a los chicos y chicas del lugar y al personal, en lugar de ser alguien que solo va a divertirse. Claro que todos tienen su propia idea sobre lo que es realmente importante, pero yo quiero superar mis temores y servir a Dios y a mi comunidad, que es la iglesia.</v>
      </c>
      <c r="R249" s="1" t="str">
        <f ca="1">IFERROR(__xludf.DUMMYFUNCTION("""COMPUTED_VALUE"""),"No")</f>
        <v>No</v>
      </c>
      <c r="S249" s="1"/>
      <c r="T249" s="1" t="str">
        <f ca="1">IFERROR(__xludf.DUMMYFUNCTION("""COMPUTED_VALUE"""),"Si")</f>
        <v>Si</v>
      </c>
      <c r="U249" s="1" t="str">
        <f ca="1">IFERROR(__xludf.DUMMYFUNCTION("""COMPUTED_VALUE"""),"Guitarra, pero aún me falta practicar mucho para llegara ser decente, jajaja.")</f>
        <v>Guitarra, pero aún me falta practicar mucho para llegara ser decente, jajaja.</v>
      </c>
      <c r="V249" s="1" t="str">
        <f ca="1">IFERROR(__xludf.DUMMYFUNCTION("""COMPUTED_VALUE"""),"Actualmente, estoy a medio camino de la preparatoria; aún no estudio alguna carrera.")</f>
        <v>Actualmente, estoy a medio camino de la preparatoria; aún no estudio alguna carrera.</v>
      </c>
      <c r="W249" s="1" t="str">
        <f ca="1">IFERROR(__xludf.DUMMYFUNCTION("""COMPUTED_VALUE"""),"No tengo oficios o profesión profesional a causa de mi corta edad, pero me encanta escribir historias, de hecho, estoy trabajando en varias novelas.")</f>
        <v>No tengo oficios o profesión profesional a causa de mi corta edad, pero me encanta escribir historias, de hecho, estoy trabajando en varias novelas.</v>
      </c>
      <c r="X249" s="1" t="str">
        <f ca="1">IFERROR(__xludf.DUMMYFUNCTION("""COMPUTED_VALUE"""),"B. Me gusta animar a las personas, C. Suelo buscar que el trabajo se realice en equipo, G. Soy más eficiente en el trabajo individual, H. Soy organizado (a), J. Me gusta la atención a las personas, K. Soy creativo (a), N. Suelo llevar el liderazgo en un g"&amp;"rupo, O. Puedo enseñar con facilidad")</f>
        <v>B. Me gusta animar a las personas, C. Suelo buscar que el trabajo se realice en equipo, G. Soy más eficiente en el trabajo individual, H. Soy organizado (a), J. Me gusta la atención a las personas, K. Soy creativo (a), N. Suelo llevar el liderazgo en un grupo, O. Puedo enseñar con facilidad</v>
      </c>
      <c r="Y249" s="1" t="str">
        <f ca="1">IFERROR(__xludf.DUMMYFUNCTION("""COMPUTED_VALUE"""),"Si, fui como campero el año pasado durante la segunda semana de adolescentes, en la temporada de Reinos, creo que se llamaba.")</f>
        <v>Si, fui como campero el año pasado durante la segunda semana de adolescentes, en la temporada de Reinos, creo que se llamaba.</v>
      </c>
      <c r="Z249" s="1"/>
    </row>
    <row r="250" spans="1:26" x14ac:dyDescent="0.35">
      <c r="A250" s="2">
        <f ca="1">IFERROR(__xludf.DUMMYFUNCTION("""COMPUTED_VALUE"""),45869.7297569444)</f>
        <v>45869.729756944398</v>
      </c>
      <c r="B250" s="1"/>
      <c r="C250" s="1" t="str">
        <f ca="1">IFERROR(__xludf.DUMMYFUNCTION("""COMPUTED_VALUE"""),"Edgar Mauricio, Ruiz Mata")</f>
        <v>Edgar Mauricio, Ruiz Mata</v>
      </c>
      <c r="D250" s="1">
        <f ca="1">IFERROR(__xludf.DUMMYFUNCTION("""COMPUTED_VALUE"""),33)</f>
        <v>33</v>
      </c>
      <c r="E250" s="1" t="str">
        <f ca="1">IFERROR(__xludf.DUMMYFUNCTION("""COMPUTED_VALUE"""),"Hombre")</f>
        <v>Hombre</v>
      </c>
      <c r="F250" s="1" t="str">
        <f ca="1">IFERROR(__xludf.DUMMYFUNCTION("""COMPUTED_VALUE"""),"Queretaro, Mexico")</f>
        <v>Queretaro, Mexico</v>
      </c>
      <c r="G250" s="1" t="str">
        <f ca="1">IFERROR(__xludf.DUMMYFUNCTION("""COMPUTED_VALUE"""),"emrm0314@gmail.com")</f>
        <v>emrm0314@gmail.com</v>
      </c>
      <c r="H250" s="1">
        <f ca="1">IFERROR(__xludf.DUMMYFUNCTION("""COMPUTED_VALUE"""),524272025656)</f>
        <v>524272025656</v>
      </c>
      <c r="I250" s="1" t="str">
        <f ca="1">IFERROR(__xludf.DUMMYFUNCTION("""COMPUTED_VALUE"""),"Jóvenes de 13 – 17 años / SEM2/ (4 - 09 agosto)")</f>
        <v>Jóvenes de 13 – 17 años / SEM2/ (4 - 09 agosto)</v>
      </c>
      <c r="J250" s="1" t="str">
        <f ca="1">IFERROR(__xludf.DUMMYFUNCTION("""COMPUTED_VALUE"""),"Ninguno")</f>
        <v>Ninguno</v>
      </c>
      <c r="K250" s="1" t="str">
        <f ca="1">IFERROR(__xludf.DUMMYFUNCTION("""COMPUTED_VALUE"""),"Emaús")</f>
        <v>Emaús</v>
      </c>
      <c r="L250" s="1" t="str">
        <f ca="1">IFERROR(__xludf.DUMMYFUNCTION("""COMPUTED_VALUE"""),"Rubén Márquez Meza")</f>
        <v>Rubén Márquez Meza</v>
      </c>
      <c r="M250" s="1">
        <f ca="1">IFERROR(__xludf.DUMMYFUNCTION("""COMPUTED_VALUE"""),524271589207)</f>
        <v>524271589207</v>
      </c>
      <c r="N250" s="1" t="str">
        <f ca="1">IFERROR(__xludf.DUMMYFUNCTION("""COMPUTED_VALUE"""),"marquezmruben@hotmail.com")</f>
        <v>marquezmruben@hotmail.com</v>
      </c>
      <c r="O250" s="1" t="str">
        <f ca="1">IFERROR(__xludf.DUMMYFUNCTION("""COMPUTED_VALUE"""),"Ninguno")</f>
        <v>Ninguno</v>
      </c>
      <c r="P250" s="1" t="str">
        <f ca="1">IFERROR(__xludf.DUMMYFUNCTION("""COMPUTED_VALUE"""),"Asistí a 2 campamentos, ya había escuchado de la palabra a mis 16 años, hasta el 2do campamento acepté a Cristo como MI Salvador y decidí servirle de tiempo completo")</f>
        <v>Asistí a 2 campamentos, ya había escuchado de la palabra a mis 16 años, hasta el 2do campamento acepté a Cristo como MI Salvador y decidí servirle de tiempo completo</v>
      </c>
      <c r="Q250" s="1" t="str">
        <f ca="1">IFERROR(__xludf.DUMMYFUNCTION("""COMPUTED_VALUE"""),"Dios hablando a mi vida, me ha llamado a servir.")</f>
        <v>Dios hablando a mi vida, me ha llamado a servir.</v>
      </c>
      <c r="R250" s="1" t="str">
        <f ca="1">IFERROR(__xludf.DUMMYFUNCTION("""COMPUTED_VALUE"""),"Si")</f>
        <v>Si</v>
      </c>
      <c r="S250" s="1" t="str">
        <f ca="1">IFERROR(__xludf.DUMMYFUNCTION("""COMPUTED_VALUE"""),"Fútbol")</f>
        <v>Fútbol</v>
      </c>
      <c r="T250" s="1" t="str">
        <f ca="1">IFERROR(__xludf.DUMMYFUNCTION("""COMPUTED_VALUE"""),"No")</f>
        <v>No</v>
      </c>
      <c r="U250" s="1"/>
      <c r="V250" s="1" t="str">
        <f ca="1">IFERROR(__xludf.DUMMYFUNCTION("""COMPUTED_VALUE"""),"Administración")</f>
        <v>Administración</v>
      </c>
      <c r="W250" s="1" t="str">
        <f ca="1">IFERROR(__xludf.DUMMYFUNCTION("""COMPUTED_VALUE"""),"Fútbol, servicio a personas, admon")</f>
        <v>Fútbol, servicio a personas, admon</v>
      </c>
      <c r="X250" s="1" t="str">
        <f ca="1">IFERROR(__xludf.DUMMYFUNCTION("""COMPUTED_VALUE"""),"J. Me gusta la atención a las personas, O. Puedo enseñar con facilidad")</f>
        <v>J. Me gusta la atención a las personas, O. Puedo enseñar con facilidad</v>
      </c>
      <c r="Y250" s="1" t="str">
        <f ca="1">IFERROR(__xludf.DUMMYFUNCTION("""COMPUTED_VALUE"""),"No")</f>
        <v>No</v>
      </c>
      <c r="Z250" s="1"/>
    </row>
    <row r="251" spans="1:26" x14ac:dyDescent="0.35">
      <c r="A251" s="2">
        <f ca="1">IFERROR(__xludf.DUMMYFUNCTION("""COMPUTED_VALUE"""),45869.8131481481)</f>
        <v>45869.813148148103</v>
      </c>
      <c r="B251" s="1"/>
      <c r="C251" s="1" t="str">
        <f ca="1">IFERROR(__xludf.DUMMYFUNCTION("""COMPUTED_VALUE"""),"Mariana, Guadarrama")</f>
        <v>Mariana, Guadarrama</v>
      </c>
      <c r="D251" s="1">
        <f ca="1">IFERROR(__xludf.DUMMYFUNCTION("""COMPUTED_VALUE"""),16)</f>
        <v>16</v>
      </c>
      <c r="E251" s="1" t="str">
        <f ca="1">IFERROR(__xludf.DUMMYFUNCTION("""COMPUTED_VALUE"""),"Mujer")</f>
        <v>Mujer</v>
      </c>
      <c r="F251" s="1" t="str">
        <f ca="1">IFERROR(__xludf.DUMMYFUNCTION("""COMPUTED_VALUE"""),"Mexico City, Mexico")</f>
        <v>Mexico City, Mexico</v>
      </c>
      <c r="G251" s="1" t="str">
        <f ca="1">IFERROR(__xludf.DUMMYFUNCTION("""COMPUTED_VALUE"""),"marianaguadarramagl@gmail.com")</f>
        <v>marianaguadarramagl@gmail.com</v>
      </c>
      <c r="H251" s="1">
        <f ca="1">IFERROR(__xludf.DUMMYFUNCTION("""COMPUTED_VALUE"""),525631103883)</f>
        <v>525631103883</v>
      </c>
      <c r="I251" s="1" t="str">
        <f ca="1">IFERROR(__xludf.DUMMYFUNCTION("""COMPUTED_VALUE"""),"Jóvenes de 13 – 17 años / SEM2/ (4 - 09 agosto)")</f>
        <v>Jóvenes de 13 – 17 años / SEM2/ (4 - 09 agosto)</v>
      </c>
      <c r="J251" s="1" t="str">
        <f ca="1">IFERROR(__xludf.DUMMYFUNCTION("""COMPUTED_VALUE"""),"Diario pan")</f>
        <v>Diario pan</v>
      </c>
      <c r="K251" s="1" t="str">
        <f ca="1">IFERROR(__xludf.DUMMYFUNCTION("""COMPUTED_VALUE"""),"Satélite iglesia cristiana")</f>
        <v>Satélite iglesia cristiana</v>
      </c>
      <c r="L251" s="1" t="str">
        <f ca="1">IFERROR(__xludf.DUMMYFUNCTION("""COMPUTED_VALUE"""),"Enrique guadarrama")</f>
        <v>Enrique guadarrama</v>
      </c>
      <c r="M251" s="1">
        <f ca="1">IFERROR(__xludf.DUMMYFUNCTION("""COMPUTED_VALUE"""),525585814335)</f>
        <v>525585814335</v>
      </c>
      <c r="N251" s="1" t="str">
        <f ca="1">IFERROR(__xludf.DUMMYFUNCTION("""COMPUTED_VALUE"""),"eguadarrama77@hotmail.com")</f>
        <v>eguadarrama77@hotmail.com</v>
      </c>
      <c r="O251" s="1" t="str">
        <f ca="1">IFERROR(__xludf.DUMMYFUNCTION("""COMPUTED_VALUE"""),"Niños")</f>
        <v>Niños</v>
      </c>
      <c r="P251" s="1" t="str">
        <f ca="1">IFERROR(__xludf.DUMMYFUNCTION("""COMPUTED_VALUE"""),"yo empecé a pensar que Dios no me podría perdonar por las cosas que yo hacía porque no lo conocía y yo me quería acercar a Dios pero tenía pena, entonces un día en la iglesia predicaron acerca de cómo Dios me ama y me perdona y ahí le entregue todas mis c"&amp;"argas y lo reconocí como mi salvador")</f>
        <v>yo empecé a pensar que Dios no me podría perdonar por las cosas que yo hacía porque no lo conocía y yo me quería acercar a Dios pero tenía pena, entonces un día en la iglesia predicaron acerca de cómo Dios me ama y me perdona y ahí le entregue todas mis cargas y lo reconocí como mi salvador</v>
      </c>
      <c r="Q251" s="1" t="str">
        <f ca="1">IFERROR(__xludf.DUMMYFUNCTION("""COMPUTED_VALUE"""),"Me encanta venir al campa y me gustaría regresar un poco de lo que hacen por mi")</f>
        <v>Me encanta venir al campa y me gustaría regresar un poco de lo que hacen por mi</v>
      </c>
      <c r="R251" s="1" t="str">
        <f ca="1">IFERROR(__xludf.DUMMYFUNCTION("""COMPUTED_VALUE"""),"No")</f>
        <v>No</v>
      </c>
      <c r="S251" s="1"/>
      <c r="T251" s="1" t="str">
        <f ca="1">IFERROR(__xludf.DUMMYFUNCTION("""COMPUTED_VALUE"""),"No")</f>
        <v>No</v>
      </c>
      <c r="U251" s="1"/>
      <c r="V251" s="1" t="str">
        <f ca="1">IFERROR(__xludf.DUMMYFUNCTION("""COMPUTED_VALUE"""),"La prepa")</f>
        <v>La prepa</v>
      </c>
      <c r="W251" s="1" t="str">
        <f ca="1">IFERROR(__xludf.DUMMYFUNCTION("""COMPUTED_VALUE"""),"Se cocinar y dar órdenes o seguirlas")</f>
        <v>Se cocinar y dar órdenes o seguirlas</v>
      </c>
      <c r="X251" s="1" t="str">
        <f ca="1">IFERROR(__xludf.DUMMYFUNCTION("""COMPUTED_VALUE"""),"B. Me gusta animar a las personas, H. Soy organizado (a), K. Soy creativo (a), N. Suelo llevar el liderazgo en un grupo")</f>
        <v>B. Me gusta animar a las personas, H. Soy organizado (a), K. Soy creativo (a), N. Suelo llevar el liderazgo en un grupo</v>
      </c>
      <c r="Y251" s="1" t="str">
        <f ca="1">IFERROR(__xludf.DUMMYFUNCTION("""COMPUTED_VALUE"""),"Sip, en la de jóvenes")</f>
        <v>Sip, en la de jóvenes</v>
      </c>
      <c r="Z251" s="1"/>
    </row>
    <row r="252" spans="1:26" x14ac:dyDescent="0.35">
      <c r="A252" s="2">
        <f ca="1">IFERROR(__xludf.DUMMYFUNCTION("""COMPUTED_VALUE"""),45869.8436458333)</f>
        <v>45869.843645833302</v>
      </c>
      <c r="B252" s="1"/>
      <c r="C252" s="1" t="str">
        <f ca="1">IFERROR(__xludf.DUMMYFUNCTION("""COMPUTED_VALUE"""),"Giovanni, Roldan")</f>
        <v>Giovanni, Roldan</v>
      </c>
      <c r="D252" s="1">
        <f ca="1">IFERROR(__xludf.DUMMYFUNCTION("""COMPUTED_VALUE"""),31)</f>
        <v>31</v>
      </c>
      <c r="E252" s="1" t="str">
        <f ca="1">IFERROR(__xludf.DUMMYFUNCTION("""COMPUTED_VALUE"""),"Hombre")</f>
        <v>Hombre</v>
      </c>
      <c r="F252" s="1" t="str">
        <f ca="1">IFERROR(__xludf.DUMMYFUNCTION("""COMPUTED_VALUE"""),"Mexico, Mexico")</f>
        <v>Mexico, Mexico</v>
      </c>
      <c r="G252" s="1" t="str">
        <f ca="1">IFERROR(__xludf.DUMMYFUNCTION("""COMPUTED_VALUE"""),"vannynovjor@gmail.com")</f>
        <v>vannynovjor@gmail.com</v>
      </c>
      <c r="H252" s="1">
        <f ca="1">IFERROR(__xludf.DUMMYFUNCTION("""COMPUTED_VALUE"""),525625995950)</f>
        <v>525625995950</v>
      </c>
      <c r="I252" s="1" t="str">
        <f ca="1">IFERROR(__xludf.DUMMYFUNCTION("""COMPUTED_VALUE"""),"Toda la temporada (07 de Julio al 16 de agosto)")</f>
        <v>Toda la temporada (07 de Julio al 16 de agosto)</v>
      </c>
      <c r="J252" s="1" t="str">
        <f ca="1">IFERROR(__xludf.DUMMYFUNCTION("""COMPUTED_VALUE"""),"La biblia en 365 dias")</f>
        <v>La biblia en 365 dias</v>
      </c>
      <c r="K252" s="1" t="str">
        <f ca="1">IFERROR(__xludf.DUMMYFUNCTION("""COMPUTED_VALUE"""),"Iglesia de Dios 7 dia Templo Abiel")</f>
        <v>Iglesia de Dios 7 dia Templo Abiel</v>
      </c>
      <c r="L252" s="1" t="str">
        <f ca="1">IFERROR(__xludf.DUMMYFUNCTION("""COMPUTED_VALUE"""),"Noe Hernandez")</f>
        <v>Noe Hernandez</v>
      </c>
      <c r="M252" s="1">
        <f ca="1">IFERROR(__xludf.DUMMYFUNCTION("""COMPUTED_VALUE"""),525574454223)</f>
        <v>525574454223</v>
      </c>
      <c r="N252" s="1" t="str">
        <f ca="1">IFERROR(__xludf.DUMMYFUNCTION("""COMPUTED_VALUE"""),"noe.hernandez25@gmail.com")</f>
        <v>noe.hernandez25@gmail.com</v>
      </c>
      <c r="O252" s="1" t="str">
        <f ca="1">IFERROR(__xludf.DUMMYFUNCTION("""COMPUTED_VALUE"""),"Lider de Jovenes")</f>
        <v>Lider de Jovenes</v>
      </c>
      <c r="P252" s="1" t="str">
        <f ca="1">IFERROR(__xludf.DUMMYFUNCTION("""COMPUTED_VALUE"""),"Estuve perdido varios años en el alcohol y las drogas, yo era corredor de bolsa y en el peor momento de mi vida Dios me saco de ahi, ahora soy bautizado y sirvo con agradecimiekto y devocion a Dios")</f>
        <v>Estuve perdido varios años en el alcohol y las drogas, yo era corredor de bolsa y en el peor momento de mi vida Dios me saco de ahi, ahora soy bautizado y sirvo con agradecimiekto y devocion a Dios</v>
      </c>
      <c r="Q252" s="1" t="str">
        <f ca="1">IFERROR(__xludf.DUMMYFUNCTION("""COMPUTED_VALUE"""),"Porque los mire en Tik Tok y senti un llamado importante en mi corazon, no se xomo explicarlo solo se que senti la necesidad de registrarme como voluntatio para trabajar en la obra del señor")</f>
        <v>Porque los mire en Tik Tok y senti un llamado importante en mi corazon, no se xomo explicarlo solo se que senti la necesidad de registrarme como voluntatio para trabajar en la obra del señor</v>
      </c>
      <c r="R252" s="1" t="str">
        <f ca="1">IFERROR(__xludf.DUMMYFUNCTION("""COMPUTED_VALUE"""),"Si")</f>
        <v>Si</v>
      </c>
      <c r="S252" s="1" t="str">
        <f ca="1">IFERROR(__xludf.DUMMYFUNCTION("""COMPUTED_VALUE"""),"Futbol y atletismo")</f>
        <v>Futbol y atletismo</v>
      </c>
      <c r="T252" s="1" t="str">
        <f ca="1">IFERROR(__xludf.DUMMYFUNCTION("""COMPUTED_VALUE"""),"No")</f>
        <v>No</v>
      </c>
      <c r="U252" s="1"/>
      <c r="V252" s="1" t="str">
        <f ca="1">IFERROR(__xludf.DUMMYFUNCTION("""COMPUTED_VALUE"""),"Finanzas")</f>
        <v>Finanzas</v>
      </c>
      <c r="W252" s="1" t="str">
        <f ca="1">IFERROR(__xludf.DUMMYFUNCTION("""COMPUTED_VALUE"""),"Me desenvuelvo en el area de la finanzas, planeacion financiera")</f>
        <v>Me desenvuelvo en el area de la finanzas, planeacion financiera</v>
      </c>
      <c r="X252" s="1" t="str">
        <f ca="1">IFERROR(__xludf.DUMMYFUNCTION("""COMPUTED_VALUE"""),"A. Soy un discipulador activo, B. Me gusta animar a las personas, E. Me gusta el trabajo con niños, H. Soy organizado (a), I. Se me facilita el trabajo físico, M. Soy bueno (a) con los números, N. Suelo llevar el liderazgo en un grupo, O. Puedo enseñar co"&amp;"n facilidad")</f>
        <v>A. Soy un discipulador activo, B. Me gusta animar a las personas, E. Me gusta el trabajo con niños, H. Soy organizado (a), I. Se me facilita el trabajo físico, M. Soy bueno (a) con los números, N. Suelo llevar el liderazgo en un grupo, O. Puedo enseñar con facilidad</v>
      </c>
      <c r="Y252" s="1" t="str">
        <f ca="1">IFERROR(__xludf.DUMMYFUNCTION("""COMPUTED_VALUE"""),"No")</f>
        <v>No</v>
      </c>
      <c r="Z252" s="1"/>
    </row>
    <row r="253" spans="1:26" x14ac:dyDescent="0.35">
      <c r="A253" s="2">
        <f ca="1">IFERROR(__xludf.DUMMYFUNCTION("""COMPUTED_VALUE"""),45869.8927777777)</f>
        <v>45869.892777777699</v>
      </c>
      <c r="B253" s="1"/>
      <c r="C253" s="1" t="str">
        <f ca="1">IFERROR(__xludf.DUMMYFUNCTION("""COMPUTED_VALUE"""),"Ximena, Hernandez Juarez")</f>
        <v>Ximena, Hernandez Juarez</v>
      </c>
      <c r="D253" s="1">
        <f ca="1">IFERROR(__xludf.DUMMYFUNCTION("""COMPUTED_VALUE"""),15)</f>
        <v>15</v>
      </c>
      <c r="E253" s="1" t="str">
        <f ca="1">IFERROR(__xludf.DUMMYFUNCTION("""COMPUTED_VALUE"""),"Hombre")</f>
        <v>Hombre</v>
      </c>
      <c r="F253" s="1" t="str">
        <f ca="1">IFERROR(__xludf.DUMMYFUNCTION("""COMPUTED_VALUE"""),"Queretaro, Mexico")</f>
        <v>Queretaro, Mexico</v>
      </c>
      <c r="G253" s="1" t="str">
        <f ca="1">IFERROR(__xludf.DUMMYFUNCTION("""COMPUTED_VALUE"""),"ximenahzjz@gmail.com")</f>
        <v>ximenahzjz@gmail.com</v>
      </c>
      <c r="H253" s="1">
        <f ca="1">IFERROR(__xludf.DUMMYFUNCTION("""COMPUTED_VALUE"""),524422302096)</f>
        <v>524422302096</v>
      </c>
      <c r="I253" s="1" t="str">
        <f ca="1">IFERROR(__xludf.DUMMYFUNCTION("""COMPUTED_VALUE"""),"Jóvenes de 13 – 17 años / SEM2/ (4 - 09 agosto)")</f>
        <v>Jóvenes de 13 – 17 años / SEM2/ (4 - 09 agosto)</v>
      </c>
      <c r="J253" s="1" t="str">
        <f ca="1">IFERROR(__xludf.DUMMYFUNCTION("""COMPUTED_VALUE"""),"yo hago el mio")</f>
        <v>yo hago el mio</v>
      </c>
      <c r="K253" s="1" t="str">
        <f ca="1">IFERROR(__xludf.DUMMYFUNCTION("""COMPUTED_VALUE"""),"satélite iglesia cristiana")</f>
        <v>satélite iglesia cristiana</v>
      </c>
      <c r="L253" s="1" t="str">
        <f ca="1">IFERROR(__xludf.DUMMYFUNCTION("""COMPUTED_VALUE"""),"enrique guadarrama")</f>
        <v>enrique guadarrama</v>
      </c>
      <c r="M253" s="1">
        <f ca="1">IFERROR(__xludf.DUMMYFUNCTION("""COMPUTED_VALUE"""),525585814335)</f>
        <v>525585814335</v>
      </c>
      <c r="N253" s="1" t="str">
        <f ca="1">IFERROR(__xludf.DUMMYFUNCTION("""COMPUTED_VALUE"""),"eguadarrama77@hotmail.com")</f>
        <v>eguadarrama77@hotmail.com</v>
      </c>
      <c r="O253" s="1" t="str">
        <f ca="1">IFERROR(__xludf.DUMMYFUNCTION("""COMPUTED_VALUE"""),"niños")</f>
        <v>niños</v>
      </c>
      <c r="P253" s="1" t="str">
        <f ca="1">IFERROR(__xludf.DUMMYFUNCTION("""COMPUTED_VALUE"""),"Hola, me llamo Ximena y tengo 15 años. Antes me sentía solo, enojado y sin ganas de nada. Un día fui a la iglesia con mi tía y ahí escuché que Jesús me ama y que murió por mí.
Esa noche oré, le pedí perdón a Dios y le dije que quería cambiar. Desde ese m"&amp;"omento, mi vida es diferente. Ya no me siento solo, tengo paz y sé que Dios está conmigo. Me salvó, y ahora vive el en mi")</f>
        <v>Hola, me llamo Ximena y tengo 15 años. Antes me sentía solo, enojado y sin ganas de nada. Un día fui a la iglesia con mi tía y ahí escuché que Jesús me ama y que murió por mí.
Esa noche oré, le pedí perdón a Dios y le dije que quería cambiar. Desde ese momento, mi vida es diferente. Ya no me siento solo, tengo paz y sé que Dios está conmigo. Me salvó, y ahora vive el en mi</v>
      </c>
      <c r="Q253" s="1" t="str">
        <f ca="1">IFERROR(__xludf.DUMMYFUNCTION("""COMPUTED_VALUE"""),"Quisiera ser parte de su equipo por la experiencia ya que ya llevo 4 años siendo campera y quisiera experimentar algo diferente")</f>
        <v>Quisiera ser parte de su equipo por la experiencia ya que ya llevo 4 años siendo campera y quisiera experimentar algo diferente</v>
      </c>
      <c r="R253" s="1" t="str">
        <f ca="1">IFERROR(__xludf.DUMMYFUNCTION("""COMPUTED_VALUE"""),"Si")</f>
        <v>Si</v>
      </c>
      <c r="S253" s="1" t="str">
        <f ca="1">IFERROR(__xludf.DUMMYFUNCTION("""COMPUTED_VALUE"""),"Volleyball")</f>
        <v>Volleyball</v>
      </c>
      <c r="T253" s="1" t="str">
        <f ca="1">IFERROR(__xludf.DUMMYFUNCTION("""COMPUTED_VALUE"""),"No")</f>
        <v>No</v>
      </c>
      <c r="U253" s="1"/>
      <c r="V253" s="1" t="str">
        <f ca="1">IFERROR(__xludf.DUMMYFUNCTION("""COMPUTED_VALUE"""),"preparatoria")</f>
        <v>preparatoria</v>
      </c>
      <c r="W253" s="1" t="str">
        <f ca="1">IFERROR(__xludf.DUMMYFUNCTION("""COMPUTED_VALUE"""),"Juego volleyball")</f>
        <v>Juego volleyball</v>
      </c>
      <c r="X253" s="1" t="str">
        <f ca="1">IFERROR(__xludf.DUMMYFUNCTION("""COMPUTED_VALUE"""),"B. Me gusta animar a las personas, D. Me gustan los deportes, E. Me gusta el trabajo con niños, H. Soy organizado (a), J. Me gusta la atención a las personas")</f>
        <v>B. Me gusta animar a las personas, D. Me gustan los deportes, E. Me gusta el trabajo con niños, H. Soy organizado (a), J. Me gusta la atención a las personas</v>
      </c>
      <c r="Y253" s="1" t="str">
        <f ca="1">IFERROR(__xludf.DUMMYFUNCTION("""COMPUTED_VALUE"""),"semana de jóvenes")</f>
        <v>semana de jóvenes</v>
      </c>
      <c r="Z253" s="1"/>
    </row>
    <row r="254" spans="1:26" x14ac:dyDescent="0.35">
      <c r="A254" s="1" t="str">
        <f ca="1">IFERROR(__xludf.DUMMYFUNCTION("""COMPUTED_VALUE"""),"01-Aug-2025 10:16:55")</f>
        <v>01-Aug-2025 10:16:55</v>
      </c>
      <c r="B254" s="1"/>
      <c r="C254" s="1" t="str">
        <f ca="1">IFERROR(__xludf.DUMMYFUNCTION("""COMPUTED_VALUE"""),"Dana Ailén, Campis Román")</f>
        <v>Dana Ailén, Campis Román</v>
      </c>
      <c r="D254" s="1">
        <f ca="1">IFERROR(__xludf.DUMMYFUNCTION("""COMPUTED_VALUE"""),17)</f>
        <v>17</v>
      </c>
      <c r="E254" s="1" t="str">
        <f ca="1">IFERROR(__xludf.DUMMYFUNCTION("""COMPUTED_VALUE"""),"Mujer")</f>
        <v>Mujer</v>
      </c>
      <c r="F254" s="1" t="str">
        <f ca="1">IFERROR(__xludf.DUMMYFUNCTION("""COMPUTED_VALUE"""),"Queretaro, Mexico")</f>
        <v>Queretaro, Mexico</v>
      </c>
      <c r="G254" s="1" t="str">
        <f ca="1">IFERROR(__xludf.DUMMYFUNCTION("""COMPUTED_VALUE"""),"danacampisard@gmail.com")</f>
        <v>danacampisard@gmail.com</v>
      </c>
      <c r="H254" s="1">
        <f ca="1">IFERROR(__xludf.DUMMYFUNCTION("""COMPUTED_VALUE"""),414141022696)</f>
        <v>414141022696</v>
      </c>
      <c r="I254" s="1" t="str">
        <f ca="1">IFERROR(__xludf.DUMMYFUNCTION("""COMPUTED_VALUE"""),"Jóvenes de 13 – 17 años / SEM2/ (4 - 09 agosto), Jóvenes de 13 – 17 años / SEM3/ (11 - 16 agosto)")</f>
        <v>Jóvenes de 13 – 17 años / SEM2/ (4 - 09 agosto), Jóvenes de 13 – 17 años / SEM3/ (11 - 16 agosto)</v>
      </c>
      <c r="J254" s="1" t="str">
        <f ca="1">IFERROR(__xludf.DUMMYFUNCTION("""COMPUTED_VALUE"""),"Hora Silenciosa de Palabra de Vida obvio")</f>
        <v>Hora Silenciosa de Palabra de Vida obvio</v>
      </c>
      <c r="K254" s="1" t="str">
        <f ca="1">IFERROR(__xludf.DUMMYFUNCTION("""COMPUTED_VALUE"""),"Iglesia Bíblica Misionera Tequisquiapan")</f>
        <v>Iglesia Bíblica Misionera Tequisquiapan</v>
      </c>
      <c r="L254" s="1" t="str">
        <f ca="1">IFERROR(__xludf.DUMMYFUNCTION("""COMPUTED_VALUE"""),"Coleman Victor Priske Bond")</f>
        <v>Coleman Victor Priske Bond</v>
      </c>
      <c r="M254" s="1">
        <f ca="1">IFERROR(__xludf.DUMMYFUNCTION("""COMPUTED_VALUE"""),414141017265)</f>
        <v>414141017265</v>
      </c>
      <c r="N254" s="1" t="str">
        <f ca="1">IFERROR(__xludf.DUMMYFUNCTION("""COMPUTED_VALUE"""),"colemanpriske@gmail.com")</f>
        <v>colemanpriske@gmail.com</v>
      </c>
      <c r="O254" s="1" t="str">
        <f ca="1">IFERROR(__xludf.DUMMYFUNCTION("""COMPUTED_VALUE"""),"Escuela Dominical niños")</f>
        <v>Escuela Dominical niños</v>
      </c>
      <c r="P254" s="1" t="str">
        <f ca="1">IFERROR(__xludf.DUMMYFUNCTION("""COMPUTED_VALUE"""),"Siempre he sido cristiana porque mis papis son pastores misioneros profetas siervos de Dios")</f>
        <v>Siempre he sido cristiana porque mis papis son pastores misioneros profetas siervos de Dios</v>
      </c>
      <c r="Q254" s="1" t="str">
        <f ca="1">IFERROR(__xludf.DUMMYFUNCTION("""COMPUTED_VALUE"""),"No hay consejeras
Dios me dijo que me rife")</f>
        <v>No hay consejeras
Dios me dijo que me rife</v>
      </c>
      <c r="R254" s="1" t="str">
        <f ca="1">IFERROR(__xludf.DUMMYFUNCTION("""COMPUTED_VALUE"""),"Si")</f>
        <v>Si</v>
      </c>
      <c r="S254" s="1" t="str">
        <f ca="1">IFERROR(__xludf.DUMMYFUNCTION("""COMPUTED_VALUE"""),"Ajedrez")</f>
        <v>Ajedrez</v>
      </c>
      <c r="T254" s="1" t="str">
        <f ca="1">IFERROR(__xludf.DUMMYFUNCTION("""COMPUTED_VALUE"""),"No")</f>
        <v>No</v>
      </c>
      <c r="U254" s="1"/>
      <c r="V254" s="1" t="str">
        <f ca="1">IFERROR(__xludf.DUMMYFUNCTION("""COMPUTED_VALUE"""),"La Biblia")</f>
        <v>La Biblia</v>
      </c>
      <c r="W254" s="1" t="str">
        <f ca="1">IFERROR(__xludf.DUMMYFUNCTION("""COMPUTED_VALUE"""),"Hago trenzas")</f>
        <v>Hago trenzas</v>
      </c>
      <c r="X254" s="1" t="str">
        <f ca="1">IFERROR(__xludf.DUMMYFUNCTION("""COMPUTED_VALUE"""),"A. Soy un discipulador activo, B. Me gusta animar a las personas, C. Suelo buscar que el trabajo se realice en equipo, D. Me gustan los deportes, E. Me gusta el trabajo con niños, F. Soy eficiente en el trabajo con herramientas, equipos y maquinarias, G. "&amp;"Soy más eficiente en el trabajo individual, H. Soy organizado (a), I. Se me facilita el trabajo físico, J. Me gusta la atención a las personas, K. Soy creativo (a), L. Soy bueno (a) en canto o algún instrumento, M. Soy bueno (a) con los números, N. Suelo "&amp;"llevar el liderazgo en un grupo, O. Puedo enseñar con facilidad")</f>
        <v>A. Soy un discipulador activo, B. Me gusta animar a las personas, C. Suelo buscar que el trabajo se realice en equipo, D. Me gustan los deportes, E. Me gusta el trabajo con niños, F. Soy eficiente en el trabajo con herramientas, equipos y maquinarias, G. Soy más eficiente en el trabajo individual, H. Soy organizado (a), I. Se me facilita el trabajo físico, J. Me gusta la atención a las personas, K. Soy creativo (a), L. Soy bueno (a) en canto o algún instrumento, M. Soy bueno (a) con los números, N. Suelo llevar el liderazgo en un grupo, O. Puedo enseñar con facilidad</v>
      </c>
      <c r="Y254" s="1" t="str">
        <f ca="1">IFERROR(__xludf.DUMMYFUNCTION("""COMPUTED_VALUE"""),"No nuna")</f>
        <v>No nuna</v>
      </c>
      <c r="Z254" s="1"/>
    </row>
    <row r="255" spans="1:26" x14ac:dyDescent="0.35">
      <c r="A255" s="1" t="str">
        <f ca="1">IFERROR(__xludf.DUMMYFUNCTION("""COMPUTED_VALUE"""),"01-Aug-2025 14:15:03")</f>
        <v>01-Aug-2025 14:15:03</v>
      </c>
      <c r="B255" s="1"/>
      <c r="C255" s="1" t="str">
        <f ca="1">IFERROR(__xludf.DUMMYFUNCTION("""COMPUTED_VALUE"""),"Mariana, Martínez Jaramillo")</f>
        <v>Mariana, Martínez Jaramillo</v>
      </c>
      <c r="D255" s="1">
        <f ca="1">IFERROR(__xludf.DUMMYFUNCTION("""COMPUTED_VALUE"""),24)</f>
        <v>24</v>
      </c>
      <c r="E255" s="1" t="str">
        <f ca="1">IFERROR(__xludf.DUMMYFUNCTION("""COMPUTED_VALUE"""),"Mujer")</f>
        <v>Mujer</v>
      </c>
      <c r="F255" s="1" t="str">
        <f ca="1">IFERROR(__xludf.DUMMYFUNCTION("""COMPUTED_VALUE"""),"Morelos, Mexico")</f>
        <v>Morelos, Mexico</v>
      </c>
      <c r="G255" s="1" t="str">
        <f ca="1">IFERROR(__xludf.DUMMYFUNCTION("""COMPUTED_VALUE"""),"marmartzjaramillo@gmail.com")</f>
        <v>marmartzjaramillo@gmail.com</v>
      </c>
      <c r="H255" s="1">
        <f ca="1">IFERROR(__xludf.DUMMYFUNCTION("""COMPUTED_VALUE"""),527775567100)</f>
        <v>527775567100</v>
      </c>
      <c r="I255" s="1" t="str">
        <f ca="1">IFERROR(__xludf.DUMMYFUNCTION("""COMPUTED_VALUE"""),"Jóvenes de 13 – 17 años / SEM3/ (11 - 16 agosto)")</f>
        <v>Jóvenes de 13 – 17 años / SEM3/ (11 - 16 agosto)</v>
      </c>
      <c r="J255" s="1" t="str">
        <f ca="1">IFERROR(__xludf.DUMMYFUNCTION("""COMPUTED_VALUE"""),"Uso devocional personal, es decir leo un capítulo por día y escribo qué entendí, qué me habló Dios y cómo lo aplico a mi vida")</f>
        <v>Uso devocional personal, es decir leo un capítulo por día y escribo qué entendí, qué me habló Dios y cómo lo aplico a mi vida</v>
      </c>
      <c r="K255" s="1" t="str">
        <f ca="1">IFERROR(__xludf.DUMMYFUNCTION("""COMPUTED_VALUE"""),"La Mies Cuernavaca")</f>
        <v>La Mies Cuernavaca</v>
      </c>
      <c r="L255" s="1" t="str">
        <f ca="1">IFERROR(__xludf.DUMMYFUNCTION("""COMPUTED_VALUE"""),"Mariana Jaramillo")</f>
        <v>Mariana Jaramillo</v>
      </c>
      <c r="M255" s="1">
        <f ca="1">IFERROR(__xludf.DUMMYFUNCTION("""COMPUTED_VALUE"""),527774517856)</f>
        <v>527774517856</v>
      </c>
      <c r="N255" s="1" t="str">
        <f ca="1">IFERROR(__xludf.DUMMYFUNCTION("""COMPUTED_VALUE"""),"majo262811@gmail.com")</f>
        <v>majo262811@gmail.com</v>
      </c>
      <c r="O255" s="1" t="str">
        <f ca="1">IFERROR(__xludf.DUMMYFUNCTION("""COMPUTED_VALUE"""),"Alabanza (Coro), Kids (Alabanza kids), Maestra de instituto bíblico, REPS (Recibimiento)")</f>
        <v>Alabanza (Coro), Kids (Alabanza kids), Maestra de instituto bíblico, REPS (Recibimiento)</v>
      </c>
      <c r="P255" s="1" t="str">
        <f ca="1">IFERROR(__xludf.DUMMYFUNCTION("""COMPUTED_VALUE"""),"Soy hija de padres cristianos, por lo que siempre buscaron que estuviera creciendo en ese ambiente. Pero no fue hasta los 16 años que fui consciente de la salvación que Cristo da, por medio de una relación fallida y de darme cuenta de que por mis propias "&amp;"ambiciones podría ser capaz de destruir a mi familia, decidí rendirle mi vida a Dios.")</f>
        <v>Soy hija de padres cristianos, por lo que siempre buscaron que estuviera creciendo en ese ambiente. Pero no fue hasta los 16 años que fui consciente de la salvación que Cristo da, por medio de una relación fallida y de darme cuenta de que por mis propias ambiciones podría ser capaz de destruir a mi familia, decidí rendirle mi vida a Dios.</v>
      </c>
      <c r="Q255" s="1" t="str">
        <f ca="1">IFERROR(__xludf.DUMMYFUNCTION("""COMPUTED_VALUE"""),"He sido parte de otros campamentos cristianos que se dedican a evangelizar como Tierra Alta en sus sedes en Morelos y Coahuila, esta temporada de mi vida fue algo compleja en cuanto a mi salud, por lo que decidí tomarme un tiempo con mi familia. Vi un vid"&amp;"eo de tiktok de este campamento y quise intentar aplicar para la última semana.")</f>
        <v>He sido parte de otros campamentos cristianos que se dedican a evangelizar como Tierra Alta en sus sedes en Morelos y Coahuila, esta temporada de mi vida fue algo compleja en cuanto a mi salud, por lo que decidí tomarme un tiempo con mi familia. Vi un video de tiktok de este campamento y quise intentar aplicar para la última semana.</v>
      </c>
      <c r="R255" s="1" t="str">
        <f ca="1">IFERROR(__xludf.DUMMYFUNCTION("""COMPUTED_VALUE"""),"No")</f>
        <v>No</v>
      </c>
      <c r="S255" s="1"/>
      <c r="T255" s="1" t="str">
        <f ca="1">IFERROR(__xludf.DUMMYFUNCTION("""COMPUTED_VALUE"""),"No")</f>
        <v>No</v>
      </c>
      <c r="U255" s="1"/>
      <c r="V255" s="1" t="str">
        <f ca="1">IFERROR(__xludf.DUMMYFUNCTION("""COMPUTED_VALUE"""),"Terminé la licenciatura en historia.")</f>
        <v>Terminé la licenciatura en historia.</v>
      </c>
      <c r="W255" s="1" t="str">
        <f ca="1">IFERROR(__xludf.DUMMYFUNCTION("""COMPUTED_VALUE"""),"Licenciada en Historia, Licenciada en Teología")</f>
        <v>Licenciada en Historia, Licenciada en Teología</v>
      </c>
      <c r="X255" s="1" t="str">
        <f ca="1">IFERROR(__xludf.DUMMYFUNCTION("""COMPUTED_VALUE"""),"A. Soy un discipulador activo, B. Me gusta animar a las personas, C. Suelo buscar que el trabajo se realice en equipo, E. Me gusta el trabajo con niños, H. Soy organizado (a), J. Me gusta la atención a las personas, K. Soy creativo (a), L. Soy bueno (a) e"&amp;"n canto o algún instrumento, M. Soy bueno (a) con los números, N. Suelo llevar el liderazgo en un grupo, O. Puedo enseñar con facilidad")</f>
        <v>A. Soy un discipulador activo, B. Me gusta animar a las personas, C. Suelo buscar que el trabajo se realice en equipo, E. Me gusta el trabajo con niños, H. Soy organizado (a), J. Me gusta la atención a las personas, K. Soy creativo (a), L. Soy bueno (a) en canto o algún instrumento, M. Soy bueno (a) con los números, N. Suelo llevar el liderazgo en un grupo, O. Puedo enseñar con facilidad</v>
      </c>
      <c r="Y255" s="1" t="str">
        <f ca="1">IFERROR(__xludf.DUMMYFUNCTION("""COMPUTED_VALUE"""),"No")</f>
        <v>No</v>
      </c>
      <c r="Z255" s="1"/>
    </row>
    <row r="256" spans="1:26" x14ac:dyDescent="0.35">
      <c r="A256" s="1" t="str">
        <f ca="1">IFERROR(__xludf.DUMMYFUNCTION("""COMPUTED_VALUE"""),"01-Aug-2025 14:32:37")</f>
        <v>01-Aug-2025 14:32:37</v>
      </c>
      <c r="B256" s="1"/>
      <c r="C256" s="1" t="str">
        <f ca="1">IFERROR(__xludf.DUMMYFUNCTION("""COMPUTED_VALUE"""),"Alondra Garcia Pineda, Alondra Garcia Pineda")</f>
        <v>Alondra Garcia Pineda, Alondra Garcia Pineda</v>
      </c>
      <c r="D256" s="1">
        <f ca="1">IFERROR(__xludf.DUMMYFUNCTION("""COMPUTED_VALUE"""),15)</f>
        <v>15</v>
      </c>
      <c r="E256" s="1" t="str">
        <f ca="1">IFERROR(__xludf.DUMMYFUNCTION("""COMPUTED_VALUE"""),"Mujer")</f>
        <v>Mujer</v>
      </c>
      <c r="F256" s="1" t="str">
        <f ca="1">IFERROR(__xludf.DUMMYFUNCTION("""COMPUTED_VALUE"""),"Mexico City, Mexico")</f>
        <v>Mexico City, Mexico</v>
      </c>
      <c r="G256" s="1" t="str">
        <f ca="1">IFERROR(__xludf.DUMMYFUNCTION("""COMPUTED_VALUE"""),"alondragarpin15@gmail.com")</f>
        <v>alondragarpin15@gmail.com</v>
      </c>
      <c r="H256" s="1">
        <f ca="1">IFERROR(__xludf.DUMMYFUNCTION("""COMPUTED_VALUE"""),527712635603)</f>
        <v>527712635603</v>
      </c>
      <c r="I256" s="1" t="str">
        <f ca="1">IFERROR(__xludf.DUMMYFUNCTION("""COMPUTED_VALUE"""),"Jóvenes de 13 – 17 años / SEM2/ (4 - 09 agosto)")</f>
        <v>Jóvenes de 13 – 17 años / SEM2/ (4 - 09 agosto)</v>
      </c>
      <c r="J256" s="1" t="str">
        <f ca="1">IFERROR(__xludf.DUMMYFUNCTION("""COMPUTED_VALUE"""),"Salmos")</f>
        <v>Salmos</v>
      </c>
      <c r="K256" s="1" t="str">
        <f ca="1">IFERROR(__xludf.DUMMYFUNCTION("""COMPUTED_VALUE"""),"Satelite iglesia cristiana pib")</f>
        <v>Satelite iglesia cristiana pib</v>
      </c>
      <c r="L256" s="1" t="str">
        <f ca="1">IFERROR(__xludf.DUMMYFUNCTION("""COMPUTED_VALUE"""),"Enrique Guadarrama")</f>
        <v>Enrique Guadarrama</v>
      </c>
      <c r="M256" s="1">
        <f ca="1">IFERROR(__xludf.DUMMYFUNCTION("""COMPUTED_VALUE"""),525585814335)</f>
        <v>525585814335</v>
      </c>
      <c r="N256" s="1" t="str">
        <f ca="1">IFERROR(__xludf.DUMMYFUNCTION("""COMPUTED_VALUE"""),"eguadarrama77@hotmail.com")</f>
        <v>eguadarrama77@hotmail.com</v>
      </c>
      <c r="O256" s="1" t="str">
        <f ca="1">IFERROR(__xludf.DUMMYFUNCTION("""COMPUTED_VALUE"""),"Niños")</f>
        <v>Niños</v>
      </c>
      <c r="P256" s="1" t="str">
        <f ca="1">IFERROR(__xludf.DUMMYFUNCTION("""COMPUTED_VALUE"""),"Jesús me salvó de problemas familiares muy fuertes, mi ayudo a acercar a mi familia nuevamente a escuchar de su palabra y me salvó de poder tener algo cercano a cancer")</f>
        <v>Jesús me salvó de problemas familiares muy fuertes, mi ayudo a acercar a mi familia nuevamente a escuchar de su palabra y me salvó de poder tener algo cercano a cancer</v>
      </c>
      <c r="Q256" s="1" t="str">
        <f ca="1">IFERROR(__xludf.DUMMYFUNCTION("""COMPUTED_VALUE"""),"Deseo poder servirle a mi señor y salvador de la mejor manera para él y para mi, es algo que anhelo desde hace tiempo y estoy segura que este pensamiento viene desde oración")</f>
        <v>Deseo poder servirle a mi señor y salvador de la mejor manera para él y para mi, es algo que anhelo desde hace tiempo y estoy segura que este pensamiento viene desde oración</v>
      </c>
      <c r="R256" s="1" t="str">
        <f ca="1">IFERROR(__xludf.DUMMYFUNCTION("""COMPUTED_VALUE"""),"Si")</f>
        <v>Si</v>
      </c>
      <c r="S256" s="1" t="str">
        <f ca="1">IFERROR(__xludf.DUMMYFUNCTION("""COMPUTED_VALUE"""),"Tochito bandera")</f>
        <v>Tochito bandera</v>
      </c>
      <c r="T256" s="1" t="str">
        <f ca="1">IFERROR(__xludf.DUMMYFUNCTION("""COMPUTED_VALUE"""),"No")</f>
        <v>No</v>
      </c>
      <c r="U256" s="1"/>
      <c r="V256" s="1" t="str">
        <f ca="1">IFERROR(__xludf.DUMMYFUNCTION("""COMPUTED_VALUE"""),"Estudio la preparatoria")</f>
        <v>Estudio la preparatoria</v>
      </c>
      <c r="W256" s="1" t="str">
        <f ca="1">IFERROR(__xludf.DUMMYFUNCTION("""COMPUTED_VALUE"""),"Soy creativa,deportiva y capaz de aprender y escuchar más de Dios")</f>
        <v>Soy creativa,deportiva y capaz de aprender y escuchar más de Dios</v>
      </c>
      <c r="X256" s="1" t="str">
        <f ca="1">IFERROR(__xludf.DUMMYFUNCTION("""COMPUTED_VALUE"""),"A. Soy un discipulador activo, D. Me gustan los deportes, E. Me gusta el trabajo con niños, H. Soy organizado (a), K. Soy creativo (a), N. Suelo llevar el liderazgo en un grupo, O. Puedo enseñar con facilidad")</f>
        <v>A. Soy un discipulador activo, D. Me gustan los deportes, E. Me gusta el trabajo con niños, H. Soy organizado (a), K. Soy creativo (a), N. Suelo llevar el liderazgo en un grupo, O. Puedo enseñar con facilidad</v>
      </c>
      <c r="Y256" s="1" t="str">
        <f ca="1">IFERROR(__xludf.DUMMYFUNCTION("""COMPUTED_VALUE"""),"Jóvenes 2025")</f>
        <v>Jóvenes 2025</v>
      </c>
      <c r="Z256" s="1"/>
    </row>
    <row r="257" spans="1:26" x14ac:dyDescent="0.35">
      <c r="A257" s="1" t="str">
        <f ca="1">IFERROR(__xludf.DUMMYFUNCTION("""COMPUTED_VALUE"""),"01-Aug-2025 21:17:50")</f>
        <v>01-Aug-2025 21:17:50</v>
      </c>
      <c r="B257" s="1"/>
      <c r="C257" s="1" t="str">
        <f ca="1">IFERROR(__xludf.DUMMYFUNCTION("""COMPUTED_VALUE"""),"Edgar Mauricio, Ruiz Mata")</f>
        <v>Edgar Mauricio, Ruiz Mata</v>
      </c>
      <c r="D257" s="1">
        <f ca="1">IFERROR(__xludf.DUMMYFUNCTION("""COMPUTED_VALUE"""),33)</f>
        <v>33</v>
      </c>
      <c r="E257" s="1" t="str">
        <f ca="1">IFERROR(__xludf.DUMMYFUNCTION("""COMPUTED_VALUE"""),"Hombre")</f>
        <v>Hombre</v>
      </c>
      <c r="F257" s="1" t="str">
        <f ca="1">IFERROR(__xludf.DUMMYFUNCTION("""COMPUTED_VALUE"""),"Queretaro, Mexico")</f>
        <v>Queretaro, Mexico</v>
      </c>
      <c r="G257" s="1" t="str">
        <f ca="1">IFERROR(__xludf.DUMMYFUNCTION("""COMPUTED_VALUE"""),"emrm0314@gmail.com")</f>
        <v>emrm0314@gmail.com</v>
      </c>
      <c r="H257" s="1">
        <f ca="1">IFERROR(__xludf.DUMMYFUNCTION("""COMPUTED_VALUE"""),524272025656)</f>
        <v>524272025656</v>
      </c>
      <c r="I257" s="1" t="str">
        <f ca="1">IFERROR(__xludf.DUMMYFUNCTION("""COMPUTED_VALUE"""),"Jóvenes de 13 – 17 años / SEM3/ (11 - 16 agosto)")</f>
        <v>Jóvenes de 13 – 17 años / SEM3/ (11 - 16 agosto)</v>
      </c>
      <c r="J257" s="1" t="str">
        <f ca="1">IFERROR(__xludf.DUMMYFUNCTION("""COMPUTED_VALUE"""),"Hora Silenciosa")</f>
        <v>Hora Silenciosa</v>
      </c>
      <c r="K257" s="1" t="str">
        <f ca="1">IFERROR(__xludf.DUMMYFUNCTION("""COMPUTED_VALUE"""),"N/a")</f>
        <v>N/a</v>
      </c>
      <c r="L257" s="1" t="str">
        <f ca="1">IFERROR(__xludf.DUMMYFUNCTION("""COMPUTED_VALUE"""),"N/a")</f>
        <v>N/a</v>
      </c>
      <c r="M257" s="1">
        <f ca="1">IFERROR(__xludf.DUMMYFUNCTION("""COMPUTED_VALUE"""),520000000000)</f>
        <v>520000000000</v>
      </c>
      <c r="N257" s="1" t="str">
        <f ca="1">IFERROR(__xludf.DUMMYFUNCTION("""COMPUTED_VALUE"""),"emrm0314@gmail.com")</f>
        <v>emrm0314@gmail.com</v>
      </c>
      <c r="O257" s="1" t="str">
        <f ca="1">IFERROR(__xludf.DUMMYFUNCTION("""COMPUTED_VALUE"""),"N/a")</f>
        <v>N/a</v>
      </c>
      <c r="P257" s="1" t="str">
        <f ca="1">IFERROR(__xludf.DUMMYFUNCTION("""COMPUTED_VALUE"""),"Conoci de Cristo en un campamento en San Luis a la edad de 17 años.")</f>
        <v>Conoci de Cristo en un campamento en San Luis a la edad de 17 años.</v>
      </c>
      <c r="Q257" s="1" t="str">
        <f ca="1">IFERROR(__xludf.DUMMYFUNCTION("""COMPUTED_VALUE"""),"Me gustaria retribuir al Señor lo mucho que me ha dado. PDV es un pilar importante en mi vida y quiero volver a ser activo en mi iglesia. Considero que esta es un oportunidad para escuchar la voz de Dios. Mi alma lo necesita.")</f>
        <v>Me gustaria retribuir al Señor lo mucho que me ha dado. PDV es un pilar importante en mi vida y quiero volver a ser activo en mi iglesia. Considero que esta es un oportunidad para escuchar la voz de Dios. Mi alma lo necesita.</v>
      </c>
      <c r="R257" s="1" t="str">
        <f ca="1">IFERROR(__xludf.DUMMYFUNCTION("""COMPUTED_VALUE"""),"Si")</f>
        <v>Si</v>
      </c>
      <c r="S257" s="1" t="str">
        <f ca="1">IFERROR(__xludf.DUMMYFUNCTION("""COMPUTED_VALUE"""),"Fútbol")</f>
        <v>Fútbol</v>
      </c>
      <c r="T257" s="1" t="str">
        <f ca="1">IFERROR(__xludf.DUMMYFUNCTION("""COMPUTED_VALUE"""),"No")</f>
        <v>No</v>
      </c>
      <c r="U257" s="1"/>
      <c r="V257" s="1" t="str">
        <f ca="1">IFERROR(__xludf.DUMMYFUNCTION("""COMPUTED_VALUE"""),"Soy egresado")</f>
        <v>Soy egresado</v>
      </c>
      <c r="W257" s="1" t="str">
        <f ca="1">IFERROR(__xludf.DUMMYFUNCTION("""COMPUTED_VALUE"""),"Soy bueno organizando")</f>
        <v>Soy bueno organizando</v>
      </c>
      <c r="X257" s="1" t="str">
        <f ca="1">IFERROR(__xludf.DUMMYFUNCTION("""COMPUTED_VALUE"""),"B. Me gusta animar a las personas, D. Me gustan los deportes, E. Me gusta el trabajo con niños, L. Soy bueno (a) en canto o algún instrumento, M. Soy bueno (a) con los números, O. Puedo enseñar con facilidad")</f>
        <v>B. Me gusta animar a las personas, D. Me gustan los deportes, E. Me gusta el trabajo con niños, L. Soy bueno (a) en canto o algún instrumento, M. Soy bueno (a) con los números, O. Puedo enseñar con facilidad</v>
      </c>
      <c r="Y257" s="1" t="str">
        <f ca="1">IFERROR(__xludf.DUMMYFUNCTION("""COMPUTED_VALUE"""),"No")</f>
        <v>No</v>
      </c>
      <c r="Z257" s="1"/>
    </row>
    <row r="258" spans="1:26" x14ac:dyDescent="0.35">
      <c r="A258" s="1" t="str">
        <f ca="1">IFERROR(__xludf.DUMMYFUNCTION("""COMPUTED_VALUE"""),"03-Aug-2025 12:36:46")</f>
        <v>03-Aug-2025 12:36:46</v>
      </c>
      <c r="B258" s="1"/>
      <c r="C258" s="1" t="str">
        <f ca="1">IFERROR(__xludf.DUMMYFUNCTION("""COMPUTED_VALUE"""),"Damaris Lopez marin, Damaris")</f>
        <v>Damaris Lopez marin, Damaris</v>
      </c>
      <c r="D258" s="1">
        <f ca="1">IFERROR(__xludf.DUMMYFUNCTION("""COMPUTED_VALUE"""),15)</f>
        <v>15</v>
      </c>
      <c r="E258" s="1" t="str">
        <f ca="1">IFERROR(__xludf.DUMMYFUNCTION("""COMPUTED_VALUE"""),"Mujer")</f>
        <v>Mujer</v>
      </c>
      <c r="F258" s="1" t="str">
        <f ca="1">IFERROR(__xludf.DUMMYFUNCTION("""COMPUTED_VALUE"""),"Queretaro, Mexico")</f>
        <v>Queretaro, Mexico</v>
      </c>
      <c r="G258" s="1" t="str">
        <f ca="1">IFERROR(__xludf.DUMMYFUNCTION("""COMPUTED_VALUE"""),"lopezmarindamaris@gmail.com")</f>
        <v>lopezmarindamaris@gmail.com</v>
      </c>
      <c r="H258" s="1">
        <f ca="1">IFERROR(__xludf.DUMMYFUNCTION("""COMPUTED_VALUE"""),541160050591)</f>
        <v>541160050591</v>
      </c>
      <c r="I258" s="1" t="str">
        <f ca="1">IFERROR(__xludf.DUMMYFUNCTION("""COMPUTED_VALUE"""),"Jóvenes de 13 – 17 años / SEM2/ (4 - 09 agosto)")</f>
        <v>Jóvenes de 13 – 17 años / SEM2/ (4 - 09 agosto)</v>
      </c>
      <c r="J258" s="1" t="str">
        <f ca="1">IFERROR(__xludf.DUMMYFUNCTION("""COMPUTED_VALUE"""),"Devocional personal")</f>
        <v>Devocional personal</v>
      </c>
      <c r="K258" s="1" t="str">
        <f ca="1">IFERROR(__xludf.DUMMYFUNCTION("""COMPUTED_VALUE"""),"CCNE Tlacotepec")</f>
        <v>CCNE Tlacotepec</v>
      </c>
      <c r="L258" s="1" t="str">
        <f ca="1">IFERROR(__xludf.DUMMYFUNCTION("""COMPUTED_VALUE"""),"Jose Lopez")</f>
        <v>Jose Lopez</v>
      </c>
      <c r="M258" s="1">
        <f ca="1">IFERROR(__xludf.DUMMYFUNCTION("""COMPUTED_VALUE"""),527208633820)</f>
        <v>527208633820</v>
      </c>
      <c r="N258" s="1" t="str">
        <f ca="1">IFERROR(__xludf.DUMMYFUNCTION("""COMPUTED_VALUE"""),"jose.o.lopez.jol@gmail.com")</f>
        <v>jose.o.lopez.jol@gmail.com</v>
      </c>
      <c r="O258" s="1" t="str">
        <f ca="1">IFERROR(__xludf.DUMMYFUNCTION("""COMPUTED_VALUE"""),"Jovenes servicio")</f>
        <v>Jovenes servicio</v>
      </c>
      <c r="P258" s="1" t="str">
        <f ca="1">IFERROR(__xludf.DUMMYFUNCTION("""COMPUTED_VALUE"""),"Vengo de una familia cristiana donde siempre escuche de Dios, pero nunca lo habia aceptado hasta que cumpli 7 años cuando mi hermana me predico de cristo y pude entender que era una pecadora y que mi pecado me separa de cristo fue a hi donde cono a mi uni"&amp;"co salvador")</f>
        <v>Vengo de una familia cristiana donde siempre escuche de Dios, pero nunca lo habia aceptado hasta que cumpli 7 años cuando mi hermana me predico de cristo y pude entender que era una pecadora y que mi pecado me separa de cristo fue a hi donde cono a mi unico salvador</v>
      </c>
      <c r="Q258" s="1" t="str">
        <f ca="1">IFERROR(__xludf.DUMMYFUNCTION("""COMPUTED_VALUE"""),"Quiero ser parte, para aprender mas sobre la palabra de Dios y servir para la obra de Dios")</f>
        <v>Quiero ser parte, para aprender mas sobre la palabra de Dios y servir para la obra de Dios</v>
      </c>
      <c r="R258" s="1" t="str">
        <f ca="1">IFERROR(__xludf.DUMMYFUNCTION("""COMPUTED_VALUE"""),"Si")</f>
        <v>Si</v>
      </c>
      <c r="S258" s="1" t="str">
        <f ca="1">IFERROR(__xludf.DUMMYFUNCTION("""COMPUTED_VALUE"""),"Voley")</f>
        <v>Voley</v>
      </c>
      <c r="T258" s="1" t="str">
        <f ca="1">IFERROR(__xludf.DUMMYFUNCTION("""COMPUTED_VALUE"""),"No")</f>
        <v>No</v>
      </c>
      <c r="U258" s="1"/>
      <c r="V258" s="1" t="str">
        <f ca="1">IFERROR(__xludf.DUMMYFUNCTION("""COMPUTED_VALUE"""),"Escuela")</f>
        <v>Escuela</v>
      </c>
      <c r="W258" s="1" t="str">
        <f ca="1">IFERROR(__xludf.DUMMYFUNCTION("""COMPUTED_VALUE"""),"Actuar, limpiar y vender")</f>
        <v>Actuar, limpiar y vender</v>
      </c>
      <c r="X258" s="1" t="str">
        <f ca="1">IFERROR(__xludf.DUMMYFUNCTION("""COMPUTED_VALUE"""),"B. Me gusta animar a las personas, C. Suelo buscar que el trabajo se realice en equipo, E. Me gusta el trabajo con niños, H. Soy organizado (a), J. Me gusta la atención a las personas, K. Soy creativo (a), M. Soy bueno (a) con los números, O. Puedo enseña"&amp;"r con facilidad")</f>
        <v>B. Me gusta animar a las personas, C. Suelo buscar que el trabajo se realice en equipo, E. Me gusta el trabajo con niños, H. Soy organizado (a), J. Me gusta la atención a las personas, K. Soy creativo (a), M. Soy bueno (a) con los números, O. Puedo enseñar con facilidad</v>
      </c>
      <c r="Y258" s="1" t="str">
        <f ca="1">IFERROR(__xludf.DUMMYFUNCTION("""COMPUTED_VALUE"""),"Si en en la pasada")</f>
        <v>Si en en la pasada</v>
      </c>
      <c r="Z258" s="1"/>
    </row>
    <row r="259" spans="1:26" x14ac:dyDescent="0.35">
      <c r="A259" s="1" t="str">
        <f ca="1">IFERROR(__xludf.DUMMYFUNCTION("""COMPUTED_VALUE"""),"03-Aug-2025 20:26:37")</f>
        <v>03-Aug-2025 20:26:37</v>
      </c>
      <c r="B259" s="1"/>
      <c r="C259" s="1" t="str">
        <f ca="1">IFERROR(__xludf.DUMMYFUNCTION("""COMPUTED_VALUE"""),"Bernardo, Becerril")</f>
        <v>Bernardo, Becerril</v>
      </c>
      <c r="D259" s="1">
        <f ca="1">IFERROR(__xludf.DUMMYFUNCTION("""COMPUTED_VALUE"""),27)</f>
        <v>27</v>
      </c>
      <c r="E259" s="1" t="str">
        <f ca="1">IFERROR(__xludf.DUMMYFUNCTION("""COMPUTED_VALUE"""),"Hombre")</f>
        <v>Hombre</v>
      </c>
      <c r="F259" s="1" t="str">
        <f ca="1">IFERROR(__xludf.DUMMYFUNCTION("""COMPUTED_VALUE"""),"Queretaro, Mexico")</f>
        <v>Queretaro, Mexico</v>
      </c>
      <c r="G259" s="1" t="str">
        <f ca="1">IFERROR(__xludf.DUMMYFUNCTION("""COMPUTED_VALUE"""),"brody4e1@gmail.com")</f>
        <v>brody4e1@gmail.com</v>
      </c>
      <c r="H259" s="1">
        <f ca="1">IFERROR(__xludf.DUMMYFUNCTION("""COMPUTED_VALUE"""),527775155056)</f>
        <v>527775155056</v>
      </c>
      <c r="I259" s="1" t="str">
        <f ca="1">IFERROR(__xludf.DUMMYFUNCTION("""COMPUTED_VALUE"""),"Jóvenes de 13 – 17 años / SEM2/ (4 - 09 agosto)")</f>
        <v>Jóvenes de 13 – 17 años / SEM2/ (4 - 09 agosto)</v>
      </c>
      <c r="J259" s="1" t="str">
        <f ca="1">IFERROR(__xludf.DUMMYFUNCTION("""COMPUTED_VALUE"""),"Devocionales de Nico Tranchini")</f>
        <v>Devocionales de Nico Tranchini</v>
      </c>
      <c r="K259" s="1" t="str">
        <f ca="1">IFERROR(__xludf.DUMMYFUNCTION("""COMPUTED_VALUE"""),"Church Peoject")</f>
        <v>Church Peoject</v>
      </c>
      <c r="L259" s="1" t="str">
        <f ca="1">IFERROR(__xludf.DUMMYFUNCTION("""COMPUTED_VALUE"""),"Brandon")</f>
        <v>Brandon</v>
      </c>
      <c r="M259" s="1">
        <f ca="1">IFERROR(__xludf.DUMMYFUNCTION("""COMPUTED_VALUE"""),524151261741)</f>
        <v>524151261741</v>
      </c>
      <c r="N259" s="1" t="str">
        <f ca="1">IFERROR(__xludf.DUMMYFUNCTION("""COMPUTED_VALUE"""),"braian@cpqueretaro.org")</f>
        <v>braian@cpqueretaro.org</v>
      </c>
      <c r="O259" s="1" t="str">
        <f ca="1">IFERROR(__xludf.DUMMYFUNCTION("""COMPUTED_VALUE"""),"Apoyo en Jóvenes")</f>
        <v>Apoyo en Jóvenes</v>
      </c>
      <c r="P259" s="1" t="str">
        <f ca="1">IFERROR(__xludf.DUMMYFUNCTION("""COMPUTED_VALUE"""),"Dios me hablo con la obra de Renacidos por medio del ministerio de Palabra de Vida a los 18 años, fue donde afirme con convicción el regalo que Dios me había dado para tener una relación con Cristo, una esperanza viva de estar con Él por la eternidad.
Y p"&amp;"oder ser luz y sal aquí en la tierra.")</f>
        <v>Dios me hablo con la obra de Renacidos por medio del ministerio de Palabra de Vida a los 18 años, fue donde afirme con convicción el regalo que Dios me había dado para tener una relación con Cristo, una esperanza viva de estar con Él por la eternidad.
Y poder ser luz y sal aquí en la tierra.</v>
      </c>
      <c r="Q259" s="1" t="str">
        <f ca="1">IFERROR(__xludf.DUMMYFUNCTION("""COMPUTED_VALUE"""),"Dios hablo a mi vida hace unos días en para apoyar el ministerio que desde hace años a sido una bendición a mi vida y ahí algunos compañeros compartieron conmigo que había una necesidad en el área de consejero donde eh podido ser parte años atrás.")</f>
        <v>Dios hablo a mi vida hace unos días en para apoyar el ministerio que desde hace años a sido una bendición a mi vida y ahí algunos compañeros compartieron conmigo que había una necesidad en el área de consejero donde eh podido ser parte años atrás.</v>
      </c>
      <c r="R259" s="1" t="str">
        <f ca="1">IFERROR(__xludf.DUMMYFUNCTION("""COMPUTED_VALUE"""),"Si")</f>
        <v>Si</v>
      </c>
      <c r="S259" s="1" t="str">
        <f ca="1">IFERROR(__xludf.DUMMYFUNCTION("""COMPUTED_VALUE"""),"Futbol y tenis.")</f>
        <v>Futbol y tenis.</v>
      </c>
      <c r="T259" s="1" t="str">
        <f ca="1">IFERROR(__xludf.DUMMYFUNCTION("""COMPUTED_VALUE"""),"No")</f>
        <v>No</v>
      </c>
      <c r="U259" s="1"/>
      <c r="V259" s="1" t="str">
        <f ca="1">IFERROR(__xludf.DUMMYFUNCTION("""COMPUTED_VALUE"""),"Trabajo")</f>
        <v>Trabajo</v>
      </c>
      <c r="W259" s="1" t="str">
        <f ca="1">IFERROR(__xludf.DUMMYFUNCTION("""COMPUTED_VALUE"""),"Facilidad de hablar y relación con personas.")</f>
        <v>Facilidad de hablar y relación con personas.</v>
      </c>
      <c r="X259" s="1" t="str">
        <f ca="1">IFERROR(__xludf.DUMMYFUNCTION("""COMPUTED_VALUE"""),"A. Soy un discipulador activo, B. Me gusta animar a las personas, C. Suelo buscar que el trabajo se realice en equipo, D. Me gustan los deportes, N. Suelo llevar el liderazgo en un grupo, O. Puedo enseñar con facilidad")</f>
        <v>A. Soy un discipulador activo, B. Me gusta animar a las personas, C. Suelo buscar que el trabajo se realice en equipo, D. Me gustan los deportes, N. Suelo llevar el liderazgo en un grupo, O. Puedo enseñar con facilidad</v>
      </c>
      <c r="Y259" s="1" t="str">
        <f ca="1">IFERROR(__xludf.DUMMYFUNCTION("""COMPUTED_VALUE"""),"No")</f>
        <v>No</v>
      </c>
      <c r="Z259" s="1"/>
    </row>
    <row r="260" spans="1:26" x14ac:dyDescent="0.35">
      <c r="A260" s="1" t="str">
        <f ca="1">IFERROR(__xludf.DUMMYFUNCTION("""COMPUTED_VALUE"""),"04-Aug-2025 19:51:07")</f>
        <v>04-Aug-2025 19:51:07</v>
      </c>
      <c r="B260" s="1"/>
      <c r="C260" s="1" t="str">
        <f ca="1">IFERROR(__xludf.DUMMYFUNCTION("""COMPUTED_VALUE"""),"Vanessa Michelle, Rojas Ojeda")</f>
        <v>Vanessa Michelle, Rojas Ojeda</v>
      </c>
      <c r="D260" s="1">
        <f ca="1">IFERROR(__xludf.DUMMYFUNCTION("""COMPUTED_VALUE"""),16)</f>
        <v>16</v>
      </c>
      <c r="E260" s="1" t="str">
        <f ca="1">IFERROR(__xludf.DUMMYFUNCTION("""COMPUTED_VALUE"""),"Mujer")</f>
        <v>Mujer</v>
      </c>
      <c r="F260" s="1" t="str">
        <f ca="1">IFERROR(__xludf.DUMMYFUNCTION("""COMPUTED_VALUE"""),"Queretaro, Mexico")</f>
        <v>Queretaro, Mexico</v>
      </c>
      <c r="G260" s="1" t="str">
        <f ca="1">IFERROR(__xludf.DUMMYFUNCTION("""COMPUTED_VALUE"""),"rojasojedavanessa@gmail.com")</f>
        <v>rojasojedavanessa@gmail.com</v>
      </c>
      <c r="H260" s="1">
        <f ca="1">IFERROR(__xludf.DUMMYFUNCTION("""COMPUTED_VALUE"""),524421237112)</f>
        <v>524421237112</v>
      </c>
      <c r="I260" s="1" t="str">
        <f ca="1">IFERROR(__xludf.DUMMYFUNCTION("""COMPUTED_VALUE"""),"Jóvenes de 13 – 17 años / SEM3/ (11 - 16 agosto)")</f>
        <v>Jóvenes de 13 – 17 años / SEM3/ (11 - 16 agosto)</v>
      </c>
      <c r="J260" s="1" t="str">
        <f ca="1">IFERROR(__xludf.DUMMYFUNCTION("""COMPUTED_VALUE"""),"La Biblia")</f>
        <v>La Biblia</v>
      </c>
      <c r="K260" s="1" t="str">
        <f ca="1">IFERROR(__xludf.DUMMYFUNCTION("""COMPUTED_VALUE"""),"Betania")</f>
        <v>Betania</v>
      </c>
      <c r="L260" s="1" t="str">
        <f ca="1">IFERROR(__xludf.DUMMYFUNCTION("""COMPUTED_VALUE"""),"Armando Pacheco Aviles")</f>
        <v>Armando Pacheco Aviles</v>
      </c>
      <c r="M260" s="1">
        <f ca="1">IFERROR(__xludf.DUMMYFUNCTION("""COMPUTED_VALUE"""),525554729453)</f>
        <v>525554729453</v>
      </c>
      <c r="N260" s="1" t="str">
        <f ca="1">IFERROR(__xludf.DUMMYFUNCTION("""COMPUTED_VALUE"""),"armando_pacheco@hotmail.com")</f>
        <v>armando_pacheco@hotmail.com</v>
      </c>
      <c r="O260" s="1" t="str">
        <f ca="1">IFERROR(__xludf.DUMMYFUNCTION("""COMPUTED_VALUE"""),"intermedios y jóvenes - escuela de formación cristiana")</f>
        <v>intermedios y jóvenes - escuela de formación cristiana</v>
      </c>
      <c r="P260" s="1" t="str">
        <f ca="1">IFERROR(__xludf.DUMMYFUNCTION("""COMPUTED_VALUE"""),"vengo de una familia que siempre estuvo cerca de Dios, pero a mí no me llamaba la atención y siempre iba obligada a la iglesia hasta que asistí a uno de los campamentos de pv y Dios me llamó  durante la fogata, pero no pude rendirme a Él en ese momento, t"&amp;"uve miedo y tuve dudas. estuve luchando contra esas dudas y miedos durante casi dos años hasta que en el campamento “eternos” Dios quitó todas mis dudas para darme ese deseo de servirle y de animar a la gente a aceptar a Jesús en su corazón, ya que su amo"&amp;"r y su gracia cambió mi vida para toda la eternidad y quiero que la gente sepa quién es Jesús")</f>
        <v>vengo de una familia que siempre estuvo cerca de Dios, pero a mí no me llamaba la atención y siempre iba obligada a la iglesia hasta que asistí a uno de los campamentos de pv y Dios me llamó  durante la fogata, pero no pude rendirme a Él en ese momento, tuve miedo y tuve dudas. estuve luchando contra esas dudas y miedos durante casi dos años hasta que en el campamento “eternos” Dios quitó todas mis dudas para darme ese deseo de servirle y de animar a la gente a aceptar a Jesús en su corazón, ya que su amor y su gracia cambió mi vida para toda la eternidad y quiero que la gente sepa quién es Jesús</v>
      </c>
      <c r="Q260" s="1" t="str">
        <f ca="1">IFERROR(__xludf.DUMMYFUNCTION("""COMPUTED_VALUE"""),"quiero glorificar a Dios con mi participación y animar a los jóvenes a creer en Cristo como su salvador")</f>
        <v>quiero glorificar a Dios con mi participación y animar a los jóvenes a creer en Cristo como su salvador</v>
      </c>
      <c r="R260" s="1" t="str">
        <f ca="1">IFERROR(__xludf.DUMMYFUNCTION("""COMPUTED_VALUE"""),"Si")</f>
        <v>Si</v>
      </c>
      <c r="S260" s="1" t="str">
        <f ca="1">IFERROR(__xludf.DUMMYFUNCTION("""COMPUTED_VALUE"""),"Volley ball")</f>
        <v>Volley ball</v>
      </c>
      <c r="T260" s="1" t="str">
        <f ca="1">IFERROR(__xludf.DUMMYFUNCTION("""COMPUTED_VALUE"""),"No")</f>
        <v>No</v>
      </c>
      <c r="U260" s="1"/>
      <c r="V260" s="1" t="str">
        <f ca="1">IFERROR(__xludf.DUMMYFUNCTION("""COMPUTED_VALUE"""),"1 de preparatoria/ bachillerato")</f>
        <v>1 de preparatoria/ bachillerato</v>
      </c>
      <c r="W260" s="1" t="str">
        <f ca="1">IFERROR(__xludf.DUMMYFUNCTION("""COMPUTED_VALUE"""),"soy animada y activa, tengo una voz potente, sociable, camino largas distancias, puedo cargar varias cosas a la vez, estoy dispuesta a servir, soy paciente,")</f>
        <v>soy animada y activa, tengo una voz potente, sociable, camino largas distancias, puedo cargar varias cosas a la vez, estoy dispuesta a servir, soy paciente,</v>
      </c>
      <c r="X260" s="1" t="str">
        <f ca="1">IFERROR(__xludf.DUMMYFUNCTION("""COMPUTED_VALUE"""),"B. Me gusta animar a las personas, C. Suelo buscar que el trabajo se realice en equipo, D. Me gustan los deportes, G. Soy más eficiente en el trabajo individual, H. Soy organizado (a), I. Se me facilita el trabajo físico, J. Me gusta la atención a las per"&amp;"sonas, K. Soy creativo (a), O. Puedo enseñar con facilidad")</f>
        <v>B. Me gusta animar a las personas, C. Suelo buscar que el trabajo se realice en equipo, D. Me gustan los deportes, G. Soy más eficiente en el trabajo individual, H. Soy organizado (a), I. Se me facilita el trabajo físico, J. Me gusta la atención a las personas, K. Soy creativo (a), O. Puedo enseñar con facilidad</v>
      </c>
      <c r="Y260" s="1" t="str">
        <f ca="1">IFERROR(__xludf.DUMMYFUNCTION("""COMPUTED_VALUE"""),"semana de jovenes 2023,2024,2025")</f>
        <v>semana de jovenes 2023,2024,2025</v>
      </c>
      <c r="Z260" s="1"/>
    </row>
    <row r="261" spans="1:26" x14ac:dyDescent="0.35">
      <c r="A261" s="1" t="str">
        <f ca="1">IFERROR(__xludf.DUMMYFUNCTION("""COMPUTED_VALUE"""),"07-Aug-2025 12:30:45")</f>
        <v>07-Aug-2025 12:30:45</v>
      </c>
      <c r="B261" s="1"/>
      <c r="C261" s="1" t="str">
        <f ca="1">IFERROR(__xludf.DUMMYFUNCTION("""COMPUTED_VALUE"""),"Maximiliano Rafael, Gonzalez Islas")</f>
        <v>Maximiliano Rafael, Gonzalez Islas</v>
      </c>
      <c r="D261" s="1">
        <f ca="1">IFERROR(__xludf.DUMMYFUNCTION("""COMPUTED_VALUE"""),28)</f>
        <v>28</v>
      </c>
      <c r="E261" s="1" t="str">
        <f ca="1">IFERROR(__xludf.DUMMYFUNCTION("""COMPUTED_VALUE"""),"Hombre")</f>
        <v>Hombre</v>
      </c>
      <c r="F261" s="1" t="str">
        <f ca="1">IFERROR(__xludf.DUMMYFUNCTION("""COMPUTED_VALUE"""),"Mexico City, Mexico")</f>
        <v>Mexico City, Mexico</v>
      </c>
      <c r="G261" s="1" t="str">
        <f ca="1">IFERROR(__xludf.DUMMYFUNCTION("""COMPUTED_VALUE"""),"dmaxf@live.com")</f>
        <v>dmaxf@live.com</v>
      </c>
      <c r="H261" s="1">
        <f ca="1">IFERROR(__xludf.DUMMYFUNCTION("""COMPUTED_VALUE"""),525563229154)</f>
        <v>525563229154</v>
      </c>
      <c r="I261" s="1" t="str">
        <f ca="1">IFERROR(__xludf.DUMMYFUNCTION("""COMPUTED_VALUE"""),"Jóvenes de 13 – 17 años / SEM3/ (11 - 16 agosto)")</f>
        <v>Jóvenes de 13 – 17 años / SEM3/ (11 - 16 agosto)</v>
      </c>
      <c r="J261" s="1" t="str">
        <f ca="1">IFERROR(__xludf.DUMMYFUNCTION("""COMPUTED_VALUE"""),"El de la biblia")</f>
        <v>El de la biblia</v>
      </c>
      <c r="K261" s="1" t="str">
        <f ca="1">IFERROR(__xludf.DUMMYFUNCTION("""COMPUTED_VALUE"""),"Forestal (del bosque)")</f>
        <v>Forestal (del bosque)</v>
      </c>
      <c r="L261" s="1" t="str">
        <f ca="1">IFERROR(__xludf.DUMMYFUNCTION("""COMPUTED_VALUE"""),"Ciro Pérez")</f>
        <v>Ciro Pérez</v>
      </c>
      <c r="M261" s="1">
        <f ca="1">IFERROR(__xludf.DUMMYFUNCTION("""COMPUTED_VALUE"""),525534091509)</f>
        <v>525534091509</v>
      </c>
      <c r="N261" s="1" t="str">
        <f ca="1">IFERROR(__xludf.DUMMYFUNCTION("""COMPUTED_VALUE"""),"ciroperezrojas@gmail.com")</f>
        <v>ciroperezrojas@gmail.com</v>
      </c>
      <c r="O261" s="1" t="str">
        <f ca="1">IFERROR(__xludf.DUMMYFUNCTION("""COMPUTED_VALUE"""),"Antes era maestro y encargado de juegos")</f>
        <v>Antes era maestro y encargado de juegos</v>
      </c>
      <c r="P261" s="1" t="str">
        <f ca="1">IFERROR(__xludf.DUMMYFUNCTION("""COMPUTED_VALUE"""),"A la edad de 12 años mi familia por primera vez escucho de la palabra en un evento del día del niño 
Partir de ahí, nos invitaron asistir al club de niños mi mamá nos llevo y con el tiempo cada día íbamos más y más a la iglesia a la edad de 17 años yo ace"&amp;"pte a Dios como mi único salvador y a la edad de 18-19 me bautize")</f>
        <v>A la edad de 12 años mi familia por primera vez escucho de la palabra en un evento del día del niño 
Partir de ahí, nos invitaron asistir al club de niños mi mamá nos llevo y con el tiempo cada día íbamos más y más a la iglesia a la edad de 17 años yo acepte a Dios como mi único salvador y a la edad de 18-19 me bautize</v>
      </c>
      <c r="Q261" s="1" t="str">
        <f ca="1">IFERROR(__xludf.DUMMYFUNCTION("""COMPUTED_VALUE"""),"Siempre he querido ir a servir desde niño iba a los campamentos y siempre me quedé con ganas de ir a servir y ahora que mi hermana está allá sirviendo ella me animo a ir")</f>
        <v>Siempre he querido ir a servir desde niño iba a los campamentos y siempre me quedé con ganas de ir a servir y ahora que mi hermana está allá sirviendo ella me animo a ir</v>
      </c>
      <c r="R261" s="1" t="str">
        <f ca="1">IFERROR(__xludf.DUMMYFUNCTION("""COMPUTED_VALUE"""),"Si")</f>
        <v>Si</v>
      </c>
      <c r="S261" s="1" t="str">
        <f ca="1">IFERROR(__xludf.DUMMYFUNCTION("""COMPUTED_VALUE"""),"Futbol")</f>
        <v>Futbol</v>
      </c>
      <c r="T261" s="1" t="str">
        <f ca="1">IFERROR(__xludf.DUMMYFUNCTION("""COMPUTED_VALUE"""),"No")</f>
        <v>No</v>
      </c>
      <c r="U261" s="1"/>
      <c r="V261" s="1" t="str">
        <f ca="1">IFERROR(__xludf.DUMMYFUNCTION("""COMPUTED_VALUE"""),"Contabilidad")</f>
        <v>Contabilidad</v>
      </c>
      <c r="W261" s="1" t="str">
        <f ca="1">IFERROR(__xludf.DUMMYFUNCTION("""COMPUTED_VALUE"""),"Soy bueno en las matemáticas")</f>
        <v>Soy bueno en las matemáticas</v>
      </c>
      <c r="X261" s="1" t="str">
        <f ca="1">IFERROR(__xludf.DUMMYFUNCTION("""COMPUTED_VALUE"""),"B. Me gusta animar a las personas, C. Suelo buscar que el trabajo se realice en equipo, D. Me gustan los deportes, I. Se me facilita el trabajo físico, J. Me gusta la atención a las personas, M. Soy bueno (a) con los números, O. Puedo enseñar con facilida"&amp;"d")</f>
        <v>B. Me gusta animar a las personas, C. Suelo buscar que el trabajo se realice en equipo, D. Me gustan los deportes, I. Se me facilita el trabajo físico, J. Me gusta la atención a las personas, M. Soy bueno (a) con los números, O. Puedo enseñar con facilidad</v>
      </c>
      <c r="Y261" s="1" t="str">
        <f ca="1">IFERROR(__xludf.DUMMYFUNCTION("""COMPUTED_VALUE"""),"2010-2013")</f>
        <v>2010-2013</v>
      </c>
      <c r="Z261" s="1"/>
    </row>
    <row r="262" spans="1:26" x14ac:dyDescent="0.35">
      <c r="A262" s="1" t="str">
        <f ca="1">IFERROR(__xludf.DUMMYFUNCTION("""COMPUTED_VALUE"""),"09-Aug-2025 18:38:26")</f>
        <v>09-Aug-2025 18:38:26</v>
      </c>
      <c r="B262" s="1"/>
      <c r="C262" s="1" t="str">
        <f ca="1">IFERROR(__xludf.DUMMYFUNCTION("""COMPUTED_VALUE"""),"Bereshit eliana, Torres arriaga")</f>
        <v>Bereshit eliana, Torres arriaga</v>
      </c>
      <c r="D262" s="1">
        <f ca="1">IFERROR(__xludf.DUMMYFUNCTION("""COMPUTED_VALUE"""),17)</f>
        <v>17</v>
      </c>
      <c r="E262" s="1" t="str">
        <f ca="1">IFERROR(__xludf.DUMMYFUNCTION("""COMPUTED_VALUE"""),"Mujer")</f>
        <v>Mujer</v>
      </c>
      <c r="F262" s="1" t="str">
        <f ca="1">IFERROR(__xludf.DUMMYFUNCTION("""COMPUTED_VALUE"""),"San Luis Potosi, Mexico")</f>
        <v>San Luis Potosi, Mexico</v>
      </c>
      <c r="G262" s="1" t="str">
        <f ca="1">IFERROR(__xludf.DUMMYFUNCTION("""COMPUTED_VALUE"""),"sh.industrial.gaeliana@gmail.com")</f>
        <v>sh.industrial.gaeliana@gmail.com</v>
      </c>
      <c r="H262" s="1">
        <f ca="1">IFERROR(__xludf.DUMMYFUNCTION("""COMPUTED_VALUE"""),524448191219)</f>
        <v>524448191219</v>
      </c>
      <c r="I262" s="1" t="str">
        <f ca="1">IFERROR(__xludf.DUMMYFUNCTION("""COMPUTED_VALUE"""),"Jóvenes de 13 – 17 años / SEM3/ (11 - 16 agosto)")</f>
        <v>Jóvenes de 13 – 17 años / SEM3/ (11 - 16 agosto)</v>
      </c>
      <c r="J262" s="1" t="str">
        <f ca="1">IFERROR(__xludf.DUMMYFUNCTION("""COMPUTED_VALUE"""),"Biblia")</f>
        <v>Biblia</v>
      </c>
      <c r="K262" s="1" t="str">
        <f ca="1">IFERROR(__xludf.DUMMYFUNCTION("""COMPUTED_VALUE"""),"Eterno mover")</f>
        <v>Eterno mover</v>
      </c>
      <c r="L262" s="1" t="str">
        <f ca="1">IFERROR(__xludf.DUMMYFUNCTION("""COMPUTED_VALUE"""),"Rodrigo")</f>
        <v>Rodrigo</v>
      </c>
      <c r="M262" s="1">
        <f ca="1">IFERROR(__xludf.DUMMYFUNCTION("""COMPUTED_VALUE"""),524442855187)</f>
        <v>524442855187</v>
      </c>
      <c r="N262" s="1" t="str">
        <f ca="1">IFERROR(__xludf.DUMMYFUNCTION("""COMPUTED_VALUE"""),"rodri@eternomover.com")</f>
        <v>rodri@eternomover.com</v>
      </c>
      <c r="O262" s="1" t="str">
        <f ca="1">IFERROR(__xludf.DUMMYFUNCTION("""COMPUTED_VALUE"""),"Niños y multimedia")</f>
        <v>Niños y multimedia</v>
      </c>
      <c r="P262" s="1" t="str">
        <f ca="1">IFERROR(__xludf.DUMMYFUNCTION("""COMPUTED_VALUE"""),"Hace 5 años yo andaba en malos pasos un día fui a la iglesia y a este campamento y cambio mi vida y la forma de ver las cosas")</f>
        <v>Hace 5 años yo andaba en malos pasos un día fui a la iglesia y a este campamento y cambio mi vida y la forma de ver las cosas</v>
      </c>
      <c r="Q262" s="1" t="str">
        <f ca="1">IFERROR(__xludf.DUMMYFUNCTION("""COMPUTED_VALUE"""),"Porque me gusta ayudar a que se haga la voluntad De Dios en mi vida y si puedo ayudar a otros con todo el amor lo haré")</f>
        <v>Porque me gusta ayudar a que se haga la voluntad De Dios en mi vida y si puedo ayudar a otros con todo el amor lo haré</v>
      </c>
      <c r="R262" s="1" t="str">
        <f ca="1">IFERROR(__xludf.DUMMYFUNCTION("""COMPUTED_VALUE"""),"Si")</f>
        <v>Si</v>
      </c>
      <c r="S262" s="1" t="str">
        <f ca="1">IFERROR(__xludf.DUMMYFUNCTION("""COMPUTED_VALUE"""),"Voleibol")</f>
        <v>Voleibol</v>
      </c>
      <c r="T262" s="1" t="str">
        <f ca="1">IFERROR(__xludf.DUMMYFUNCTION("""COMPUTED_VALUE"""),"Si")</f>
        <v>Si</v>
      </c>
      <c r="U262" s="1" t="str">
        <f ca="1">IFERROR(__xludf.DUMMYFUNCTION("""COMPUTED_VALUE"""),"Canto y un poco de piano")</f>
        <v>Canto y un poco de piano</v>
      </c>
      <c r="V262" s="1" t="str">
        <f ca="1">IFERROR(__xludf.DUMMYFUNCTION("""COMPUTED_VALUE"""),"Preparatoria")</f>
        <v>Preparatoria</v>
      </c>
      <c r="W262" s="1" t="str">
        <f ca="1">IFERROR(__xludf.DUMMYFUNCTION("""COMPUTED_VALUE"""),"Soy deportista y soy muy divertida")</f>
        <v>Soy deportista y soy muy divertida</v>
      </c>
      <c r="X262" s="1" t="str">
        <f ca="1">IFERROR(__xludf.DUMMYFUNCTION("""COMPUTED_VALUE"""),"B. Me gusta animar a las personas, D. Me gustan los deportes, I. Se me facilita el trabajo físico, K. Soy creativo (a)")</f>
        <v>B. Me gusta animar a las personas, D. Me gustan los deportes, I. Se me facilita el trabajo físico, K. Soy creativo (a)</v>
      </c>
      <c r="Y262" s="1" t="str">
        <f ca="1">IFERROR(__xludf.DUMMYFUNCTION("""COMPUTED_VALUE"""),"Si, 2024 y 2025")</f>
        <v>Si, 2024 y 2025</v>
      </c>
      <c r="Z262" s="1"/>
    </row>
    <row r="263" spans="1:26" x14ac:dyDescent="0.35">
      <c r="A263" s="1" t="str">
        <f ca="1">IFERROR(__xludf.DUMMYFUNCTION("""COMPUTED_VALUE"""),"10-Aug-2025 23:37:02")</f>
        <v>10-Aug-2025 23:37:02</v>
      </c>
      <c r="B263" s="1"/>
      <c r="C263" s="1" t="str">
        <f ca="1">IFERROR(__xludf.DUMMYFUNCTION("""COMPUTED_VALUE"""),"Julieta, Mondragón Soto")</f>
        <v>Julieta, Mondragón Soto</v>
      </c>
      <c r="D263" s="1">
        <f ca="1">IFERROR(__xludf.DUMMYFUNCTION("""COMPUTED_VALUE"""),50)</f>
        <v>50</v>
      </c>
      <c r="E263" s="1" t="str">
        <f ca="1">IFERROR(__xludf.DUMMYFUNCTION("""COMPUTED_VALUE"""),"Mujer")</f>
        <v>Mujer</v>
      </c>
      <c r="F263" s="1" t="str">
        <f ca="1">IFERROR(__xludf.DUMMYFUNCTION("""COMPUTED_VALUE"""),"Mexico, Mexico")</f>
        <v>Mexico, Mexico</v>
      </c>
      <c r="G263" s="1" t="str">
        <f ca="1">IFERROR(__xludf.DUMMYFUNCTION("""COMPUTED_VALUE"""),"julieta_mondragons@hotmail.com")</f>
        <v>julieta_mondragons@hotmail.com</v>
      </c>
      <c r="H263" s="1">
        <f ca="1">IFERROR(__xludf.DUMMYFUNCTION("""COMPUTED_VALUE"""),527225198191)</f>
        <v>527225198191</v>
      </c>
      <c r="I263" s="1" t="str">
        <f ca="1">IFERROR(__xludf.DUMMYFUNCTION("""COMPUTED_VALUE"""),"Jóvenes de 13 – 17 años / SEM3/ (11 - 16 agosto)")</f>
        <v>Jóvenes de 13 – 17 años / SEM3/ (11 - 16 agosto)</v>
      </c>
      <c r="J263" s="1" t="str">
        <f ca="1">IFERROR(__xludf.DUMMYFUNCTION("""COMPUTED_VALUE"""),"Devocionales con el Pas, iglesia Horeb CDMX")</f>
        <v>Devocionales con el Pas, iglesia Horeb CDMX</v>
      </c>
      <c r="K263" s="1" t="str">
        <f ca="1">IFERROR(__xludf.DUMMYFUNCTION("""COMPUTED_VALUE"""),"Iglesia Cristiana Bautista Maranatha")</f>
        <v>Iglesia Cristiana Bautista Maranatha</v>
      </c>
      <c r="L263" s="1" t="str">
        <f ca="1">IFERROR(__xludf.DUMMYFUNCTION("""COMPUTED_VALUE"""),"HECTOR ABDIEL LOPEZ LOPEZ")</f>
        <v>HECTOR ABDIEL LOPEZ LOPEZ</v>
      </c>
      <c r="M263" s="1">
        <f ca="1">IFERROR(__xludf.DUMMYFUNCTION("""COMPUTED_VALUE"""),525217225107076)</f>
        <v>525217225107076</v>
      </c>
      <c r="N263" s="1" t="str">
        <f ca="1">IFERROR(__xludf.DUMMYFUNCTION("""COMPUTED_VALUE"""),"habdielr@gmail.com")</f>
        <v>habdielr@gmail.com</v>
      </c>
      <c r="O263" s="1" t="str">
        <f ca="1">IFERROR(__xludf.DUMMYFUNCTION("""COMPUTED_VALUE"""),"Misiones")</f>
        <v>Misiones</v>
      </c>
      <c r="P263" s="1" t="str">
        <f ca="1">IFERROR(__xludf.DUMMYFUNCTION("""COMPUTED_VALUE"""),"Hace 17 años, acepté a Cristo en mi corazón.
Me congreguè desde ese entonces y me bautice al año.
Dios comenzò a guiarme a traves de la Consejerìa. HE dado consejerìa familiar desde hace 16 años y comence a ir a campos misioneros desde hace 10 años.")</f>
        <v>Hace 17 años, acepté a Cristo en mi corazón.
Me congreguè desde ese entonces y me bautice al año.
Dios comenzò a guiarme a traves de la Consejerìa. HE dado consejerìa familiar desde hace 16 años y comence a ir a campos misioneros desde hace 10 años.</v>
      </c>
      <c r="Q263" s="1" t="str">
        <f ca="1">IFERROR(__xludf.DUMMYFUNCTION("""COMPUTED_VALUE"""),"ME gusta servir, estoy de vacaciones y puedo ir a apoyar en la cocina o en consejerìa, donde ustedes me indiquen.
Pero solo podrè ir lunes, martes hasta el medio dìa, jueves por la tarde y viernes en la mañana. 
Inscribì a mi hijo David Luja para el campa"&amp;"mento de esta semana.
Y")</f>
        <v>ME gusta servir, estoy de vacaciones y puedo ir a apoyar en la cocina o en consejerìa, donde ustedes me indiquen.
Pero solo podrè ir lunes, martes hasta el medio dìa, jueves por la tarde y viernes en la mañana. 
Inscribì a mi hijo David Luja para el campamento de esta semana.
Y</v>
      </c>
      <c r="R263" s="1" t="str">
        <f ca="1">IFERROR(__xludf.DUMMYFUNCTION("""COMPUTED_VALUE"""),"Si")</f>
        <v>Si</v>
      </c>
      <c r="S263" s="1" t="str">
        <f ca="1">IFERROR(__xludf.DUMMYFUNCTION("""COMPUTED_VALUE"""),"Por el momento voy al gymnasio")</f>
        <v>Por el momento voy al gymnasio</v>
      </c>
      <c r="T263" s="1" t="str">
        <f ca="1">IFERROR(__xludf.DUMMYFUNCTION("""COMPUTED_VALUE"""),"No")</f>
        <v>No</v>
      </c>
      <c r="U263" s="1"/>
      <c r="V263" s="1" t="str">
        <f ca="1">IFERROR(__xludf.DUMMYFUNCTION("""COMPUTED_VALUE"""),"Ademàs de haber estudiado para Consejera y dar Consejerìa por 16 años. Estudie una ingenierìa, una maestrìa y la licenciatura en psicologìa, me falta titularme.")</f>
        <v>Ademàs de haber estudiado para Consejera y dar Consejerìa por 16 años. Estudie una ingenierìa, una maestrìa y la licenciatura en psicologìa, me falta titularme.</v>
      </c>
      <c r="W263" s="1" t="str">
        <f ca="1">IFERROR(__xludf.DUMMYFUNCTION("""COMPUTED_VALUE"""),"Consejera, Terapia Psicologica.")</f>
        <v>Consejera, Terapia Psicologica.</v>
      </c>
      <c r="X263" s="1" t="str">
        <f ca="1">IFERROR(__xludf.DUMMYFUNCTION("""COMPUTED_VALUE"""),"A. Soy un discipulador activo, C. Suelo buscar que el trabajo se realice en equipo, E. Me gusta el trabajo con niños, H. Soy organizado (a), J. Me gusta la atención a las personas, K. Soy creativo (a), M. Soy bueno (a) con los números, N. Suelo llevar el "&amp;"liderazgo en un grupo, O. Puedo enseñar con facilidad")</f>
        <v>A. Soy un discipulador activo, C. Suelo buscar que el trabajo se realice en equipo, E. Me gusta el trabajo con niños, H. Soy organizado (a), J. Me gusta la atención a las personas, K. Soy creativo (a), M. Soy bueno (a) con los números, N. Suelo llevar el liderazgo en un grupo, O. Puedo enseñar con facilidad</v>
      </c>
      <c r="Y263" s="1" t="str">
        <f ca="1">IFERROR(__xludf.DUMMYFUNCTION("""COMPUTED_VALUE"""),"No")</f>
        <v>No</v>
      </c>
      <c r="Z263" s="1"/>
    </row>
    <row r="264" spans="1:26" x14ac:dyDescent="0.35">
      <c r="A264" s="1" t="str">
        <f ca="1">IFERROR(__xludf.DUMMYFUNCTION("""COMPUTED_VALUE"""),"06-Sep-2025 18:32:00")</f>
        <v>06-Sep-2025 18:32:00</v>
      </c>
      <c r="B264" s="1"/>
      <c r="C264" s="1" t="str">
        <f ca="1">IFERROR(__xludf.DUMMYFUNCTION("""COMPUTED_VALUE"""),"Pamela, Solís Fuentes")</f>
        <v>Pamela, Solís Fuentes</v>
      </c>
      <c r="D264" s="1">
        <f ca="1">IFERROR(__xludf.DUMMYFUNCTION("""COMPUTED_VALUE"""),18)</f>
        <v>18</v>
      </c>
      <c r="E264" s="1" t="str">
        <f ca="1">IFERROR(__xludf.DUMMYFUNCTION("""COMPUTED_VALUE"""),"Mujer")</f>
        <v>Mujer</v>
      </c>
      <c r="F264" s="1" t="str">
        <f ca="1">IFERROR(__xludf.DUMMYFUNCTION("""COMPUTED_VALUE"""),"Mexico City, Mexico")</f>
        <v>Mexico City, Mexico</v>
      </c>
      <c r="G264" s="1" t="str">
        <f ca="1">IFERROR(__xludf.DUMMYFUNCTION("""COMPUTED_VALUE"""),"pamedusolis@icloud.com")</f>
        <v>pamedusolis@icloud.com</v>
      </c>
      <c r="H264" s="1">
        <f ca="1">IFERROR(__xludf.DUMMYFUNCTION("""COMPUTED_VALUE"""),525584460085)</f>
        <v>525584460085</v>
      </c>
      <c r="I264" s="1" t="str">
        <f ca="1">IFERROR(__xludf.DUMMYFUNCTION("""COMPUTED_VALUE"""),"Semana de entrenamiento (07 - 13) Julio, Comunidad Jóvenes + 18 (14-19) Julio, Semana de niños y niñas (21-25) Julio, Jóvenes de 13 – 17 años / SEM1/ (28 Julio a 02 de agosto), Jóvenes de 13 – 17 años / SEM2/ (4 - 09 agosto)")</f>
        <v>Semana de entrenamiento (07 - 13) Julio, Comunidad Jóvenes + 18 (14-19) Julio, Semana de niños y niñas (21-25) Julio, Jóvenes de 13 – 17 años / SEM1/ (28 Julio a 02 de agosto), Jóvenes de 13 – 17 años / SEM2/ (4 - 09 agosto)</v>
      </c>
      <c r="J264" s="1" t="str">
        <f ca="1">IFERROR(__xludf.DUMMYFUNCTION("""COMPUTED_VALUE"""),"Pam")</f>
        <v>Pam</v>
      </c>
      <c r="K264" s="1" t="str">
        <f ca="1">IFERROR(__xludf.DUMMYFUNCTION("""COMPUTED_VALUE"""),"San José del altillo")</f>
        <v>San José del altillo</v>
      </c>
      <c r="L264" s="1" t="str">
        <f ca="1">IFERROR(__xludf.DUMMYFUNCTION("""COMPUTED_VALUE"""),"No tengo")</f>
        <v>No tengo</v>
      </c>
      <c r="M264" s="1">
        <f ca="1">IFERROR(__xludf.DUMMYFUNCTION("""COMPUTED_VALUE"""),525584460085)</f>
        <v>525584460085</v>
      </c>
      <c r="N264" s="1" t="str">
        <f ca="1">IFERROR(__xludf.DUMMYFUNCTION("""COMPUTED_VALUE"""),"pamedusolis@icloud.com")</f>
        <v>pamedusolis@icloud.com</v>
      </c>
      <c r="O264" s="1" t="str">
        <f ca="1">IFERROR(__xludf.DUMMYFUNCTION("""COMPUTED_VALUE"""),"Coro")</f>
        <v>Coro</v>
      </c>
      <c r="P264" s="1" t="str">
        <f ca="1">IFERROR(__xludf.DUMMYFUNCTION("""COMPUTED_VALUE"""),"Hace unos años yo lidiaba mucho con problemas de alimentación y de cuerpo, recuerdo el dolor y desesperación que sentía todo el tiempo, mi familia lo empezó a notar, me querían internar. Dentro de mi me decía esta no soy yo, yo no quero estar así, recuerd"&amp;"o en medio de mi ducha arrodillarme y decirle a Dios, ayúdame si existes ayúdame dos entra en mi, límpiame, quiero acercarme a ti, quiero conocerte, padre porfavor. Desde ahí mi vida cambió por completo h lo único que quiero ahora es servirle y compartir "&amp;"el evangelio.")</f>
        <v>Hace unos años yo lidiaba mucho con problemas de alimentación y de cuerpo, recuerdo el dolor y desesperación que sentía todo el tiempo, mi familia lo empezó a notar, me querían internar. Dentro de mi me decía esta no soy yo, yo no quero estar así, recuerdo en medio de mi ducha arrodillarme y decirle a Dios, ayúdame si existes ayúdame dos entra en mi, límpiame, quiero acercarme a ti, quiero conocerte, padre porfavor. Desde ahí mi vida cambió por completo h lo único que quiero ahora es servirle y compartir el evangelio.</v>
      </c>
      <c r="Q264" s="1" t="str">
        <f ca="1">IFERROR(__xludf.DUMMYFUNCTION("""COMPUTED_VALUE"""),"Quiero mencionar que yo no asisto a una iglesia cristiana, mi familia es católica y por esa razón no tengo un pastor que me recomiende como tal. 
Tenía la cosquilla de ir a un campamento como estos y al ver el suyo me llamó mucho la atención porque se me "&amp;"hizo una oportunidad para aprender de Dios y acercarme más a él y al mismo tiempo servirle a él y pienso que en realidad ser católica no es un impedimento ya que lo importante es Dios, transmitir su mensaje y servirle.")</f>
        <v>Quiero mencionar que yo no asisto a una iglesia cristiana, mi familia es católica y por esa razón no tengo un pastor que me recomiende como tal. 
Tenía la cosquilla de ir a un campamento como estos y al ver el suyo me llamó mucho la atención porque se me hizo una oportunidad para aprender de Dios y acercarme más a él y al mismo tiempo servirle a él y pienso que en realidad ser católica no es un impedimento ya que lo importante es Dios, transmitir su mensaje y servirle.</v>
      </c>
      <c r="R264" s="1" t="str">
        <f ca="1">IFERROR(__xludf.DUMMYFUNCTION("""COMPUTED_VALUE"""),"Si")</f>
        <v>Si</v>
      </c>
      <c r="S264" s="1" t="str">
        <f ca="1">IFERROR(__xludf.DUMMYFUNCTION("""COMPUTED_VALUE"""),"Voleyball")</f>
        <v>Voleyball</v>
      </c>
      <c r="T264" s="1" t="str">
        <f ca="1">IFERROR(__xludf.DUMMYFUNCTION("""COMPUTED_VALUE"""),"No")</f>
        <v>No</v>
      </c>
      <c r="U264" s="1"/>
      <c r="V264" s="1" t="str">
        <f ca="1">IFERROR(__xludf.DUMMYFUNCTION("""COMPUTED_VALUE"""),"Gastronomía y ciencias de los alimentos")</f>
        <v>Gastronomía y ciencias de los alimentos</v>
      </c>
      <c r="W264" s="1" t="str">
        <f ca="1">IFERROR(__xludf.DUMMYFUNCTION("""COMPUTED_VALUE"""),"Estudiante")</f>
        <v>Estudiante</v>
      </c>
      <c r="X264" s="1" t="str">
        <f ca="1">IFERROR(__xludf.DUMMYFUNCTION("""COMPUTED_VALUE"""),"B. Me gusta animar a las personas, D. Me gustan los deportes, E. Me gusta el trabajo con niños, G. Soy más eficiente en el trabajo individual, H. Soy organizado (a), I. Se me facilita el trabajo físico, J. Me gusta la atención a las personas, K. Soy creat"&amp;"ivo (a), L. Soy bueno (a) en canto o algún instrumento, N. Suelo llevar el liderazgo en un grupo, O. Puedo enseñar con facilidad")</f>
        <v>B. Me gusta animar a las personas, D. Me gustan los deportes, E. Me gusta el trabajo con niños, G. Soy más eficiente en el trabajo individual, H. Soy organizado (a), I. Se me facilita el trabajo físico, J. Me gusta la atención a las personas, K. Soy creativo (a), L. Soy bueno (a) en canto o algún instrumento, N. Suelo llevar el liderazgo en un grupo, O. Puedo enseñar con facilidad</v>
      </c>
      <c r="Y264" s="1" t="str">
        <f ca="1">IFERROR(__xludf.DUMMYFUNCTION("""COMPUTED_VALUE"""),"No")</f>
        <v>No</v>
      </c>
      <c r="Z264" s="1"/>
    </row>
    <row r="265" spans="1:26" x14ac:dyDescent="0.35">
      <c r="A265" s="1" t="str">
        <f ca="1">IFERROR(__xludf.DUMMYFUNCTION("""COMPUTED_VALUE"""),"21-Jan-2026 15:37:50")</f>
        <v>21-Jan-2026 15:37:50</v>
      </c>
      <c r="B265" s="1"/>
      <c r="C265" s="1" t="str">
        <f ca="1">IFERROR(__xludf.DUMMYFUNCTION("""COMPUTED_VALUE"""),"Luismy, De La Cruz")</f>
        <v>Luismy, De La Cruz</v>
      </c>
      <c r="D265" s="1">
        <f ca="1">IFERROR(__xludf.DUMMYFUNCTION("""COMPUTED_VALUE"""),21)</f>
        <v>21</v>
      </c>
      <c r="E265" s="1" t="str">
        <f ca="1">IFERROR(__xludf.DUMMYFUNCTION("""COMPUTED_VALUE"""),"Hombre")</f>
        <v>Hombre</v>
      </c>
      <c r="F265" s="1" t="str">
        <f ca="1">IFERROR(__xludf.DUMMYFUNCTION("""COMPUTED_VALUE"""),"Distrito Nacional, Dominican Republic")</f>
        <v>Distrito Nacional, Dominican Republic</v>
      </c>
      <c r="G265" s="1" t="str">
        <f ca="1">IFERROR(__xludf.DUMMYFUNCTION("""COMPUTED_VALUE"""),"luismydelacruz@gmail.com")</f>
        <v>luismydelacruz@gmail.com</v>
      </c>
      <c r="H265" s="1">
        <f ca="1">IFERROR(__xludf.DUMMYFUNCTION("""COMPUTED_VALUE"""),18094152904)</f>
        <v>18094152904</v>
      </c>
      <c r="I265" s="1" t="str">
        <f ca="1">IFERROR(__xludf.DUMMYFUNCTION("""COMPUTED_VALUE"""),"Jóvenes de 13 – 17 años / SEM3/ (11 - 16 agosto)")</f>
        <v>Jóvenes de 13 – 17 años / SEM3/ (11 - 16 agosto)</v>
      </c>
      <c r="J265" s="1" t="str">
        <f ca="1">IFERROR(__xludf.DUMMYFUNCTION("""COMPUTED_VALUE"""),"Hora Silenciosa")</f>
        <v>Hora Silenciosa</v>
      </c>
      <c r="K265" s="1" t="str">
        <f ca="1">IFERROR(__xludf.DUMMYFUNCTION("""COMPUTED_VALUE"""),"Templo Bíblico Monte de los Olivos")</f>
        <v>Templo Bíblico Monte de los Olivos</v>
      </c>
      <c r="L265" s="1" t="str">
        <f ca="1">IFERROR(__xludf.DUMMYFUNCTION("""COMPUTED_VALUE"""),"Lucas Romero")</f>
        <v>Lucas Romero</v>
      </c>
      <c r="M265" s="1" t="str">
        <f ca="1">IFERROR(__xludf.DUMMYFUNCTION("""COMPUTED_VALUE"""),"#ERROR!")</f>
        <v>#ERROR!</v>
      </c>
      <c r="N265" s="1" t="str">
        <f ca="1">IFERROR(__xludf.DUMMYFUNCTION("""COMPUTED_VALUE"""),"lucasromero@gmail.com")</f>
        <v>lucasromero@gmail.com</v>
      </c>
      <c r="O265" s="1" t="str">
        <f ca="1">IFERROR(__xludf.DUMMYFUNCTION("""COMPUTED_VALUE"""),"Multimedia, líder de jóvenes")</f>
        <v>Multimedia, líder de jóvenes</v>
      </c>
      <c r="P265" s="1" t="str">
        <f ca="1">IFERROR(__xludf.DUMMYFUNCTION("""COMPUTED_VALUE"""),"Recibí al Señor a la edad de 16 años tenía ya mucho tiempo asistiendo a la iglesia local y no daba el paso , pero un 29 de noviembre día de mi cumpleaños di el paso, desde el 2023 he estado participando activamente en Palabra de Vida Dominicana, fui estud"&amp;"iante del CCM durante los dos años y sirvo activamente en el ministerio")</f>
        <v>Recibí al Señor a la edad de 16 años tenía ya mucho tiempo asistiendo a la iglesia local y no daba el paso , pero un 29 de noviembre día de mi cumpleaños di el paso, desde el 2023 he estado participando activamente en Palabra de Vida Dominicana, fui estudiante del CCM durante los dos años y sirvo activamente en el ministerio</v>
      </c>
      <c r="Q265" s="1" t="str">
        <f ca="1">IFERROR(__xludf.DUMMYFUNCTION("""COMPUTED_VALUE"""),"Me gustaría poder conocer el ministerio desde una perspectiva distinta, servir con mi corazón en México el cual es un país que desde niño amo , he estado de cerca con algunos amigos y me gustaría poder ir por primera vez")</f>
        <v>Me gustaría poder conocer el ministerio desde una perspectiva distinta, servir con mi corazón en México el cual es un país que desde niño amo , he estado de cerca con algunos amigos y me gustaría poder ir por primera vez</v>
      </c>
      <c r="R265" s="1" t="str">
        <f ca="1">IFERROR(__xludf.DUMMYFUNCTION("""COMPUTED_VALUE"""),"No")</f>
        <v>No</v>
      </c>
      <c r="S265" s="1"/>
      <c r="T265" s="1" t="str">
        <f ca="1">IFERROR(__xludf.DUMMYFUNCTION("""COMPUTED_VALUE"""),"No")</f>
        <v>No</v>
      </c>
      <c r="U265" s="1"/>
      <c r="V265" s="1" t="str">
        <f ca="1">IFERROR(__xludf.DUMMYFUNCTION("""COMPUTED_VALUE"""),"Marketing Digital")</f>
        <v>Marketing Digital</v>
      </c>
      <c r="W265" s="1" t="str">
        <f ca="1">IFERROR(__xludf.DUMMYFUNCTION("""COMPUTED_VALUE"""),"Soy Social Media Manager , fotógrafo , Community manager")</f>
        <v>Soy Social Media Manager , fotógrafo , Community manager</v>
      </c>
      <c r="X265" s="1" t="str">
        <f ca="1">IFERROR(__xludf.DUMMYFUNCTION("""COMPUTED_VALUE"""),"A. Soy un discipulador activo, B. Me gusta animar a las personas, H. Soy organizado (a), I. Se me facilita el trabajo físico, K. Soy creativo (a), N. Suelo llevar el liderazgo en un grupo, O. Puedo enseñar con facilidad")</f>
        <v>A. Soy un discipulador activo, B. Me gusta animar a las personas, H. Soy organizado (a), I. Se me facilita el trabajo físico, K. Soy creativo (a), N. Suelo llevar el liderazgo en un grupo, O. Puedo enseñar con facilidad</v>
      </c>
      <c r="Y265" s="1" t="str">
        <f ca="1">IFERROR(__xludf.DUMMYFUNCTION("""COMPUTED_VALUE"""),"He asistido aquí en República Dominicana")</f>
        <v>He asistido aquí en República Dominicana</v>
      </c>
      <c r="Z265" s="1"/>
    </row>
    <row r="266" spans="1:26" x14ac:dyDescent="0.35">
      <c r="A266" s="3">
        <f ca="1">IFERROR(__xludf.DUMMYFUNCTION("""COMPUTED_VALUE"""),46085.494074074)</f>
        <v>46085.494074073998</v>
      </c>
      <c r="B266" s="1"/>
      <c r="C266" s="1" t="str">
        <f ca="1">IFERROR(__xludf.DUMMYFUNCTION("""COMPUTED_VALUE"""),"Andrea Carolina, Conejo García")</f>
        <v>Andrea Carolina, Conejo García</v>
      </c>
      <c r="D266" s="1">
        <f ca="1">IFERROR(__xludf.DUMMYFUNCTION("""COMPUTED_VALUE"""),16)</f>
        <v>16</v>
      </c>
      <c r="E266" s="1" t="str">
        <f ca="1">IFERROR(__xludf.DUMMYFUNCTION("""COMPUTED_VALUE"""),"Mujer")</f>
        <v>Mujer</v>
      </c>
      <c r="F266" s="1" t="str">
        <f ca="1">IFERROR(__xludf.DUMMYFUNCTION("""COMPUTED_VALUE"""),"Guanajuato, Mexico")</f>
        <v>Guanajuato, Mexico</v>
      </c>
      <c r="G266" s="1" t="str">
        <f ca="1">IFERROR(__xludf.DUMMYFUNCTION("""COMPUTED_VALUE"""),"andreaccg100216@gmail.com")</f>
        <v>andreaccg100216@gmail.com</v>
      </c>
      <c r="H266" s="1">
        <f ca="1">IFERROR(__xludf.DUMMYFUNCTION("""COMPUTED_VALUE"""),524645666046)</f>
        <v>524645666046</v>
      </c>
      <c r="I266" s="1" t="str">
        <f ca="1">IFERROR(__xludf.DUMMYFUNCTION("""COMPUTED_VALUE"""),"Semana de niños y niñas (21-25) Julio")</f>
        <v>Semana de niños y niñas (21-25) Julio</v>
      </c>
      <c r="J266" s="1" t="str">
        <f ca="1">IFERROR(__xludf.DUMMYFUNCTION("""COMPUTED_VALUE"""),"BUSCA")</f>
        <v>BUSCA</v>
      </c>
      <c r="K266" s="1" t="str">
        <f ca="1">IFERROR(__xludf.DUMMYFUNCTION("""COMPUTED_VALUE"""),"Ministerio erci")</f>
        <v>Ministerio erci</v>
      </c>
      <c r="L266" s="1" t="str">
        <f ca="1">IFERROR(__xludf.DUMMYFUNCTION("""COMPUTED_VALUE"""),"Francisco Ramón Conejo Cornejo")</f>
        <v>Francisco Ramón Conejo Cornejo</v>
      </c>
      <c r="M266" s="1">
        <f ca="1">IFERROR(__xludf.DUMMYFUNCTION("""COMPUTED_VALUE"""),524646509107)</f>
        <v>524646509107</v>
      </c>
      <c r="N266" s="1" t="str">
        <f ca="1">IFERROR(__xludf.DUMMYFUNCTION("""COMPUTED_VALUE"""),"pconejo84@gmail.com")</f>
        <v>pconejo84@gmail.com</v>
      </c>
      <c r="O266" s="1" t="str">
        <f ca="1">IFERROR(__xludf.DUMMYFUNCTION("""COMPUTED_VALUE"""),"Imagen y comunicación")</f>
        <v>Imagen y comunicación</v>
      </c>
      <c r="P266" s="1" t="str">
        <f ca="1">IFERROR(__xludf.DUMMYFUNCTION("""COMPUTED_VALUE"""),"Fui a un campamento de palabra de vida Bernal, donde después de estar en contacto con la palabra de Dios toda mi vida, pude conocer a Dios de una manera diferente, y tomé decisiones de  mi vida cristiana importantes como bautisarme y consagrar mi vida a D"&amp;"ios.")</f>
        <v>Fui a un campamento de palabra de vida Bernal, donde después de estar en contacto con la palabra de Dios toda mi vida, pude conocer a Dios de una manera diferente, y tomé decisiones de  mi vida cristiana importantes como bautisarme y consagrar mi vida a Dios.</v>
      </c>
      <c r="Q266" s="1" t="str">
        <f ca="1">IFERROR(__xludf.DUMMYFUNCTION("""COMPUTED_VALUE"""),"Quiero formar parte de los campamentos ayudando a gente a descubrir el amor de Dios así como me ayudaron a encontrarlo mi , al igual de poder conocer a más gente que me apoye en mi camino cristiano.")</f>
        <v>Quiero formar parte de los campamentos ayudando a gente a descubrir el amor de Dios así como me ayudaron a encontrarlo mi , al igual de poder conocer a más gente que me apoye en mi camino cristiano.</v>
      </c>
      <c r="R266" s="1" t="str">
        <f ca="1">IFERROR(__xludf.DUMMYFUNCTION("""COMPUTED_VALUE"""),"Si")</f>
        <v>Si</v>
      </c>
      <c r="S266" s="1" t="str">
        <f ca="1">IFERROR(__xludf.DUMMYFUNCTION("""COMPUTED_VALUE"""),"Tae kwondo /volleyball")</f>
        <v>Tae kwondo /volleyball</v>
      </c>
      <c r="T266" s="1" t="str">
        <f ca="1">IFERROR(__xludf.DUMMYFUNCTION("""COMPUTED_VALUE"""),"No")</f>
        <v>No</v>
      </c>
      <c r="U266" s="1"/>
      <c r="V266" s="1" t="str">
        <f ca="1">IFERROR(__xludf.DUMMYFUNCTION("""COMPUTED_VALUE"""),"Estoy en 2do semestre de preparatoria")</f>
        <v>Estoy en 2do semestre de preparatoria</v>
      </c>
      <c r="W266" s="1" t="str">
        <f ca="1">IFERROR(__xludf.DUMMYFUNCTION("""COMPUTED_VALUE"""),"Di clases para niños pequeños durante  1 año de taekwondo")</f>
        <v>Di clases para niños pequeños durante  1 año de taekwondo</v>
      </c>
      <c r="X266" s="1" t="str">
        <f ca="1">IFERROR(__xludf.DUMMYFUNCTION("""COMPUTED_VALUE"""),"A. Soy un discipulador activo, B. Me gusta animar a las personas, C. Suelo buscar que el trabajo se realice en equipo, D. Me gustan los deportes, G. Soy más eficiente en el trabajo individual, J. Me gusta la atención a las personas, K. Soy creativo (a), N"&amp;". Suelo llevar el liderazgo en un grupo")</f>
        <v>A. Soy un discipulador activo, B. Me gusta animar a las personas, C. Suelo buscar que el trabajo se realice en equipo, D. Me gustan los deportes, G. Soy más eficiente en el trabajo individual, J. Me gusta la atención a las personas, K. Soy creativo (a), N. Suelo llevar el liderazgo en un grupo</v>
      </c>
      <c r="Y266" s="1" t="str">
        <f ca="1">IFERROR(__xludf.DUMMYFUNCTION("""COMPUTED_VALUE"""),"Si, 2022, 2023,2024,2025")</f>
        <v>Si, 2022, 2023,2024,2025</v>
      </c>
      <c r="Z266" s="1"/>
    </row>
    <row r="267" spans="1:26" x14ac:dyDescent="0.35">
      <c r="A267" s="1" t="str">
        <f ca="1">IFERROR(__xludf.DUMMYFUNCTION("""COMPUTED_VALUE"""),"12-Apr-2026 10:06:54")</f>
        <v>12-Apr-2026 10:06:54</v>
      </c>
      <c r="B267" s="1"/>
      <c r="C267" s="1" t="str">
        <f ca="1">IFERROR(__xludf.DUMMYFUNCTION("""COMPUTED_VALUE"""),"HANNAH SOAR, GONZÁLEZ RAMIREZ")</f>
        <v>HANNAH SOAR, GONZÁLEZ RAMIREZ</v>
      </c>
      <c r="D267" s="1">
        <f ca="1">IFERROR(__xludf.DUMMYFUNCTION("""COMPUTED_VALUE"""),16)</f>
        <v>16</v>
      </c>
      <c r="E267" s="1" t="str">
        <f ca="1">IFERROR(__xludf.DUMMYFUNCTION("""COMPUTED_VALUE"""),"Mujer")</f>
        <v>Mujer</v>
      </c>
      <c r="F267" s="1" t="str">
        <f ca="1">IFERROR(__xludf.DUMMYFUNCTION("""COMPUTED_VALUE"""),"Mexico, Mexico")</f>
        <v>Mexico, Mexico</v>
      </c>
      <c r="G267" s="1" t="str">
        <f ca="1">IFERROR(__xludf.DUMMYFUNCTION("""COMPUTED_VALUE"""),"les.mont.16@gmail.com")</f>
        <v>les.mont.16@gmail.com</v>
      </c>
      <c r="H267" s="1">
        <f ca="1">IFERROR(__xludf.DUMMYFUNCTION("""COMPUTED_VALUE"""),525520141706)</f>
        <v>525520141706</v>
      </c>
      <c r="I267" s="1" t="str">
        <f ca="1">IFERROR(__xludf.DUMMYFUNCTION("""COMPUTED_VALUE"""),"Semana de niños y niñas (21-25) Julio")</f>
        <v>Semana de niños y niñas (21-25) Julio</v>
      </c>
      <c r="J267" s="1" t="str">
        <f ca="1">IFERROR(__xludf.DUMMYFUNCTION("""COMPUTED_VALUE"""),"Biblia")</f>
        <v>Biblia</v>
      </c>
      <c r="K267" s="1" t="str">
        <f ca="1">IFERROR(__xludf.DUMMYFUNCTION("""COMPUTED_VALUE"""),"Camino de la Promesa")</f>
        <v>Camino de la Promesa</v>
      </c>
      <c r="L267" s="1" t="str">
        <f ca="1">IFERROR(__xludf.DUMMYFUNCTION("""COMPUTED_VALUE"""),"Gilberto González Castillo")</f>
        <v>Gilberto González Castillo</v>
      </c>
      <c r="M267" s="1">
        <f ca="1">IFERROR(__xludf.DUMMYFUNCTION("""COMPUTED_VALUE"""),525523551732)</f>
        <v>525523551732</v>
      </c>
      <c r="N267" s="1" t="str">
        <f ca="1">IFERROR(__xludf.DUMMYFUNCTION("""COMPUTED_VALUE"""),"g-g-castillo@hotmail.com")</f>
        <v>g-g-castillo@hotmail.com</v>
      </c>
      <c r="O267" s="1" t="str">
        <f ca="1">IFERROR(__xludf.DUMMYFUNCTION("""COMPUTED_VALUE"""),"Ninguno")</f>
        <v>Ninguno</v>
      </c>
      <c r="P267" s="1" t="str">
        <f ca="1">IFERROR(__xludf.DUMMYFUNCTION("""COMPUTED_VALUE"""),"Estaba pasando un mal momento con mi mamá por cosas de la escuela, perdiendo su confianza y yo decidí que no quería seguir así con mi vida y fue cuando busque a Dios y aceptarlo en mi corazón")</f>
        <v>Estaba pasando un mal momento con mi mamá por cosas de la escuela, perdiendo su confianza y yo decidí que no quería seguir así con mi vida y fue cuando busque a Dios y aceptarlo en mi corazón</v>
      </c>
      <c r="Q267" s="1" t="str">
        <f ca="1">IFERROR(__xludf.DUMMYFUNCTION("""COMPUTED_VALUE"""),"Porque me gustaría hacer algo para la gracia de Dios")</f>
        <v>Porque me gustaría hacer algo para la gracia de Dios</v>
      </c>
      <c r="R267" s="1" t="str">
        <f ca="1">IFERROR(__xludf.DUMMYFUNCTION("""COMPUTED_VALUE"""),"Si")</f>
        <v>Si</v>
      </c>
      <c r="S267" s="1" t="str">
        <f ca="1">IFERROR(__xludf.DUMMYFUNCTION("""COMPUTED_VALUE"""),"Baile")</f>
        <v>Baile</v>
      </c>
      <c r="T267" s="1" t="str">
        <f ca="1">IFERROR(__xludf.DUMMYFUNCTION("""COMPUTED_VALUE"""),"No")</f>
        <v>No</v>
      </c>
      <c r="U267" s="1"/>
      <c r="V267" s="1" t="str">
        <f ca="1">IFERROR(__xludf.DUMMYFUNCTION("""COMPUTED_VALUE"""),"Preparatoria")</f>
        <v>Preparatoria</v>
      </c>
      <c r="W267" s="1" t="str">
        <f ca="1">IFERROR(__xludf.DUMMYFUNCTION("""COMPUTED_VALUE"""),"Deportes y danza")</f>
        <v>Deportes y danza</v>
      </c>
      <c r="X267" s="1" t="str">
        <f ca="1">IFERROR(__xludf.DUMMYFUNCTION("""COMPUTED_VALUE"""),"D. Me gustan los deportes, G. Soy más eficiente en el trabajo individual, H. Soy organizado (a), I. Se me facilita el trabajo físico")</f>
        <v>D. Me gustan los deportes, G. Soy más eficiente en el trabajo individual, H. Soy organizado (a), I. Se me facilita el trabajo físico</v>
      </c>
      <c r="Y267" s="1" t="str">
        <f ca="1">IFERROR(__xludf.DUMMYFUNCTION("""COMPUTED_VALUE"""),"Si, en el campamento de 2025 y 2022")</f>
        <v>Si, en el campamento de 2025 y 2022</v>
      </c>
      <c r="Z267" s="1"/>
    </row>
    <row r="268" spans="1:26" x14ac:dyDescent="0.35">
      <c r="A268" s="1" t="str">
        <f ca="1">IFERROR(__xludf.DUMMYFUNCTION("""COMPUTED_VALUE"""),"15-Apr-2026 12:41:38")</f>
        <v>15-Apr-2026 12:41:38</v>
      </c>
      <c r="B268" s="1"/>
      <c r="C268" s="1" t="str">
        <f ca="1">IFERROR(__xludf.DUMMYFUNCTION("""COMPUTED_VALUE"""),"José Antonio, Marañon Hernandez")</f>
        <v>José Antonio, Marañon Hernandez</v>
      </c>
      <c r="D268" s="1">
        <f ca="1">IFERROR(__xludf.DUMMYFUNCTION("""COMPUTED_VALUE"""),34)</f>
        <v>34</v>
      </c>
      <c r="E268" s="1" t="str">
        <f ca="1">IFERROR(__xludf.DUMMYFUNCTION("""COMPUTED_VALUE"""),"Hombre")</f>
        <v>Hombre</v>
      </c>
      <c r="F268" s="1" t="str">
        <f ca="1">IFERROR(__xludf.DUMMYFUNCTION("""COMPUTED_VALUE"""),"Veracruz, Mexico")</f>
        <v>Veracruz, Mexico</v>
      </c>
      <c r="G268" s="1" t="str">
        <f ca="1">IFERROR(__xludf.DUMMYFUNCTION("""COMPUTED_VALUE"""),"pepemaranon4@gmail.com")</f>
        <v>pepemaranon4@gmail.com</v>
      </c>
      <c r="H268" s="1">
        <f ca="1">IFERROR(__xludf.DUMMYFUNCTION("""COMPUTED_VALUE"""),522721254830)</f>
        <v>522721254830</v>
      </c>
      <c r="I268" s="1" t="str">
        <f ca="1">IFERROR(__xludf.DUMMYFUNCTION("""COMPUTED_VALUE"""),"Semana de entrenamiento (07 - 13) Julio, Comunidad Jóvenes + 18 (14-19) Julio, Semana de niños y niñas (21-25) Julio, Jóvenes de 13 – 17 años / SEM1/ (28 Julio a 02 de agosto)")</f>
        <v>Semana de entrenamiento (07 - 13) Julio, Comunidad Jóvenes + 18 (14-19) Julio, Semana de niños y niñas (21-25) Julio, Jóvenes de 13 – 17 años / SEM1/ (28 Julio a 02 de agosto)</v>
      </c>
      <c r="J268" s="1" t="str">
        <f ca="1">IFERROR(__xludf.DUMMYFUNCTION("""COMPUTED_VALUE"""),"Holly biblie")</f>
        <v>Holly biblie</v>
      </c>
      <c r="K268" s="1" t="str">
        <f ca="1">IFERROR(__xludf.DUMMYFUNCTION("""COMPUTED_VALUE"""),"Iglesia Bautista Redención")</f>
        <v>Iglesia Bautista Redención</v>
      </c>
      <c r="L268" s="1" t="str">
        <f ca="1">IFERROR(__xludf.DUMMYFUNCTION("""COMPUTED_VALUE"""),"Aldo Israel Ramírez Sotelo")</f>
        <v>Aldo Israel Ramírez Sotelo</v>
      </c>
      <c r="M268" s="1">
        <f ca="1">IFERROR(__xludf.DUMMYFUNCTION("""COMPUTED_VALUE"""),522294358989)</f>
        <v>522294358989</v>
      </c>
      <c r="N268" s="1" t="str">
        <f ca="1">IFERROR(__xludf.DUMMYFUNCTION("""COMPUTED_VALUE"""),"pepe0718@hotmail.com")</f>
        <v>pepe0718@hotmail.com</v>
      </c>
      <c r="O268" s="1" t="str">
        <f ca="1">IFERROR(__xludf.DUMMYFUNCTION("""COMPUTED_VALUE"""),"Jóvenes")</f>
        <v>Jóvenes</v>
      </c>
      <c r="P268" s="1" t="str">
        <f ca="1">IFERROR(__xludf.DUMMYFUNCTION("""COMPUTED_VALUE"""),"Desde que era niño a los 11 años acepté al señor Jesús como mi señor y salvador")</f>
        <v>Desde que era niño a los 11 años acepté al señor Jesús como mi señor y salvador</v>
      </c>
      <c r="Q268" s="1" t="str">
        <f ca="1">IFERROR(__xludf.DUMMYFUNCTION("""COMPUTED_VALUE"""),"Porque me gustaría dar mi testimonio a través del ejemplo y sobre todo de lo que Dios ha echo en mi vida")</f>
        <v>Porque me gustaría dar mi testimonio a través del ejemplo y sobre todo de lo que Dios ha echo en mi vida</v>
      </c>
      <c r="R268" s="1" t="str">
        <f ca="1">IFERROR(__xludf.DUMMYFUNCTION("""COMPUTED_VALUE"""),"Si")</f>
        <v>Si</v>
      </c>
      <c r="S268" s="1" t="str">
        <f ca="1">IFERROR(__xludf.DUMMYFUNCTION("""COMPUTED_VALUE"""),"Futbol")</f>
        <v>Futbol</v>
      </c>
      <c r="T268" s="1" t="str">
        <f ca="1">IFERROR(__xludf.DUMMYFUNCTION("""COMPUTED_VALUE"""),"No")</f>
        <v>No</v>
      </c>
      <c r="U268" s="1"/>
      <c r="V268" s="1" t="str">
        <f ca="1">IFERROR(__xludf.DUMMYFUNCTION("""COMPUTED_VALUE"""),"Actualmente estoy en una maestría")</f>
        <v>Actualmente estoy en una maestría</v>
      </c>
      <c r="W268" s="1" t="str">
        <f ca="1">IFERROR(__xludf.DUMMYFUNCTION("""COMPUTED_VALUE"""),"Lic en administración de empresas")</f>
        <v>Lic en administración de empresas</v>
      </c>
      <c r="X268" s="1" t="str">
        <f ca="1">IFERROR(__xludf.DUMMYFUNCTION("""COMPUTED_VALUE"""),"B. Me gusta animar a las personas, C. Suelo buscar que el trabajo se realice en equipo, D. Me gustan los deportes, J. Me gusta la atención a las personas, N. Suelo llevar el liderazgo en un grupo")</f>
        <v>B. Me gusta animar a las personas, C. Suelo buscar que el trabajo se realice en equipo, D. Me gustan los deportes, J. Me gusta la atención a las personas, N. Suelo llevar el liderazgo en un grupo</v>
      </c>
      <c r="Y268" s="1" t="str">
        <f ca="1">IFERROR(__xludf.DUMMYFUNCTION("""COMPUTED_VALUE"""),"2009,2010,2012")</f>
        <v>2009,2010,2012</v>
      </c>
      <c r="Z268" s="1"/>
    </row>
    <row r="269" spans="1:26"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AL1000"/>
  <sheetViews>
    <sheetView tabSelected="1" workbookViewId="0"/>
  </sheetViews>
  <sheetFormatPr baseColWidth="10" defaultColWidth="12.59765625" defaultRowHeight="15.75" customHeight="1" x14ac:dyDescent="0.35"/>
  <cols>
    <col min="2" max="2" width="29.73046875" customWidth="1"/>
    <col min="3" max="3" width="9.3984375" customWidth="1"/>
    <col min="4" max="4" width="7.3984375" customWidth="1"/>
    <col min="5" max="5" width="10.46484375" customWidth="1"/>
    <col min="6" max="6" width="36.86328125" customWidth="1"/>
    <col min="7" max="7" width="10.86328125" customWidth="1"/>
    <col min="8" max="8" width="18.46484375" customWidth="1"/>
    <col min="10" max="10" width="26.73046875" customWidth="1"/>
    <col min="11" max="11" width="14.73046875" customWidth="1"/>
    <col min="23" max="23" width="64.3984375" customWidth="1"/>
    <col min="25" max="25" width="0.46484375" customWidth="1"/>
    <col min="26" max="35" width="36.1328125" customWidth="1"/>
    <col min="36" max="36" width="40.3984375" customWidth="1"/>
    <col min="37" max="38" width="14.73046875" customWidth="1"/>
  </cols>
  <sheetData>
    <row r="1" spans="1:38" ht="147" customHeight="1" x14ac:dyDescent="0.35">
      <c r="A1" s="72" t="s">
        <v>0</v>
      </c>
      <c r="B1" s="4"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6" t="s">
        <v>17</v>
      </c>
      <c r="S1" s="5" t="s">
        <v>18</v>
      </c>
      <c r="T1" s="6" t="s">
        <v>17</v>
      </c>
      <c r="U1" s="5" t="s">
        <v>19</v>
      </c>
      <c r="V1" s="5" t="s">
        <v>20</v>
      </c>
      <c r="W1" s="7" t="s">
        <v>21</v>
      </c>
      <c r="X1" s="5" t="s">
        <v>22</v>
      </c>
      <c r="Z1" s="5" t="s">
        <v>23</v>
      </c>
      <c r="AA1" s="5"/>
      <c r="AB1" s="5"/>
      <c r="AC1" s="5"/>
      <c r="AD1" s="5"/>
      <c r="AE1" s="5"/>
      <c r="AF1" s="5"/>
      <c r="AG1" s="5"/>
      <c r="AH1" s="5"/>
      <c r="AI1" s="5"/>
      <c r="AJ1" s="5" t="s">
        <v>24</v>
      </c>
      <c r="AK1" s="5"/>
      <c r="AL1" s="8"/>
    </row>
    <row r="2" spans="1:38" ht="12.75" x14ac:dyDescent="0.35">
      <c r="A2" s="9">
        <v>1</v>
      </c>
      <c r="B2" s="10" t="str">
        <f t="array" ref="B2:Y298" ca="1">RECLUTAMIENTO!C4:Z300</f>
        <v>Zoe Saraí, Pereira Campos</v>
      </c>
      <c r="C2" s="11">
        <f ca="1"/>
        <v>15</v>
      </c>
      <c r="D2" s="10" t="str">
        <f ca="1"/>
        <v>Mujer</v>
      </c>
      <c r="E2" s="10" t="str">
        <f ca="1"/>
        <v>Veracruz, Mexico</v>
      </c>
      <c r="F2" s="10" t="str">
        <f ca="1"/>
        <v>alexanderpereira120305@gmail.com</v>
      </c>
      <c r="G2" s="12">
        <f ca="1"/>
        <v>524422730204</v>
      </c>
      <c r="H2" s="12" t="str">
        <f ca="1"/>
        <v>Semana de entrenamiento (07 - 13) Julio, Comunidad Jóvenes + 18 (14-19) Julio, Semana de niños y niñas (21-25) Julio, Jóvenes de 13 – 17 años / SEM1/ (28 Julio a 02 de agosto)</v>
      </c>
      <c r="I2" s="12" t="str">
        <f ca="1"/>
        <v>Quiet time</v>
      </c>
      <c r="J2" s="12" t="str">
        <f ca="1"/>
        <v>CEOP ( Centro Evangelico Orizaba Poniente)</v>
      </c>
      <c r="K2" s="12" t="str">
        <f ca="1"/>
        <v>David Alvarez</v>
      </c>
      <c r="L2" s="12">
        <f ca="1"/>
        <v>522721389477</v>
      </c>
      <c r="M2" s="12" t="str">
        <f ca="1"/>
        <v>davealrey@hotmail.com</v>
      </c>
      <c r="N2" s="12" t="str">
        <f ca="1"/>
        <v>Ministerio de niños</v>
      </c>
      <c r="O2" s="12" t="str">
        <f ca="1"/>
        <v>Yo a los 6 años pense que era salva, pero vi que solo vivía una vida de religión. A los 10 años mi madre me predico el evangelio y ese fue el dia en que yo puse mi confianza en Jésus para que fuera mi unico salvador.
Sigo creciendo en muchas cosas, pero se que el Señor esta conmigo en cada paso.</v>
      </c>
      <c r="P2" s="12" t="str">
        <f ca="1"/>
        <v>Desde la temporada pasada Dios puso un deseo de dedicarle un mes a servirle a Él. 
También quiero seguir descubriendo dones que El Señor me haya dado, y ejercitar los que ya se que tengo.
También quiero ponerme a prueba con nuevos desafíos que póngan a prueba mi fe.</v>
      </c>
      <c r="Q2" s="12" t="str">
        <f ca="1"/>
        <v>No</v>
      </c>
      <c r="R2" s="12">
        <v>0</v>
      </c>
      <c r="S2" s="12" t="str">
        <f ca="1"/>
        <v>Si</v>
      </c>
      <c r="T2" s="12" t="str">
        <f ca="1"/>
        <v>Bateria y Guitarra</v>
      </c>
      <c r="U2" s="12" t="str">
        <f ca="1"/>
        <v>Escuela, prepa</v>
      </c>
      <c r="V2" s="12" t="str">
        <f ca="1"/>
        <v>Pues se tratar con niños, soy buena haciendo planes, relativamente inteligente, lider (creo), se me dan los deportes, y yap creo</v>
      </c>
      <c r="W2" s="13" t="str">
        <f ca="1"/>
        <v>B. Me gusta animar a las personas, C. Suelo buscar que el trabajo se realice en equipo, D. Me gustan los deportes, E. Me gusta el trabajo con niños, I. Se me facilita el trabajo físico, L. Soy bueno (a) en canto o algún instrumento, M. Soy bueno (a) con los números, N. Suelo llevar el liderazgo en un grupo, O. Puedo enseñar con facilidad</v>
      </c>
      <c r="X2" s="13" t="str">
        <f ca="1"/>
        <v>Sip ( 2017, 2018. 2019, 2020, 2021, 2022, 2023. 2024)</v>
      </c>
      <c r="Y2" s="12">
        <v>0</v>
      </c>
      <c r="Z2" s="14" t="s">
        <v>25</v>
      </c>
      <c r="AA2" s="14"/>
      <c r="AB2" s="14"/>
      <c r="AC2" s="14"/>
      <c r="AD2" s="15"/>
      <c r="AE2" s="15" t="s">
        <v>26</v>
      </c>
      <c r="AF2" s="15"/>
      <c r="AG2" s="15"/>
      <c r="AH2" s="15"/>
      <c r="AI2" s="15"/>
      <c r="AJ2" s="16" t="s">
        <v>27</v>
      </c>
      <c r="AK2" s="16"/>
      <c r="AL2" s="17"/>
    </row>
    <row r="3" spans="1:38" ht="51" x14ac:dyDescent="0.35">
      <c r="A3" s="9">
        <v>2</v>
      </c>
      <c r="B3" s="18" t="str">
        <f ca="1"/>
        <v>Jehieli, Dimas Alonso</v>
      </c>
      <c r="C3" s="19">
        <f ca="1"/>
        <v>20</v>
      </c>
      <c r="D3" s="18" t="str">
        <f ca="1"/>
        <v>Mujer</v>
      </c>
      <c r="E3" s="18" t="str">
        <f ca="1"/>
        <v>Veracruz, Mexico</v>
      </c>
      <c r="F3" s="18" t="str">
        <f ca="1"/>
        <v>alonsojehi@gmail.com</v>
      </c>
      <c r="G3" s="20">
        <f ca="1"/>
        <v>522722582655</v>
      </c>
      <c r="H3" s="20" t="str">
        <f ca="1"/>
        <v>Toda la temporada (07 de Julio al 16 de agosto)</v>
      </c>
      <c r="I3" s="20" t="str">
        <f ca="1"/>
        <v>Nuestro Pan Diario</v>
      </c>
      <c r="J3" s="20" t="str">
        <f ca="1"/>
        <v>Templo Evangélico Orizaba Oriente</v>
      </c>
      <c r="K3" s="20" t="str">
        <f ca="1"/>
        <v>Samuel Dimas Cortés</v>
      </c>
      <c r="L3" s="20">
        <f ca="1"/>
        <v>522721884527</v>
      </c>
      <c r="M3" s="20" t="str">
        <f ca="1"/>
        <v>orizaba-oriente@hotmail.com</v>
      </c>
      <c r="N3" s="20" t="str">
        <f ca="1"/>
        <v>Maestra de niños</v>
      </c>
      <c r="O3" s="20" t="str">
        <f ca="1"/>
        <v>He sido guiada en el evangelio desde pequeña, gracias a Dios mis padres son creyentes, a la edad de 12 años acepte al Señor Jesucristo en mi corazón y a los 15 me bauticé, he participado desde mi niñez en las actividades de la iglesia.
Dios me ayuda y me va perfeccionando dia a dia.</v>
      </c>
      <c r="P3" s="20" t="str">
        <f ca="1"/>
        <v>Conocer mas afuera de mi iglesia y poder ser apoyo para jovenes o niños, nada mejor hay que compartir a otros de su palabra.</v>
      </c>
      <c r="Q3" s="20" t="str">
        <f ca="1"/>
        <v>No</v>
      </c>
      <c r="R3" s="20">
        <v>0</v>
      </c>
      <c r="S3" s="20" t="str">
        <f ca="1"/>
        <v>No</v>
      </c>
      <c r="T3" s="20">
        <v>0</v>
      </c>
      <c r="U3" s="20" t="str">
        <f ca="1"/>
        <v>Estoy en cuarto semestre de diseño y comunicacion visual, mas conocido como diseño gráfico, en el cual entra creacion de comtenido, marketing</v>
      </c>
      <c r="V3" s="20" t="str">
        <f ca="1"/>
        <v>Tengo conocimientos en las plataformas de adobe</v>
      </c>
      <c r="W3" s="21" t="str">
        <f ca="1"/>
        <v>B. Me gusta animar a las personas, C. Suelo buscar que el trabajo se realice en equipo, D. Me gustan los deportes, E. Me gusta el trabajo con niños, H. Soy organizado (a), I. Se me facilita el trabajo físico, J. Me gusta la atención a las personas, K. Soy creativo (a), L. Soy bueno (a) en canto o algún instrumento, M. Soy bueno (a) con los números, O. Puedo enseñar con facilidad</v>
      </c>
      <c r="X3" s="21" t="str">
        <f ca="1"/>
        <v>Claro, fue hace año, no sabria decir en que temporada</v>
      </c>
      <c r="Y3" s="20">
        <v>0</v>
      </c>
      <c r="Z3" s="22" t="s">
        <v>28</v>
      </c>
      <c r="AA3" s="22"/>
      <c r="AB3" s="22"/>
      <c r="AC3" s="22"/>
      <c r="AD3" s="23"/>
      <c r="AE3" s="23"/>
      <c r="AF3" s="23"/>
      <c r="AG3" s="23"/>
      <c r="AH3" s="23"/>
      <c r="AI3" s="23"/>
      <c r="AJ3" s="16" t="s">
        <v>29</v>
      </c>
      <c r="AK3" s="16" t="s">
        <v>30</v>
      </c>
      <c r="AL3" s="17"/>
    </row>
    <row r="4" spans="1:38" ht="12.75" x14ac:dyDescent="0.35">
      <c r="A4" s="9">
        <v>3</v>
      </c>
      <c r="B4" s="18" t="str">
        <f ca="1"/>
        <v>Elisabet, González Salazar</v>
      </c>
      <c r="C4" s="19">
        <f ca="1"/>
        <v>22</v>
      </c>
      <c r="D4" s="18" t="str">
        <f ca="1"/>
        <v>Mujer</v>
      </c>
      <c r="E4" s="18" t="str">
        <f ca="1"/>
        <v>Veracruz, Mexico</v>
      </c>
      <c r="F4" s="18" t="str">
        <f ca="1"/>
        <v>elisabetglezsalazar012103@gmail.com</v>
      </c>
      <c r="G4" s="20">
        <f ca="1"/>
        <v>522723348309</v>
      </c>
      <c r="H4" s="20" t="str">
        <f ca="1"/>
        <v>Toda la temporada (07 de Julio al 16 de agosto)</v>
      </c>
      <c r="I4" s="20" t="str">
        <f ca="1"/>
        <v>Aviva nuestros corazones</v>
      </c>
      <c r="J4" s="20" t="str">
        <f ca="1"/>
        <v>Templo evangélico Orizaba-Oriente</v>
      </c>
      <c r="K4" s="20" t="str">
        <f ca="1"/>
        <v>Samuel Dimas Cortés</v>
      </c>
      <c r="L4" s="20">
        <f ca="1"/>
        <v>522721884528</v>
      </c>
      <c r="M4" s="20" t="str">
        <f ca="1"/>
        <v>elisabetglezsalazar012103@gmail.com</v>
      </c>
      <c r="N4" s="20" t="str">
        <f ca="1"/>
        <v>Servicio con los niños en la misión de la iglesia</v>
      </c>
      <c r="O4" s="20" t="str">
        <f ca="1"/>
        <v>Recibí a Cristo en mi vida en un campamento, desde ese día hasta la fecha me reúno en una iglesia y sirvo en los ministerios con los niños.</v>
      </c>
      <c r="P4" s="20" t="str">
        <f ca="1"/>
        <v>Quiero servir durante el verano, quiero poner al servicio de Dios mis dones</v>
      </c>
      <c r="Q4" s="20" t="str">
        <f ca="1"/>
        <v>No</v>
      </c>
      <c r="R4" s="20">
        <v>0</v>
      </c>
      <c r="S4" s="20" t="str">
        <f ca="1"/>
        <v>No</v>
      </c>
      <c r="T4" s="20">
        <v>0</v>
      </c>
      <c r="U4" s="21" t="str">
        <f ca="1"/>
        <v>Estoy en el último año de enfermería</v>
      </c>
      <c r="V4" s="20" t="str">
        <f ca="1"/>
        <v>Soy creativa, me gusta decorar, soy ágil en las tareas de la cocina, me desenvuelvo bien con los niños y se los primeros auxilios, y los cuidados de enfermería</v>
      </c>
      <c r="W4" s="21" t="str">
        <f ca="1"/>
        <v>B. Me gusta animar a las personas, E. Me gusta el trabajo con niños, H. Soy organizado (a), J. Me gusta la atención a las personas, K. Soy creativo (a), N. Suelo llevar el liderazgo en un grupo, O. Puedo enseñar con facilidad</v>
      </c>
      <c r="X4" s="21" t="str">
        <f ca="1"/>
        <v>Si he sido campero en campamento de niños</v>
      </c>
      <c r="Y4" s="20">
        <v>0</v>
      </c>
      <c r="Z4" s="22" t="s">
        <v>28</v>
      </c>
      <c r="AA4" s="22"/>
      <c r="AB4" s="22"/>
      <c r="AC4" s="22"/>
      <c r="AD4" s="23"/>
      <c r="AE4" s="23"/>
      <c r="AF4" s="23"/>
      <c r="AG4" s="23"/>
      <c r="AH4" s="23"/>
      <c r="AI4" s="23"/>
      <c r="AJ4" s="16" t="s">
        <v>31</v>
      </c>
      <c r="AK4" s="16" t="s">
        <v>32</v>
      </c>
      <c r="AL4" s="17"/>
    </row>
    <row r="5" spans="1:38" ht="12.75" x14ac:dyDescent="0.35">
      <c r="A5" s="9">
        <v>4</v>
      </c>
      <c r="B5" s="10" t="str">
        <f ca="1"/>
        <v>Monica Regina, Saucedo Hernadez</v>
      </c>
      <c r="C5" s="11">
        <f ca="1"/>
        <v>16</v>
      </c>
      <c r="D5" s="10" t="str">
        <f ca="1"/>
        <v>Mujer</v>
      </c>
      <c r="E5" s="10" t="str">
        <f ca="1"/>
        <v>Mexico City, Mexico</v>
      </c>
      <c r="F5" s="10" t="str">
        <f ca="1"/>
        <v>rhablack01@gmail.com</v>
      </c>
      <c r="G5" s="12">
        <f ca="1"/>
        <v>525533525972</v>
      </c>
      <c r="H5" s="12" t="str">
        <f ca="1"/>
        <v>Toda la temporada (07 de Julio al 16 de agosto)</v>
      </c>
      <c r="I5" s="12" t="str">
        <f ca="1"/>
        <v>Quiet Time</v>
      </c>
      <c r="J5" s="12" t="str">
        <f ca="1"/>
        <v>G3:16 Aragon</v>
      </c>
      <c r="K5" s="12" t="str">
        <f ca="1"/>
        <v>Carlos Alberto López de Nava</v>
      </c>
      <c r="L5" s="12">
        <f ca="1"/>
        <v>525554321356</v>
      </c>
      <c r="M5" s="12" t="str">
        <f ca="1"/>
        <v>carlos_lopezn@yahoo.como.mx</v>
      </c>
      <c r="N5" s="12" t="str">
        <f ca="1"/>
        <v>Por el momento ninguno</v>
      </c>
      <c r="O5" s="12" t="str">
        <f ca="1"/>
        <v>Vengo de cuna cristiana, desde pequeña siempre me hablaron de él,a los siete años tome la decisión de creer en Jesús como Salvador, después de una época difícil de mi familia y donde el Señor me mostró que siempre cuida de mi.</v>
      </c>
      <c r="P5" s="12" t="str">
        <f ca="1"/>
        <v>Me gustaría asistir para poder servirle al señor y ayudar a que más personas puedan conocer de él.</v>
      </c>
      <c r="Q5" s="12" t="str">
        <f ca="1"/>
        <v>Si</v>
      </c>
      <c r="R5" s="12" t="str">
        <f ca="1"/>
        <v>Halterofilia y CrossFit</v>
      </c>
      <c r="S5" s="12" t="str">
        <f ca="1"/>
        <v>No</v>
      </c>
      <c r="T5" s="12">
        <v>0</v>
      </c>
      <c r="U5" s="12" t="str">
        <f ca="1"/>
        <v>Bachillerato</v>
      </c>
      <c r="V5" s="12" t="str">
        <f ca="1"/>
        <v>Tengo habilidades de organización,trabajo en equipo y deportivas</v>
      </c>
      <c r="W5" s="13" t="str">
        <f ca="1"/>
        <v>B. Me gusta animar a las personas, C. Suelo buscar que el trabajo se realice en equipo, D. Me gustan los deportes, E. Me gusta el trabajo con niños, H. Soy organizado (a), I. Se me facilita el trabajo físico, N. Suelo llevar el liderazgo en un grupo, O. Puedo enseñar con facilidad</v>
      </c>
      <c r="X5" s="13" t="str">
        <f ca="1"/>
        <v>2022,2023,2024</v>
      </c>
      <c r="Y5" s="12">
        <v>0</v>
      </c>
      <c r="Z5" s="24" t="s">
        <v>25</v>
      </c>
      <c r="AA5" s="24"/>
      <c r="AB5" s="24"/>
      <c r="AC5" s="24"/>
      <c r="AD5" s="23"/>
      <c r="AE5" s="23"/>
      <c r="AF5" s="23"/>
      <c r="AG5" s="23"/>
      <c r="AH5" s="23"/>
      <c r="AI5" s="23"/>
      <c r="AJ5" s="16"/>
      <c r="AK5" s="16"/>
      <c r="AL5" s="17"/>
    </row>
    <row r="6" spans="1:38" ht="38.25" x14ac:dyDescent="0.35">
      <c r="A6" s="9">
        <v>5</v>
      </c>
      <c r="B6" s="10" t="str">
        <f ca="1"/>
        <v>Juliette Marie Louise, Colas</v>
      </c>
      <c r="C6" s="11">
        <f ca="1"/>
        <v>23</v>
      </c>
      <c r="D6" s="10" t="str">
        <f ca="1"/>
        <v>Mujer</v>
      </c>
      <c r="E6" s="10" t="str">
        <f ca="1"/>
        <v>Ile-de-France, France</v>
      </c>
      <c r="F6" s="10" t="str">
        <f ca="1"/>
        <v>julietecolas1@gmail.com</v>
      </c>
      <c r="G6" s="12">
        <f ca="1"/>
        <v>33782232182</v>
      </c>
      <c r="H6" s="12" t="str">
        <f ca="1"/>
        <v>Toda la temporada (07 de Julio al 16 de agosto)</v>
      </c>
      <c r="I6" s="12" t="str">
        <f ca="1"/>
        <v>Vivre aujourd'hui (vivir hoy)</v>
      </c>
      <c r="J6" s="12" t="str">
        <f ca="1"/>
        <v>Iglesia evangélica de Paris Cardinet</v>
      </c>
      <c r="K6" s="12" t="str">
        <f ca="1"/>
        <v>Jonathan Vaughan</v>
      </c>
      <c r="L6" s="12">
        <f ca="1"/>
        <v>33641821712</v>
      </c>
      <c r="M6" s="12" t="str">
        <f ca="1"/>
        <v>jony.vaughan@gmail.com</v>
      </c>
      <c r="N6" s="12" t="str">
        <f ca="1"/>
        <v>sierviendo en lo que se necesita</v>
      </c>
      <c r="O6" s="12" t="str">
        <f ca="1"/>
        <v>Voy a la iglesia desde que estoy pequeña y en campamentos también, un día un líder preguntó su quería que orara por mí y yo dije que sí y acepté a Jesús.</v>
      </c>
      <c r="P6" s="12" t="str">
        <f ca="1"/>
        <v>Quiero servir a Dios donde Él me mande.</v>
      </c>
      <c r="Q6" s="12" t="str">
        <f ca="1"/>
        <v>Si</v>
      </c>
      <c r="R6" s="12" t="str">
        <f ca="1"/>
        <v>tennis, natación, crossfit</v>
      </c>
      <c r="S6" s="12" t="str">
        <f ca="1"/>
        <v>No</v>
      </c>
      <c r="T6" s="12">
        <v>0</v>
      </c>
      <c r="U6" s="12" t="str">
        <f ca="1"/>
        <v>el idioma español y cómo ser profesora</v>
      </c>
      <c r="V6" s="12" t="str">
        <f ca="1"/>
        <v>me llevo bien con la gente, y tengo un diploma de responsabilidad con niños.</v>
      </c>
      <c r="W6" s="13" t="str">
        <f ca="1"/>
        <v>A. Soy un discipulador activo, B. Me gusta animar a las personas, C. Suelo buscar que el trabajo se realice en equipo, D. Me gustan los deportes, E. Me gusta el trabajo con niños, H. Soy organizado (a), J. Me gusta la atención a las personas, N. Suelo llevar el liderazgo en un grupo, O. Puedo enseñar con facilidad</v>
      </c>
      <c r="X6" s="13" t="str">
        <f ca="1"/>
        <v>no, pero he servido el año pasado</v>
      </c>
      <c r="Y6" s="12">
        <v>0</v>
      </c>
      <c r="Z6" s="24" t="s">
        <v>25</v>
      </c>
      <c r="AA6" s="24"/>
      <c r="AB6" s="24"/>
      <c r="AC6" s="24"/>
      <c r="AD6" s="23"/>
      <c r="AE6" s="23"/>
      <c r="AF6" s="23"/>
      <c r="AG6" s="23"/>
      <c r="AH6" s="23"/>
      <c r="AI6" s="23" t="s">
        <v>26</v>
      </c>
      <c r="AJ6" s="16" t="s">
        <v>33</v>
      </c>
      <c r="AK6" s="16"/>
      <c r="AL6" s="17"/>
    </row>
    <row r="7" spans="1:38" ht="25.5" x14ac:dyDescent="0.35">
      <c r="A7" s="9">
        <v>6</v>
      </c>
      <c r="B7" s="18" t="str">
        <f ca="1"/>
        <v>Anna Sofia, Medina</v>
      </c>
      <c r="C7" s="19">
        <f ca="1"/>
        <v>19</v>
      </c>
      <c r="D7" s="18" t="str">
        <f ca="1"/>
        <v>Mujer</v>
      </c>
      <c r="E7" s="18" t="str">
        <f ca="1"/>
        <v>Queretaro, Mexico</v>
      </c>
      <c r="F7" s="18" t="str">
        <f ca="1"/>
        <v>annasofm@gmail.com</v>
      </c>
      <c r="G7" s="20">
        <f ca="1"/>
        <v>524423391732</v>
      </c>
      <c r="H7" s="20" t="str">
        <f ca="1"/>
        <v>Semana de niños y niñas (21-25) Julio</v>
      </c>
      <c r="I7" s="20" t="str">
        <f ca="1"/>
        <v>You Version</v>
      </c>
      <c r="J7" s="20" t="str">
        <f ca="1"/>
        <v>El Sello</v>
      </c>
      <c r="K7" s="20" t="str">
        <f ca="1"/>
        <v>Toño García</v>
      </c>
      <c r="L7" s="20">
        <f ca="1"/>
        <v>524427405161</v>
      </c>
      <c r="M7" s="20" t="str">
        <f ca="1"/>
        <v>palabraespada@gmail.com</v>
      </c>
      <c r="N7" s="20" t="str">
        <f ca="1"/>
        <v>Alabanza</v>
      </c>
      <c r="O7" s="20" t="str">
        <f ca="1"/>
        <v>Desde que estoy chiquita voy a la iglesia. Pero hace unos años, comprendí que necesitaba el perdón de Dios y que Jesús era el único que podía darme vida verdadera. Decidí entregar mi vida a Él, y desde entonces mi vida ha cambiado por completo. Dios ha transformado mi corazón y me ha dado paz a su lado.</v>
      </c>
      <c r="P7" s="20" t="str">
        <f ca="1"/>
        <v>Porque es una oportunidad para que pueda servirle a Dios y a los demás. Poder reflejar el amor de Jesús y glorificar a Dios. De la misma manera quiero mostrarles a los niños el Dios tan grande y amoroso que tenemos.</v>
      </c>
      <c r="Q7" s="20" t="str">
        <f ca="1"/>
        <v>Si</v>
      </c>
      <c r="R7" s="20" t="str">
        <f ca="1"/>
        <v>Pesas y cycling</v>
      </c>
      <c r="S7" s="20" t="str">
        <f ca="1"/>
        <v>No</v>
      </c>
      <c r="T7" s="20">
        <v>0</v>
      </c>
      <c r="U7" s="20" t="str">
        <f ca="1"/>
        <v>Terminado la preparatoria.</v>
      </c>
      <c r="V7" s="20" t="str">
        <f ca="1"/>
        <v>Pintar, cantar, atletismo, soy muy empática.</v>
      </c>
      <c r="W7" s="21" t="str">
        <f ca="1"/>
        <v>A. Soy un discipulador activo, B. Me gusta animar a las personas, C. Suelo buscar que el trabajo se realice en equipo, D. Me gustan los deportes, E. Me gusta el trabajo con niños, H. Soy organizado (a), J. Me gusta la atención a las personas, K. Soy creativo (a), L. Soy bueno (a) en canto o algún instrumento, M. Soy bueno (a) con los números, N. Suelo llevar el liderazgo en un grupo, O. Puedo enseñar con facilidad</v>
      </c>
      <c r="X7" s="21" t="str">
        <f ca="1"/>
        <v>Ninguna</v>
      </c>
      <c r="Y7" s="20">
        <v>0</v>
      </c>
      <c r="Z7" s="22" t="s">
        <v>28</v>
      </c>
      <c r="AA7" s="22"/>
      <c r="AB7" s="22"/>
      <c r="AC7" s="22"/>
      <c r="AD7" s="22"/>
      <c r="AE7" s="22"/>
      <c r="AF7" s="22"/>
      <c r="AG7" s="23"/>
      <c r="AH7" s="23"/>
      <c r="AI7" s="23"/>
      <c r="AJ7" s="16" t="s">
        <v>34</v>
      </c>
      <c r="AK7" s="16"/>
      <c r="AL7" s="17" t="s">
        <v>35</v>
      </c>
    </row>
    <row r="8" spans="1:38" ht="51" x14ac:dyDescent="0.35">
      <c r="A8" s="9">
        <v>7</v>
      </c>
      <c r="B8" s="10" t="str">
        <f ca="1"/>
        <v>Andrea, Saucedo Vázquez</v>
      </c>
      <c r="C8" s="11">
        <f ca="1"/>
        <v>17</v>
      </c>
      <c r="D8" s="10" t="str">
        <f ca="1"/>
        <v>Mujer</v>
      </c>
      <c r="E8" s="10" t="str">
        <f ca="1"/>
        <v>Queretaro, Mexico</v>
      </c>
      <c r="F8" s="10" t="str">
        <f ca="1"/>
        <v>andreasaucedovazquez2007@gmail.com</v>
      </c>
      <c r="G8" s="12">
        <f ca="1"/>
        <v>525535230970</v>
      </c>
      <c r="H8" s="12" t="str">
        <f ca="1"/>
        <v>Toda la temporada (07 de Julio al 16 de agosto)</v>
      </c>
      <c r="I8" s="12" t="str">
        <f ca="1"/>
        <v>La biblia</v>
      </c>
      <c r="J8" s="12" t="str">
        <f ca="1"/>
        <v>UNIFAM Querétaro</v>
      </c>
      <c r="K8" s="12" t="str">
        <f ca="1"/>
        <v>Pastor: Alexis Saucedo</v>
      </c>
      <c r="L8" s="12">
        <f ca="1"/>
        <v>525510455718</v>
      </c>
      <c r="M8" s="12" t="str">
        <f ca="1"/>
        <v>alexissaucedoduran@gmail.com</v>
      </c>
      <c r="N8" s="12" t="str">
        <f ca="1"/>
        <v>Ministerio infantil y los últimos años estuve en las escuelas bíblicas de verano organizando juegos</v>
      </c>
      <c r="O8" s="12" t="str">
        <f ca="1"/>
        <v>Soy hija de Pastor y por varios años viví ese: estar, pero no estar en la iglesia, iba y aprendía cosas, pero realmente nunca estuve enfocada en dedicarle tiempo o depositarme en Dios, en pandemia viví varias situaciones, entre ellas una operación de cadera y rodillas que me hizo estar varios meses en fisios y tuve que aprender a caminar de nuevo, yo estaba enojada porque yo entrenaba varios deportes y sentía que todo iba ser distinto ya que mi doctor me dijo que no podía seguir más con los deportes de alto impacto, durante el proceso Dios me mostró que estaba mal enfocada y que mucho de mi tiempo era para cosas que yo quería y que no consultaba con él, eran decisiones que yo tomaba egoístas, hasta que entendí que no podía estar viviendo un cristianismo falso, ya que decía tener una relación con Dios más nunca le consultaba del todo, aprendí que tengo que depositarle mi vida al 100% y confiar en que si paso por situaciones complicadas, es por algo, hoy en día entiendo el mensaje de salvación y acepté a Cristo en mi corazón y me bauticé en Diciembre de 2021, agradezco mucho que Dios me haya frenado a seguir con mi sueño de ser deportista profesional ya que en ese sueño Dios no estaba presente y estoy muy segura que los planes que él tiene para mí son mucho más grandes de los que yo tenía antes y sé que parte de ese plan es para servirle y ser parte del cuerpo de Cristo que es la Iglesia. (Gracias a Dios actualmente estoy al 100% ya estoy bien físicamente, mi médico me dio de alta desde 2023)</v>
      </c>
      <c r="P8" s="12" t="str">
        <f ca="1"/>
        <v>El año pasado fui de campera y me quebrantó mucho el día Lunes que se compartió el evangelio, ver como servían todos los equipantes compartiendo con los camperos, me quebranté mucho al ver a todos esos jóvenes aceptando a Cristo y a todos esos equipantes hablando con ellos, y en ese momento Dios tocó mi corazón para poder yo algún día estar sirviendo como ellos y que mi vida sea para compartir con otros de su palabra, que él pueda usarme para ello.</v>
      </c>
      <c r="Q8" s="12" t="str">
        <f ca="1"/>
        <v>Si</v>
      </c>
      <c r="R8" s="12" t="str">
        <f ca="1"/>
        <v>Entreno Natación en equipo todos los días en las noches y Basketball en las mañanas</v>
      </c>
      <c r="S8" s="12" t="str">
        <f ca="1"/>
        <v>Si</v>
      </c>
      <c r="T8" s="12" t="str">
        <f ca="1"/>
        <v>Me defiendo en Piano pero no es mucho</v>
      </c>
      <c r="U8" s="12" t="str">
        <f ca="1"/>
        <v>En enero terminé la prepa y estoy esperando que me den el certificado</v>
      </c>
      <c r="V8" s="12" t="str">
        <f ca="1"/>
        <v>Soy entrenadora de natación y aquafitness en la alberca zwemmen en la Universidad Marista de Querétaro</v>
      </c>
      <c r="W8" s="13" t="str">
        <f ca="1"/>
        <v>A. Soy un discipulador activo, B. Me gusta animar a las personas, C. Suelo buscar que el trabajo se realice en equipo, D. Me gustan los deportes, E. Me gusta el trabajo con niños, I. Se me facilita el trabajo físico, J. Me gusta la atención a las personas, K. Soy creativo (a), N. Suelo llevar el liderazgo en un grupo, O. Puedo enseñar con facilidad</v>
      </c>
      <c r="X8" s="13" t="str">
        <f ca="1"/>
        <v>Sí, en REINOS 2024</v>
      </c>
      <c r="Y8" s="12">
        <v>0</v>
      </c>
      <c r="Z8" s="24" t="s">
        <v>25</v>
      </c>
      <c r="AA8" s="24"/>
      <c r="AB8" s="24" t="s">
        <v>26</v>
      </c>
      <c r="AC8" s="24"/>
      <c r="AD8" s="23"/>
      <c r="AE8" s="23"/>
      <c r="AF8" s="23"/>
      <c r="AG8" s="23"/>
      <c r="AH8" s="23"/>
      <c r="AI8" s="23"/>
      <c r="AJ8" s="16" t="s">
        <v>36</v>
      </c>
      <c r="AK8" s="16" t="s">
        <v>37</v>
      </c>
      <c r="AL8" s="17" t="s">
        <v>38</v>
      </c>
    </row>
    <row r="9" spans="1:38" ht="63.75" x14ac:dyDescent="0.35">
      <c r="A9" s="9">
        <v>8</v>
      </c>
      <c r="B9" s="10" t="str">
        <f ca="1"/>
        <v>Marisol, Mora Pacheco</v>
      </c>
      <c r="C9" s="11">
        <f ca="1"/>
        <v>29</v>
      </c>
      <c r="D9" s="10" t="str">
        <f ca="1"/>
        <v>Mujer</v>
      </c>
      <c r="E9" s="10" t="str">
        <f ca="1"/>
        <v>Puebla, Mexico</v>
      </c>
      <c r="F9" s="10" t="str">
        <f ca="1"/>
        <v>mopac@live.com.mx</v>
      </c>
      <c r="G9" s="12">
        <f ca="1"/>
        <v>522225347639</v>
      </c>
      <c r="H9" s="12" t="str">
        <f ca="1"/>
        <v>Semana de entrenamiento (07 - 13) Julio, Comunidad Jóvenes + 18 (14-19) Julio, Semana de niños y niñas (21-25) Julio, Jóvenes de 13 – 17 años / SEM1/ (28 Julio a 02 de agosto), Jóvenes de 13 – 17 años / SEM2/ (4 - 09 agosto)</v>
      </c>
      <c r="I9" s="12" t="str">
        <f ca="1"/>
        <v>Ama a Dios grandemente, HS, You versión</v>
      </c>
      <c r="J9" s="12" t="str">
        <f ca="1"/>
        <v>Iglesia Bíblica Roca Fuerte</v>
      </c>
      <c r="K9" s="12" t="str">
        <f ca="1"/>
        <v>Alejandro Amador González</v>
      </c>
      <c r="L9" s="12">
        <f ca="1"/>
        <v>522454509929</v>
      </c>
      <c r="M9" s="12" t="str">
        <f ca="1"/>
        <v>amadorgon@hotmail.com</v>
      </c>
      <c r="N9" s="12" t="str">
        <f ca="1"/>
        <v>Club bíblico, alabanza, ministerio de chicas, ministerio de la cárcel, club de niños</v>
      </c>
      <c r="O9" s="12" t="str">
        <f ca="1"/>
        <v>Fui hallada por Dios a la edad de 12 años, conocí de Cristo cuando tenía 5 años, mi familia y yo nunca habíamos escuchado de un Dios tan personal y cercano, durante mi infancia pude escuchar acerca de Dios, me gustaba asistir a la escuela dominical donde me hablaban de lo que Dios hacía, me impactaba como es que Dios podía hacer todo eso, fue durante mi adolescencia que me di cuenta que conocía al Dios de la biblia pero no conocía al Dios de mi vida, mi vida tenía un gran vacío ya que durante ese tiempo pasaba por circunstancias difíciles en mi familia y estando consciente de algunas otras que había atravesado en mi infancia, mi corazón cada vez más se entristecía tratando de encontrar una esperanza, fue cuando llegó el ministerio de clubes bíblicos a mí iglesia y Dios utilizó una persona que me confrontó y me hizo ver que no bastaba con conocer a Dios y lo que hizo, que era necesario entregarle mi vida para que él comenzara a escribir una historia en mí llena de propósitos eternos, que no bastaba servir a Dios si mi corazón estaba lejos de Él, mi corazón pudo creer de una forma tan real en Cristo. Porque Cristo resucitó de entre los muertos, yo tengo esperanza. No tengo que vivir como quien ha sido condenado por la eternidad. ¡Cristo está vivo! Y eso lo cambia todo. Ahora sé que mi vida está en sus manos, prometiéndome un camino que si bien no ha sido fácil a estado a mi lado dándome salvación y esperanza.</v>
      </c>
      <c r="P9" s="12" t="str">
        <f ca="1"/>
        <v>El año pasado estuve como equipante, me dejó asombrada como es que Dios puede usarnos y las lecciones que nos puede dar cuando tenemos un panorama más amplio de lo que sucede con la juventud el día de hoy, mi corazón  se conmueve al ver la gran necesidad que la juventud y también la niñez tiene de Dios y eso me motiva el saber que mi labor porque es a Cristo a quien sirvo y debo amar lo que él ama y dar mi vida en servicio a los demás.</v>
      </c>
      <c r="Q9" s="12" t="str">
        <f ca="1"/>
        <v>Si</v>
      </c>
      <c r="R9" s="12" t="str">
        <f ca="1"/>
        <v>Basketbal, futbol, voleibol, padel</v>
      </c>
      <c r="S9" s="12" t="str">
        <f ca="1"/>
        <v>Si</v>
      </c>
      <c r="T9" s="12" t="str">
        <f ca="1"/>
        <v>Piano, guitarra, ukelele, violín</v>
      </c>
      <c r="U9" s="12" t="str">
        <f ca="1"/>
        <v>Urbanismo y diseño, trabajo ejerciendo mi carrera en la plantación de ciudades, diseñando espacios públicos para que todas las personas encuentren espacios accesibles en las zonas donde realizamos los análisis para la intervención de dichos espacios.</v>
      </c>
      <c r="V9" s="12" t="str">
        <f ca="1"/>
        <v>Comunicación, creatividad, relacionarme con las personas,trabajar en equipo, profesión: Lic. en urbanismo y diseño</v>
      </c>
      <c r="W9" s="13" t="str">
        <f ca="1"/>
        <v>A. Soy un discipulador activo, B. Me gusta animar a las personas, C. Suelo buscar que el trabajo se realice en equipo, D. Me gustan los deportes, E. Me gusta el trabajo con niños, F. Soy eficiente en el trabajo con herramientas, equipos y maquinarias, H. Soy organizado (a), I. Se me facilita el trabajo físico, J. Me gusta la atención a las personas, K. Soy creativo (a), L. Soy bueno (a) en canto o algún instrumento, O. Puedo enseñar con facilidad</v>
      </c>
      <c r="X9" s="13" t="str">
        <f ca="1"/>
        <v>2012,2015,2019</v>
      </c>
      <c r="Y9" s="12">
        <v>0</v>
      </c>
      <c r="Z9" s="24" t="s">
        <v>26</v>
      </c>
      <c r="AA9" s="24"/>
      <c r="AB9" s="24"/>
      <c r="AC9" s="24"/>
      <c r="AD9" s="23"/>
      <c r="AE9" s="23"/>
      <c r="AF9" s="23"/>
      <c r="AG9" s="23"/>
      <c r="AH9" s="23"/>
      <c r="AI9" s="23"/>
      <c r="AJ9" s="16" t="s">
        <v>39</v>
      </c>
      <c r="AK9" s="16" t="s">
        <v>40</v>
      </c>
      <c r="AL9" s="17"/>
    </row>
    <row r="10" spans="1:38" ht="38.25" x14ac:dyDescent="0.35">
      <c r="A10" s="9">
        <v>9</v>
      </c>
      <c r="B10" s="25" t="str">
        <f ca="1"/>
        <v>Janet, Florencio Cruz</v>
      </c>
      <c r="C10" s="26">
        <f ca="1"/>
        <v>16</v>
      </c>
      <c r="D10" s="25" t="str">
        <f ca="1"/>
        <v>Mujer</v>
      </c>
      <c r="E10" s="25" t="str">
        <f ca="1"/>
        <v>Queretaro, Mexico</v>
      </c>
      <c r="F10" s="25" t="str">
        <f ca="1"/>
        <v>florenciocruzjanet39@gmail.com</v>
      </c>
      <c r="G10" s="27">
        <f ca="1"/>
        <v>524411173038</v>
      </c>
      <c r="H10" s="27" t="str">
        <f ca="1"/>
        <v>Semana de entrenamiento (07 - 13) Julio, Comunidad Jóvenes + 18 (14-19) Julio, Semana de niños y niñas (21-25) Julio, Jóvenes de 13 – 17 años / SEM2/ (4 - 09 agosto), Jóvenes de 13 – 17 años / SEM3/ (11 - 16 agosto)</v>
      </c>
      <c r="I10" s="27" t="str">
        <f ca="1"/>
        <v>No uso</v>
      </c>
      <c r="J10" s="27" t="str">
        <f ca="1"/>
        <v>INPC ¨Dios con Nosotros</v>
      </c>
      <c r="K10" s="27" t="str">
        <f ca="1"/>
        <v>Rogelio Eugenio Morales</v>
      </c>
      <c r="L10" s="27">
        <f ca="1"/>
        <v>527712637422</v>
      </c>
      <c r="M10" s="27" t="str">
        <f ca="1"/>
        <v>royer725@hotmail.com</v>
      </c>
      <c r="N10" s="27" t="str">
        <f ca="1"/>
        <v>Estoy en el coro de mi iglesia y soy tesorera de mi grupo de jovenes</v>
      </c>
      <c r="O10" s="27" t="str">
        <f ca="1"/>
        <v>En junio del 2020 el Señor me rescato de mi pecado, estaba acostada en mi cuarto y me sentía muy angustiada, en medio de esa angustia me di cuenta que a pesar de nacer en una familia cristiana e ir todos los domingos al templo nunca había reconocido a Dios como mi salvador y esa noche le dije a Dios que habitara en mi vida y corazón.</v>
      </c>
      <c r="P10" s="27" t="str">
        <f ca="1"/>
        <v>Porque en mi periodo vacacional me gastaría aprovechar mi tiempo y esfuerzo en el servicio a Dios y poder tener una mejor comunión con el y se que esta experiencia será de bendición a mi vida</v>
      </c>
      <c r="Q10" s="27" t="str">
        <f ca="1"/>
        <v>No</v>
      </c>
      <c r="R10" s="27">
        <v>0</v>
      </c>
      <c r="S10" s="27" t="str">
        <f ca="1"/>
        <v>No</v>
      </c>
      <c r="T10" s="27">
        <v>0</v>
      </c>
      <c r="U10" s="27" t="str">
        <f ca="1"/>
        <v>Estoy estudiando la preparatoria en el sistema A.C.E, en la escuela Palabra de Vida</v>
      </c>
      <c r="V10" s="27" t="str">
        <f ca="1"/>
        <v>Puedo pintar, cocinar y mas o menos cantar</v>
      </c>
      <c r="W10" s="28" t="str">
        <f ca="1"/>
        <v>B. Me gusta animar a las personas, E. Me gusta el trabajo con niños, J. Me gusta la atención a las personas, L. Soy bueno (a) en canto o algún instrumento, O. Puedo enseñar con facilidad</v>
      </c>
      <c r="X10" s="28" t="str">
        <f ca="1"/>
        <v>¨Si, en la semana de niños en 2015</v>
      </c>
      <c r="Y10" s="27">
        <v>0</v>
      </c>
      <c r="Z10" s="29" t="s">
        <v>28</v>
      </c>
      <c r="AA10" s="29"/>
      <c r="AB10" s="29"/>
      <c r="AC10" s="29"/>
      <c r="AD10" s="23"/>
      <c r="AE10" s="23"/>
      <c r="AF10" s="23"/>
      <c r="AG10" s="23"/>
      <c r="AH10" s="23"/>
      <c r="AI10" s="23"/>
      <c r="AJ10" s="16" t="s">
        <v>41</v>
      </c>
      <c r="AK10" s="16" t="s">
        <v>30</v>
      </c>
      <c r="AL10" s="17"/>
    </row>
    <row r="11" spans="1:38" ht="63.75" x14ac:dyDescent="0.35">
      <c r="A11" s="9">
        <v>10</v>
      </c>
      <c r="B11" s="30" t="str">
        <f ca="1"/>
        <v>Mariel Europa, Jaime Tobón</v>
      </c>
      <c r="C11" s="31">
        <f ca="1"/>
        <v>23</v>
      </c>
      <c r="D11" s="30" t="str">
        <f ca="1"/>
        <v>Mujer</v>
      </c>
      <c r="E11" s="30" t="str">
        <f ca="1"/>
        <v>Queretaro, Mexico</v>
      </c>
      <c r="F11" s="30" t="str">
        <f ca="1"/>
        <v>europa.jaime.t@gmail.com</v>
      </c>
      <c r="G11" s="30">
        <f ca="1"/>
        <v>524422020111</v>
      </c>
      <c r="H11" s="30" t="str">
        <f ca="1"/>
        <v>Toda la temporada (07 de Julio al 16 de agosto)</v>
      </c>
      <c r="I11" s="30" t="str">
        <f ca="1"/>
        <v>Nuestro Pan Diario - Mujeres</v>
      </c>
      <c r="J11" s="30" t="str">
        <f ca="1"/>
        <v>Conexión Vertical</v>
      </c>
      <c r="K11" s="30" t="str">
        <f ca="1"/>
        <v>Marcelo Jorquera</v>
      </c>
      <c r="L11" s="30">
        <f ca="1"/>
        <v>524411000876</v>
      </c>
      <c r="M11" s="30" t="str">
        <f ca="1"/>
        <v>mdjorquerap@gmail.com</v>
      </c>
      <c r="N11" s="30" t="str">
        <f ca="1"/>
        <v>Jóvenes</v>
      </c>
      <c r="O11" s="30" t="str">
        <f ca="1"/>
        <v>Mi familia y yo somos de CDMX, mi familia en ese entonces era católica no practicante y bueno, la primera vez que me compartieron sobre el señor, fue en el 2015 a las afueras del funeral de mi abuela materna, obviamente estaba muy renuente a escuchar de razones y en ese momento me niego a si quiera continuar la conversación sobre el tema de Jesús. Entre el 2015 y 2016 mi familia y yo nos mudamos a Qro y por cosas de la vida, mis padres se separan entonces llegamos a un estado donde no conociamos ni familia ni amigos, solos completamente y mi mamá no bastando la pérdida reciente de su madre, queda sola con dos adolescentes. Para esto, una prima ya le había compartido a mamá sobre Jesús, ella tomando una decisión de salvación y resultando esto en llevarla a acercarse mas a Cristo, buscando así una iglesia. Encontramos una iglesia, comenzamls a asistir y nosotros no nos sentimos cómodos jamás y justo esta prima que nos había hablado del evangelio nos cuenta sobre Conexión Vertical y a mi me invita a campa. 
En campa me veo sumamente confrontada por varias conversaciones y tomo una decisión, lo cual resulta en mi bautizo tiempo después.  No ha sido sencillo mi caminar con Cristo, pero he podido ver su misericordia y la gracia de la que tantos hablan, yo he logradl experimentarla al 100%</v>
      </c>
      <c r="P11" s="30" t="str">
        <f ca="1"/>
        <v>Acabo de Titularme de mi carrera, estoy próxima (si Dios así lo quiere) a comprimeterme y terminando la temporada de campa voy a comenzar a buscar trabajo. Creo que es un buen momento en el que estoy, para poder apartar tiempo y servir a tiempo completo durante un mes y cachito.</v>
      </c>
      <c r="Q11" s="30" t="str">
        <f ca="1"/>
        <v>No</v>
      </c>
      <c r="R11" s="30">
        <v>0</v>
      </c>
      <c r="S11" s="30" t="str">
        <f ca="1"/>
        <v>No</v>
      </c>
      <c r="T11" s="30">
        <v>0</v>
      </c>
      <c r="U11" s="30" t="str">
        <f ca="1"/>
        <v>Diseño y Comunicación Visual</v>
      </c>
      <c r="V11" s="30" t="str">
        <f ca="1"/>
        <v>Fotografía, diseño gráfico</v>
      </c>
      <c r="W11" s="16" t="str">
        <f ca="1"/>
        <v>B. Me gusta animar a las personas, C. Suelo buscar que el trabajo se realice en equipo, H. Soy organizado (a), J. Me gusta la atención a las personas, K. Soy creativo (a), N. Suelo llevar el liderazgo en un grupo</v>
      </c>
      <c r="X11" s="16" t="str">
        <f ca="1"/>
        <v>Desde el 2016</v>
      </c>
      <c r="Y11" s="30">
        <v>0</v>
      </c>
      <c r="Z11" s="23" t="s">
        <v>25</v>
      </c>
      <c r="AA11" s="23"/>
      <c r="AB11" s="23"/>
      <c r="AC11" s="23"/>
      <c r="AD11" s="23"/>
      <c r="AE11" s="23" t="s">
        <v>26</v>
      </c>
      <c r="AF11" s="23"/>
      <c r="AG11" s="23"/>
      <c r="AH11" s="23"/>
      <c r="AI11" s="23"/>
      <c r="AJ11" s="16" t="s">
        <v>42</v>
      </c>
      <c r="AK11" s="16" t="s">
        <v>43</v>
      </c>
      <c r="AL11" s="17" t="s">
        <v>44</v>
      </c>
    </row>
    <row r="12" spans="1:38" ht="12.75" x14ac:dyDescent="0.35">
      <c r="A12" s="9">
        <v>11</v>
      </c>
      <c r="B12" s="30" t="str">
        <f ca="1"/>
        <v>Froylan, Gonzalez Torralba</v>
      </c>
      <c r="C12" s="31">
        <f ca="1"/>
        <v>23</v>
      </c>
      <c r="D12" s="30" t="str">
        <f ca="1"/>
        <v>Hombre</v>
      </c>
      <c r="E12" s="30" t="str">
        <f ca="1"/>
        <v>Queretaro, Mexico</v>
      </c>
      <c r="F12" s="30" t="str">
        <f ca="1"/>
        <v>fgonzalez63@alumnos.uaq.mx</v>
      </c>
      <c r="G12" s="30">
        <f ca="1"/>
        <v>524621474659</v>
      </c>
      <c r="H12" s="30" t="str">
        <f ca="1"/>
        <v>Toda la temporada (07 de Julio al 16 de agosto)</v>
      </c>
      <c r="I12" s="30" t="str">
        <f ca="1"/>
        <v>Proyecto Biblia| Evangelios</v>
      </c>
      <c r="J12" s="30" t="str">
        <f ca="1"/>
        <v>Conexión Vertical</v>
      </c>
      <c r="K12" s="30" t="str">
        <f ca="1"/>
        <v>Marcelo Jorquera</v>
      </c>
      <c r="L12" s="30">
        <f ca="1"/>
        <v>524411000876</v>
      </c>
      <c r="M12" s="30" t="str">
        <f ca="1"/>
        <v>mdjorquerap@gmail.com</v>
      </c>
      <c r="N12" s="30" t="str">
        <f ca="1"/>
        <v>Ministerio de jóvenes y cafetería</v>
      </c>
      <c r="O12" s="30" t="str">
        <f ca="1"/>
        <v>Nací en una familia no creyente, y pasé por muchas dificultades, como el fallecimiento por Cáncer de mi madre, la ruptura de mi familia, y la soledad de estar viviendo y estudiando solo en otro estado de la republica, en esta temporada de mucho odio, tristeza y otros sentimientos, conozco a mi actual novia, que es la persona que me enseña un amor muy diferente, yo empiezo a conocer más de Dios y al asistir a un campamento de aquí de Bernal, me doy cuenta en el peso del evangelio y de cómo Dios mostró el mayor acto de amor que alguien ha tenido por mi al entregar a su único hijo por el perdón de mis pecados.</v>
      </c>
      <c r="P12" s="30" t="str">
        <f ca="1"/>
        <v>Me encantó el campamento que asistí, fueron mucho de bendición y me gustaría poder ser de bendición y herramienta de Dios para seguir compartiendo de su palabra y sus cualidades, tal vez encontrar a chicos que se encuentren en la posición donde yo estuve y poderlos ayudar</v>
      </c>
      <c r="Q12" s="30" t="str">
        <f ca="1"/>
        <v>Si</v>
      </c>
      <c r="R12" s="30" t="str">
        <f ca="1"/>
        <v>Muay thai, gym, soccer</v>
      </c>
      <c r="S12" s="30" t="str">
        <f ca="1"/>
        <v>No</v>
      </c>
      <c r="T12" s="30">
        <v>0</v>
      </c>
      <c r="U12" s="30" t="str">
        <f ca="1"/>
        <v>Ingeniería en nanotecnología, mucha química, física, biología.</v>
      </c>
      <c r="V12" s="30" t="str">
        <f ca="1"/>
        <v>Albañilería, carpitenria, soldadura un poco, uso de programas de analizo de datos como Excel, Origin, etc.</v>
      </c>
      <c r="W12" s="16" t="str">
        <f ca="1"/>
        <v>B. Me gusta animar a las personas, C. Suelo buscar que el trabajo se realice en equipo, D. Me gustan los deportes, E. Me gusta el trabajo con niños, H. Soy organizado (a), I. Se me facilita el trabajo físico, J. Me gusta la atención a las personas, K. Soy creativo (a), M. Soy bueno (a) con los números, O. Puedo enseñar con facilidad</v>
      </c>
      <c r="X12" s="16" t="str">
        <f ca="1"/>
        <v>Fui campero en el 2024</v>
      </c>
      <c r="Y12" s="30">
        <v>0</v>
      </c>
      <c r="Z12" s="23" t="s">
        <v>45</v>
      </c>
      <c r="AA12" s="23"/>
      <c r="AB12" s="23"/>
      <c r="AC12" s="23"/>
      <c r="AD12" s="23"/>
      <c r="AE12" s="23"/>
      <c r="AF12" s="23"/>
      <c r="AG12" s="23"/>
      <c r="AH12" s="23"/>
      <c r="AI12" s="23"/>
      <c r="AJ12" s="16" t="s">
        <v>46</v>
      </c>
      <c r="AK12" s="16"/>
      <c r="AL12" s="17"/>
    </row>
    <row r="13" spans="1:38" ht="12.75" x14ac:dyDescent="0.35">
      <c r="A13" s="9">
        <v>12</v>
      </c>
      <c r="B13" s="30" t="str">
        <f ca="1"/>
        <v>Valeria, Gonzalez Islas</v>
      </c>
      <c r="C13" s="31">
        <f ca="1"/>
        <v>22</v>
      </c>
      <c r="D13" s="30" t="str">
        <f ca="1"/>
        <v>Mujer</v>
      </c>
      <c r="E13" s="30" t="str">
        <f ca="1"/>
        <v>Mexico City, Mexico</v>
      </c>
      <c r="F13" s="30" t="str">
        <f ca="1"/>
        <v>valeglezz06@gmail.com</v>
      </c>
      <c r="G13" s="30">
        <f ca="1"/>
        <v>525647892628</v>
      </c>
      <c r="H13" s="30" t="str">
        <f ca="1"/>
        <v>Toda la temporada (07 de Julio al 16 de agosto)</v>
      </c>
      <c r="I13" s="30" t="str">
        <f ca="1"/>
        <v>El que trae la biblia electrónica</v>
      </c>
      <c r="J13" s="30" t="str">
        <f ca="1"/>
        <v>La forestal (Del Bosque)</v>
      </c>
      <c r="K13" s="30" t="str">
        <f ca="1"/>
        <v>Ciro Pérez Rojas</v>
      </c>
      <c r="L13" s="30">
        <f ca="1"/>
        <v>525534091509</v>
      </c>
      <c r="M13" s="30" t="str">
        <f ca="1"/>
        <v>perezrojasciro7@gmail.com</v>
      </c>
      <c r="N13" s="30" t="str">
        <f ca="1"/>
        <v>Ayudante en general (en lo que se necesita)</v>
      </c>
      <c r="O13" s="30" t="str">
        <f ca="1"/>
        <v>Mi familia conoció del señor cuando yo tenía 7 años en una obra del día del niñ que presentaron en el deportivo, desde ahí mi familia empezó asistir a la iglesia y conforme iba creciendo iba entendiendo el señor Jesús murió por nosotros y ala edad de 12-13 años acepte a cristo en mi corazón.</v>
      </c>
      <c r="P13" s="30" t="str">
        <f ca="1"/>
        <v>He ido a los campamentos dese los 8 años hasta el campamento que fue en pandemia, años pasados he querido ir a servir al campamento pero no había podido ir</v>
      </c>
      <c r="Q13" s="30" t="str">
        <f ca="1"/>
        <v>No</v>
      </c>
      <c r="R13" s="30">
        <v>0</v>
      </c>
      <c r="S13" s="30" t="str">
        <f ca="1"/>
        <v>No</v>
      </c>
      <c r="T13" s="30">
        <v>0</v>
      </c>
      <c r="U13" s="30" t="str">
        <f ca="1"/>
        <v>Me especialice en lo de belleza en general</v>
      </c>
      <c r="V13" s="30" t="str">
        <f ca="1"/>
        <v>Maquillaje, micropigmentación, uñas acrílicas</v>
      </c>
      <c r="W13" s="16" t="str">
        <f ca="1"/>
        <v>B. Me gusta animar a las personas, C. Suelo buscar que el trabajo se realice en equipo, E. Me gusta el trabajo con niños, I. Se me facilita el trabajo físico, K. Soy creativo (a)</v>
      </c>
      <c r="X13" s="16" t="str">
        <f ca="1"/>
        <v>Desde los 8 hasta el año 2019</v>
      </c>
      <c r="Y13" s="30">
        <v>0</v>
      </c>
      <c r="Z13" s="23" t="s">
        <v>47</v>
      </c>
      <c r="AA13" s="23" t="s">
        <v>25</v>
      </c>
      <c r="AB13" s="23"/>
      <c r="AC13" s="23"/>
      <c r="AD13" s="23"/>
      <c r="AE13" s="23"/>
      <c r="AF13" s="23"/>
      <c r="AG13" s="23"/>
      <c r="AH13" s="23"/>
      <c r="AI13" s="23"/>
      <c r="AJ13" s="16" t="s">
        <v>48</v>
      </c>
      <c r="AK13" s="16"/>
      <c r="AL13" s="17"/>
    </row>
    <row r="14" spans="1:38" ht="89.25" x14ac:dyDescent="0.35">
      <c r="A14" s="9">
        <v>13</v>
      </c>
      <c r="B14" s="30" t="str">
        <f ca="1"/>
        <v>Adriana, Esquivel Flores</v>
      </c>
      <c r="C14" s="31">
        <f ca="1"/>
        <v>18</v>
      </c>
      <c r="D14" s="30" t="str">
        <f ca="1"/>
        <v>Mujer</v>
      </c>
      <c r="E14" s="30" t="str">
        <f ca="1"/>
        <v>Queretaro, Mexico</v>
      </c>
      <c r="F14" s="30" t="str">
        <f ca="1"/>
        <v>phoebeesquivel06@gmail.com</v>
      </c>
      <c r="G14" s="30">
        <f ca="1"/>
        <v>526241572210</v>
      </c>
      <c r="H14" s="30" t="str">
        <f ca="1"/>
        <v>Toda la temporada (07 de Julio al 16 de agosto)</v>
      </c>
      <c r="I14" s="30" t="str">
        <f ca="1"/>
        <v>Aplicación Glorify</v>
      </c>
      <c r="J14" s="30" t="str">
        <f ca="1"/>
        <v>Monte horeb</v>
      </c>
      <c r="K14" s="30" t="str">
        <f ca="1"/>
        <v>Pastor Arturo Sota</v>
      </c>
      <c r="L14" s="30">
        <f ca="1"/>
        <v>527714808284</v>
      </c>
      <c r="M14" s="30" t="str">
        <f ca="1"/>
        <v>pastorarturosoto@gmail.com</v>
      </c>
      <c r="N14" s="30" t="str">
        <f ca="1"/>
        <v>Cuándo era la escuelita bíblica ayudaba a poner los bailables y la activación física</v>
      </c>
      <c r="O14" s="30" t="str">
        <f ca="1"/>
        <v>Pues yo me aparte de Dios cuando me fui a vivir con mi mamá a Los Cabos dejé de ir a la iglesia, hasta que de nuevo fui al campamento y antes de que me dejaran mi hermana me dijo que abriera mi corazón porque yo solo dije que quería ir por los juegos al paso de la semana el predicador parecía que me hablaba solo a mí y de mi situación así que acepté a Cristo como mi salvador y que sin él no puedo sola</v>
      </c>
      <c r="P14" s="30" t="str">
        <f ca="1"/>
        <v>Porque me gusta ayudar y servir a los demás</v>
      </c>
      <c r="Q14" s="30" t="str">
        <f ca="1"/>
        <v>Si</v>
      </c>
      <c r="R14" s="30" t="str">
        <f ca="1"/>
        <v>Tocho bandera</v>
      </c>
      <c r="S14" s="30" t="str">
        <f ca="1"/>
        <v>No</v>
      </c>
      <c r="T14" s="30">
        <v>0</v>
      </c>
      <c r="U14" s="30" t="str">
        <f ca="1"/>
        <v>Por ahorita nada</v>
      </c>
      <c r="V14" s="30" t="str">
        <f ca="1"/>
        <v>Soy creativo y me gusta estar ocupada</v>
      </c>
      <c r="W14" s="16" t="str">
        <f ca="1"/>
        <v>A. Soy un discipulador activo, B. Me gusta animar a las personas, C. Suelo buscar que el trabajo se realice en equipo, D. Me gustan los deportes, E. Me gusta el trabajo con niños, H. Soy organizado (a), I. Se me facilita el trabajo físico, J. Me gusta la atención a las personas, K. Soy creativo (a), N. Suelo llevar el liderazgo en un grupo</v>
      </c>
      <c r="X14" s="16" t="str">
        <f ca="1"/>
        <v>En varias temporadas</v>
      </c>
      <c r="Y14" s="30">
        <v>0</v>
      </c>
      <c r="Z14" s="23" t="s">
        <v>25</v>
      </c>
      <c r="AA14" s="23"/>
      <c r="AB14" s="23"/>
      <c r="AC14" s="23"/>
      <c r="AD14" s="23"/>
      <c r="AE14" s="23"/>
      <c r="AF14" s="23"/>
      <c r="AG14" s="23"/>
      <c r="AH14" s="23"/>
      <c r="AI14" s="23"/>
      <c r="AJ14" s="16" t="s">
        <v>49</v>
      </c>
      <c r="AK14" s="16"/>
      <c r="AL14" s="17"/>
    </row>
    <row r="15" spans="1:38" ht="12.75" x14ac:dyDescent="0.35">
      <c r="A15" s="9">
        <v>14</v>
      </c>
      <c r="B15" s="30" t="str">
        <f ca="1"/>
        <v>Jesus Adrian, Saucedo Hernandez</v>
      </c>
      <c r="C15" s="31">
        <f ca="1"/>
        <v>21</v>
      </c>
      <c r="D15" s="30" t="str">
        <f ca="1"/>
        <v>Hombre</v>
      </c>
      <c r="E15" s="30" t="str">
        <f ca="1"/>
        <v>Mexico City, Mexico</v>
      </c>
      <c r="F15" s="30" t="str">
        <f ca="1"/>
        <v>jsaucedoh19@gmail.com</v>
      </c>
      <c r="G15" s="30">
        <f ca="1"/>
        <v>523319729815</v>
      </c>
      <c r="H15" s="30" t="str">
        <f ca="1"/>
        <v>Semana de entrenamiento (07 - 13) Julio, Comunidad Jóvenes + 18 (14-19) Julio, Semana de niños y niñas (21-25) Julio, Jóvenes de 13 – 17 años / SEM1/ (28 Julio a 02 de agosto), Jóvenes de 13 – 17 años / SEM2/ (4 - 09 agosto), Jóvenes de 13 – 17 años / SEM3/ (11 - 16 agosto), Toda la temporada (07 de Julio al 16 de agosto)</v>
      </c>
      <c r="I15" s="30" t="str">
        <f ca="1"/>
        <v>Quiet Time</v>
      </c>
      <c r="J15" s="30" t="str">
        <f ca="1"/>
        <v>G3:16 Satelite</v>
      </c>
      <c r="K15" s="30" t="str">
        <f ca="1"/>
        <v>Carlos Alberto Lopez de Nava</v>
      </c>
      <c r="L15" s="30">
        <f ca="1"/>
        <v>525554321356</v>
      </c>
      <c r="M15" s="30" t="str">
        <f ca="1"/>
        <v>carlos_lopezn@yahoo.com.mx</v>
      </c>
      <c r="N15" s="30" t="str">
        <f ca="1"/>
        <v>En este momento ninguno</v>
      </c>
      <c r="O15" s="30" t="str">
        <f ca="1"/>
        <v>Cuando yo era muy pequeño de alrededor de 1 año o 2, mi familia llego a Cristo, por lo que practicamente crecí en una cuna cristiana, ibamos todos los domingos a la iglesia, mi familia sería en distintas areas y yo me sabía todas las historias, por lo que por muchos años creí que era salvo y que con eso seria suficiente para ir al cielo, además de que me creía bueno,  sin embargo, cuando inicié la adolecencia comencé a tener muchos problemas en mi casa, en mi escuela, mi familia atravesba un situción complicada y comencé a questionarme muchas cosas, incluyendo si era cierto que si moría, ira al cielo. Estos pensamientos comenzaron a ser cada vez mas recurrentes llegando casi al extremo de convertirse en crisis de ansiedad y esto representaba un miedo muy grande en mi. Esto se mantuvo hasta que llegó la CEM del 2018, que tenía por tema "The Door". Donde se habló mucho en las predicas de la noche acerca de la importancia de tomar una desición real acerca de nuestra salvavión y nuestra entrega a Dios, recuerdo que Paul, el predicador, nos dijo que en algún momento la puerta se iba a cerrar y no podiamos estar en medio o jugando a entrar y salir, porque llegaría ese momento y la puerta una vez que se cerrara ya no se volvería a abrir y  no ibamos a poder cambiar ya nada. Esa desición sería la definitiva.
Esto quizas iba mas enfocado a que decidieramos entregar nuestra vida de forma real a Dios y no coquetearamos con el mundo, por muy atractivo que pareciera pero en mi caso me ayudó a darme cuenta que ni siquiera había tomado la decisón de aceptarlo como mi salvador, de arrepentirme genuinamente ni de tener una relación real y sobre todo personal con el.</v>
      </c>
      <c r="P15" s="30" t="str">
        <f ca="1"/>
        <v>Desde hace un tiempo he tenido las ganas de servir a Dios sin importar el área, sin embargo, usualemente solo es posible compartiendo el evangelio con mis compañeros de escuela y servicio social. Así que me gusta aprovechar las oportunidades que se presentan para servir de otra forma o en otro contexto. Además PV es un lugar especial para mi de alguna forma porque fue el lugar donde por fin entendí la verdad del evangelio y porque he podido vivir mucha cosas ahí. Algunas no tan lindas pero que sin duda me han ayudado a crecer o entender que cosas que tenía que cambiar. Y por último, si bien no importa de que forma sirvamos o en donde, es sumamente alentador poder formar parte del equipo y ver como hay personas que pueden vivir algo sobrenatural con Dios o ver que hay personas que entienden la misma verdad que un día entendiste tu.  Y en base a mi corta experiencia muchas veces Dios te puede usar de formas que tu no te hubieras imaginado, o en áreas donde pensarías que nada que ver.</v>
      </c>
      <c r="Q15" s="30" t="str">
        <f ca="1"/>
        <v>Si</v>
      </c>
      <c r="R15" s="30" t="str">
        <f ca="1"/>
        <v>Crossfit/Halterofilia</v>
      </c>
      <c r="S15" s="30" t="str">
        <f ca="1"/>
        <v>No</v>
      </c>
      <c r="T15" s="30">
        <v>0</v>
      </c>
      <c r="U15" s="30" t="str">
        <f ca="1"/>
        <v>Estoy cursando el 8vo semestre de Ingeniería en control y automatización</v>
      </c>
      <c r="V15" s="30" t="str">
        <f ca="1"/>
        <v>Soy relativamente bueno para coordinar o proponer soluciones en un equipo</v>
      </c>
      <c r="W15" s="16" t="str">
        <f ca="1"/>
        <v>B. Me gusta animar a las personas, C. Suelo buscar que el trabajo se realice en equipo, D. Me gustan los deportes, E. Me gusta el trabajo con niños, H. Soy organizado (a), I. Se me facilita el trabajo físico, J. Me gusta la atención a las personas, O. Puedo enseñar con facilidad</v>
      </c>
      <c r="X15" s="16" t="str">
        <f ca="1"/>
        <v>Si, asistí a las ediciones del 2018, 2019, 2022 y 2023. Y formé parte del equipo en 2023 Y 2024.</v>
      </c>
      <c r="Y15" s="30">
        <v>0</v>
      </c>
      <c r="Z15" s="23" t="s">
        <v>50</v>
      </c>
      <c r="AA15" s="23"/>
      <c r="AB15" s="23"/>
      <c r="AC15" s="23"/>
      <c r="AD15" s="23"/>
      <c r="AE15" s="23"/>
      <c r="AF15" s="23" t="s">
        <v>45</v>
      </c>
      <c r="AG15" s="23"/>
      <c r="AH15" s="23"/>
      <c r="AI15" s="23"/>
      <c r="AJ15" s="16"/>
      <c r="AK15" s="16"/>
      <c r="AL15" s="17"/>
    </row>
    <row r="16" spans="1:38" ht="38.25" x14ac:dyDescent="0.35">
      <c r="A16" s="9">
        <v>15</v>
      </c>
      <c r="B16" s="30" t="str">
        <f ca="1"/>
        <v>Lizeth, Ordoñez Duran</v>
      </c>
      <c r="C16" s="31">
        <f ca="1"/>
        <v>17</v>
      </c>
      <c r="D16" s="30" t="str">
        <f ca="1"/>
        <v>Mujer</v>
      </c>
      <c r="E16" s="30" t="str">
        <f ca="1"/>
        <v>Veracruz, Mexico</v>
      </c>
      <c r="F16" s="30" t="str">
        <f ca="1"/>
        <v>marladuraan@icloud.com</v>
      </c>
      <c r="G16" s="30">
        <f ca="1"/>
        <v>522722461793</v>
      </c>
      <c r="H16" s="30" t="str">
        <f ca="1"/>
        <v>Semana de entrenamiento (07 - 13) Julio, Comunidad Jóvenes + 18 (14-19) Julio, Semana de niños y niñas (21-25) Julio, Jóvenes de 13 – 17 años / SEM1/ (28 Julio a 02 de agosto), Jóvenes de 13 – 17 años / SEM2/ (4 - 09 agosto)</v>
      </c>
      <c r="I16" s="30" t="str">
        <f ca="1"/>
        <v>Grace for each day</v>
      </c>
      <c r="J16" s="30" t="str">
        <f ca="1"/>
        <v>Jesus de Nazaret</v>
      </c>
      <c r="K16" s="30" t="str">
        <f ca="1"/>
        <v>Fragoso quintero</v>
      </c>
      <c r="L16" s="30">
        <f ca="1"/>
        <v>522722822767</v>
      </c>
      <c r="M16" s="30" t="str">
        <f ca="1"/>
        <v>fragosoaltquint@gmail.com</v>
      </c>
      <c r="N16" s="30" t="str">
        <f ca="1"/>
        <v>Jovenes</v>
      </c>
      <c r="O16" s="30" t="str">
        <f ca="1"/>
        <v>Toda la vida me hablaron acerca de Jesus, pero nunca llegué a darle realmente importancia a lo que era entregar mi vida a él, a los 13 años comprendí mi necesidad por Cristo y decidí entregar mi vida a Dios y cambiar las cosas, dejarle mis preocupaciones y miedos y vivir una vida descansando en el.</v>
      </c>
      <c r="P16" s="30" t="str">
        <f ca="1"/>
        <v>Siempre eh asistido a Campamento como campero y me gustaría poder ser parte este año del servicio, estuve sirviendo en Bernal en la temporada de Convención estudiantil y fue una muy linda experiencia.</v>
      </c>
      <c r="Q16" s="30" t="str">
        <f ca="1"/>
        <v>Si</v>
      </c>
      <c r="R16" s="30" t="str">
        <f ca="1"/>
        <v>Natacion</v>
      </c>
      <c r="S16" s="30" t="str">
        <f ca="1"/>
        <v>No</v>
      </c>
      <c r="T16" s="30">
        <v>0</v>
      </c>
      <c r="U16" s="30" t="str">
        <f ca="1"/>
        <v>Universidad</v>
      </c>
      <c r="V16" s="30" t="str">
        <f ca="1"/>
        <v>Puedo apoyar en el área que sea necesario</v>
      </c>
      <c r="W16" s="16" t="str">
        <f ca="1"/>
        <v>B. Me gusta animar a las personas, C. Suelo buscar que el trabajo se realice en equipo, D. Me gustan los deportes, E. Me gusta el trabajo con niños, G. Soy más eficiente en el trabajo individual, J. Me gusta la atención a las personas, K. Soy creativo (a), M. Soy bueno (a) con los números, N. Suelo llevar el liderazgo en un grupo, O. Puedo enseñar con facilidad</v>
      </c>
      <c r="X16" s="16" t="str">
        <f ca="1"/>
        <v>2022 2023 2024</v>
      </c>
      <c r="Y16" s="30">
        <v>0</v>
      </c>
      <c r="Z16" s="23" t="s">
        <v>51</v>
      </c>
      <c r="AA16" s="23"/>
      <c r="AB16" s="23"/>
      <c r="AC16" s="23" t="s">
        <v>25</v>
      </c>
      <c r="AD16" s="23"/>
      <c r="AE16" s="23"/>
      <c r="AF16" s="23"/>
      <c r="AG16" s="23"/>
      <c r="AH16" s="23"/>
      <c r="AI16" s="23"/>
      <c r="AJ16" s="16" t="s">
        <v>52</v>
      </c>
      <c r="AK16" s="16"/>
      <c r="AL16" s="17"/>
    </row>
    <row r="17" spans="1:38" ht="12.75" x14ac:dyDescent="0.35">
      <c r="A17" s="9">
        <v>16</v>
      </c>
      <c r="B17" s="27" t="str">
        <f ca="1"/>
        <v>Juliette Marie Louise, Colas</v>
      </c>
      <c r="C17" s="32">
        <f ca="1"/>
        <v>23</v>
      </c>
      <c r="D17" s="27" t="str">
        <f ca="1"/>
        <v>Mujer</v>
      </c>
      <c r="E17" s="27" t="str">
        <f ca="1"/>
        <v>Ile-de-France, France</v>
      </c>
      <c r="F17" s="27" t="str">
        <f ca="1"/>
        <v>juliettecolas1@gmail.com</v>
      </c>
      <c r="G17" s="27">
        <f ca="1"/>
        <v>33782232182</v>
      </c>
      <c r="H17" s="27" t="str">
        <f ca="1"/>
        <v>Toda la temporada (07 de Julio al 16 de agosto)</v>
      </c>
      <c r="I17" s="27" t="str">
        <f ca="1"/>
        <v>Vivir hoy</v>
      </c>
      <c r="J17" s="27" t="str">
        <f ca="1"/>
        <v>iglesia evangélica de Paris Cardinet</v>
      </c>
      <c r="K17" s="27" t="str">
        <f ca="1"/>
        <v>Jonathan Vaughan</v>
      </c>
      <c r="L17" s="27">
        <f ca="1"/>
        <v>33641821712</v>
      </c>
      <c r="M17" s="27" t="str">
        <f ca="1"/>
        <v>jony.vaughan@gmail.com</v>
      </c>
      <c r="N17" s="27" t="str">
        <f ca="1"/>
        <v>donde se necesite ayuda</v>
      </c>
      <c r="O17" s="27" t="str">
        <f ca="1"/>
        <v>Acepté a Jesús en campamente en Suiza hace más de 12 años</v>
      </c>
      <c r="P17" s="27" t="str">
        <f ca="1"/>
        <v>Quiero ayudar donde me ponga</v>
      </c>
      <c r="Q17" s="27" t="str">
        <f ca="1"/>
        <v>Si</v>
      </c>
      <c r="R17" s="27" t="str">
        <f ca="1"/>
        <v>tennis, natación, ejercicio</v>
      </c>
      <c r="S17" s="27" t="str">
        <f ca="1"/>
        <v>No</v>
      </c>
      <c r="T17" s="27">
        <v>0</v>
      </c>
      <c r="U17" s="27" t="str">
        <f ca="1"/>
        <v>Primer año de maestria de educación y español</v>
      </c>
      <c r="V17" s="27" t="str">
        <f ca="1"/>
        <v>sé adaptarme</v>
      </c>
      <c r="W17" s="28" t="str">
        <f ca="1"/>
        <v>A. Soy un discipulador activo, B. Me gusta animar a las personas, C. Suelo buscar que el trabajo se realice en equipo, D. Me gustan los deportes, E. Me gusta el trabajo con niños, H. Soy organizado (a), J. Me gusta la atención a las personas, N. Suelo llevar el liderazgo en un grupo, O. Puedo enseñar con facilidad</v>
      </c>
      <c r="X17" s="28" t="str">
        <f ca="1"/>
        <v>no,pero he estudiado un año en el Instituto bíblico y he sido líder de cabaña el año pasado.</v>
      </c>
      <c r="Y17" s="27">
        <v>0</v>
      </c>
      <c r="Z17" s="29" t="s">
        <v>28</v>
      </c>
      <c r="AA17" s="29"/>
      <c r="AB17" s="29"/>
      <c r="AC17" s="29"/>
      <c r="AD17" s="23"/>
      <c r="AE17" s="23"/>
      <c r="AF17" s="23"/>
      <c r="AG17" s="23"/>
      <c r="AH17" s="23"/>
      <c r="AI17" s="23"/>
      <c r="AJ17" s="16" t="s">
        <v>53</v>
      </c>
      <c r="AK17" s="16"/>
      <c r="AL17" s="17"/>
    </row>
    <row r="18" spans="1:38" ht="38.25" x14ac:dyDescent="0.35">
      <c r="A18" s="9">
        <v>17</v>
      </c>
      <c r="B18" s="30" t="str">
        <f ca="1"/>
        <v>Natalia, Esteves Ríos</v>
      </c>
      <c r="C18" s="31">
        <f ca="1"/>
        <v>19</v>
      </c>
      <c r="D18" s="30" t="str">
        <f ca="1"/>
        <v>Mujer</v>
      </c>
      <c r="E18" s="30" t="str">
        <f ca="1"/>
        <v>Queretaro, Mexico</v>
      </c>
      <c r="F18" s="30" t="str">
        <f ca="1"/>
        <v>nataliaestevess4@gmail.com</v>
      </c>
      <c r="G18" s="30">
        <f ca="1"/>
        <v>524426103874</v>
      </c>
      <c r="H18" s="30" t="str">
        <f ca="1"/>
        <v>Semana de entrenamiento (07 - 13) Julio, Comunidad Jóvenes + 18 (14-19) Julio, Semana de niños y niñas (21-25) Julio, Jóvenes de 13 – 17 años / SEM1/ (28 Julio a 02 de agosto), Jóvenes de 13 – 17 años / SEM2/ (4 - 09 agosto)</v>
      </c>
      <c r="I18" s="30" t="str">
        <f ca="1"/>
        <v>New Morning Mercies de Paul David Tripp</v>
      </c>
      <c r="J18" s="30" t="str">
        <f ca="1"/>
        <v>Centro Evangélico Querétaro (CEQ)</v>
      </c>
      <c r="K18" s="30" t="str">
        <f ca="1"/>
        <v>José Armando Roncancio Sotelo</v>
      </c>
      <c r="L18" s="30">
        <f ca="1"/>
        <v>524421248667</v>
      </c>
      <c r="M18" s="30" t="str">
        <f ca="1"/>
        <v>joserons@yahoo.com.mx</v>
      </c>
      <c r="N18" s="30" t="str">
        <f ca="1"/>
        <v>Soy parte del equipo de multimedia de la Iglesia, donde puedo ayudar en la cabina a proyectar todo lo que se necesita, desde la letra de los himnos, presentaciones, anuncios, transmisión en vivo del culto, etc.</v>
      </c>
      <c r="O18" s="30" t="str">
        <f ca="1"/>
        <v>No nací en cuna cristiana, sin embargo, mi familia empezó a asistir a una iglesia cristiana cuando yo tenía 3 años. Mi memoria recuerda haber crecido escuchando las historias bíblicas, parábolas, la vida del Señor Jesús, etc. Después de un tiempo con mi familia nos mudamos aquí a Querétaro y buscamos una iglesia para seguir en el camino del Señor. Cuando llegué al CEQ tenía 10 años y tuve unas maestras de escuela dominical, Olguita y Eli, quienes no solo me enseñaban las historias de la Biblia, sino que me animaban a reflexionar sobre lo que aprendía, a desarrollar un pensamiento propio y a cultivar una relación personal con Dios. Con ayuda de sus clases y gracias a la guía del Espíritu Santo, entendí que no se trataba solo de memorizar versículos por un dulce, sino de descubrir el verdadero significado de la salvación y el propósito que el Señor tiene para mi vida. 
Es así como después de estas reflexiones, clases, guía de mis papás y tiempo a solas con el Señor, que tomé la decisión de ser bautizada para mostrar mi fe púbicamente en mi iglesia local en el verano de 2019. Estoy muy agradecida con Dios por dejarme ser su hija y mostrarme su amor incondicional, siempre a través de diferentes personas como mis papás y mi hermana, el grupo de jóvenes y sobre todo espero siempre compartir este gozo que me genera ser salva con las personas que Dios ponga en mi camino, ser de bendición para otros y hablarles del plan de salvación.</v>
      </c>
      <c r="P18" s="30" t="str">
        <f ca="1"/>
        <v>Me gustaría ser parte del equipo porque me entusiasma ayudar a que las personas que tienen el deseo de conocer al Señor lo hagan de una manera real, permitiendo que Él impacte sus vidas profundamente. Este año he sentido el deseo de servir a tiempo completo durante las vacaciones escolares, ya que es una gran oportunidad para dedicar ese tiempo libre.  Me considero una persona servicial, entusiasta y siento paz al ver cómo Dios está acomodando todo para que pueda servirle este verano.</v>
      </c>
      <c r="Q18" s="30" t="str">
        <f ca="1"/>
        <v>Si</v>
      </c>
      <c r="R18" s="30" t="str">
        <f ca="1"/>
        <v>natación</v>
      </c>
      <c r="S18" s="30" t="str">
        <f ca="1"/>
        <v>Si</v>
      </c>
      <c r="T18" s="30" t="str">
        <f ca="1"/>
        <v>batería y percusiones (básico)</v>
      </c>
      <c r="U18" s="30" t="str">
        <f ca="1"/>
        <v>Estudio Ingeniería en Alimentos, una disciplina enfocada en el análisis de la composición de los alimentos, como los macronutrientes que aportan, así como en el diseño, formulación y optimización de procesos industriales para su producción.</v>
      </c>
      <c r="V18" s="30" t="str">
        <f ca="1"/>
        <v>Cuento con habilidades en la cocina, preparación de platillos y postres. Manejo tecnologías de la información, tengo nivel B2 de inglés, resolución de problemas, optimización de recursos, creación de contenido, fotografía y edición de video.</v>
      </c>
      <c r="W18" s="16" t="str">
        <f ca="1"/>
        <v>B. Me gusta animar a las personas, C. Suelo buscar que el trabajo se realice en equipo, D. Me gustan los deportes, E. Me gusta el trabajo con niños, F. Soy eficiente en el trabajo con herramientas, equipos y maquinarias, H. Soy organizado (a), I. Se me facilita el trabajo físico, J. Me gusta la atención a las personas, K. Soy creativo (a), L. Soy bueno (a) en canto o algún instrumento, M. Soy bueno (a) con los números</v>
      </c>
      <c r="X18" s="16" t="str">
        <f ca="1"/>
        <v>Si, en la temporada de 2022</v>
      </c>
      <c r="Y18" s="30">
        <v>0</v>
      </c>
      <c r="Z18" s="23" t="s">
        <v>25</v>
      </c>
      <c r="AA18" s="23"/>
      <c r="AB18" s="23"/>
      <c r="AC18" s="23"/>
      <c r="AD18" s="23"/>
      <c r="AE18" s="23"/>
      <c r="AF18" s="23"/>
      <c r="AG18" s="23"/>
      <c r="AH18" s="23"/>
      <c r="AI18" s="23"/>
      <c r="AJ18" s="16" t="s">
        <v>54</v>
      </c>
      <c r="AK18" s="16"/>
      <c r="AL18" s="17"/>
    </row>
    <row r="19" spans="1:38" ht="38.25" x14ac:dyDescent="0.35">
      <c r="A19" s="9">
        <v>18</v>
      </c>
      <c r="B19" s="30" t="str">
        <f ca="1"/>
        <v>Laura, Dominguez Castro</v>
      </c>
      <c r="C19" s="31">
        <f ca="1"/>
        <v>18</v>
      </c>
      <c r="D19" s="30" t="str">
        <f ca="1"/>
        <v>Mujer</v>
      </c>
      <c r="E19" s="30" t="str">
        <f ca="1"/>
        <v>Durango, Mexico</v>
      </c>
      <c r="F19" s="30" t="str">
        <f ca="1"/>
        <v>analauradominguezcastro@gmail.com</v>
      </c>
      <c r="G19" s="30">
        <f ca="1"/>
        <v>528712267561</v>
      </c>
      <c r="H19" s="30" t="str">
        <f ca="1"/>
        <v>Semana de entrenamiento (07 - 13) Julio, Semana de niños y niñas (21-25) Julio</v>
      </c>
      <c r="I19" s="30" t="str">
        <f ca="1"/>
        <v>Pan diario</v>
      </c>
      <c r="J19" s="30" t="str">
        <f ca="1"/>
        <v>Gomez norte</v>
      </c>
      <c r="K19" s="30" t="str">
        <f ca="1"/>
        <v>Isaac Raul Saenz</v>
      </c>
      <c r="L19" s="30">
        <f ca="1"/>
        <v>526251304896</v>
      </c>
      <c r="M19" s="30" t="str">
        <f ca="1"/>
        <v>isacraul_48@hotmail.com</v>
      </c>
      <c r="N19" s="30" t="str">
        <f ca="1"/>
        <v>Servicio con niños</v>
      </c>
      <c r="O19" s="30" t="str">
        <f ca="1"/>
        <v>A pesar de haber nacido en una familia cristiana, el evangelio siempre fue una cosa, una simple cosa más de la que escuchaba diariamente, no fue hasta que tuve 15 años, cuando conocí al señor personalmente, después de tener tiempo con muchas cargas y darme cuenta que sola no podía, y después
 de examinar mi vida me di cuenta de mi gran necesidad y de mi gran vacío que tenía sin el señor.Fue así como con 15 años acepte el gran regalo de la salvación que nos ofrece el señor jesus.La vida no es fácil, pero con el señor me ha echo entender que todo es pasajero y todo pasará menos él</v>
      </c>
      <c r="P19" s="30" t="str">
        <f ca="1"/>
        <v>Me encantaría ser parte de la obra del señor, y de anunciar su evangelio, me encantaría convivir con jóvenes que tienen el mismo deseo de servir al señor, y poder disfrutar de lo lindo que es la comunión, y lo bonito de poder ayudar a los demás, con un corazón, dispuesto para lo que el señor me quiera mostrar por medio de ser voluntariado ayudando a otros.</v>
      </c>
      <c r="Q19" s="30" t="str">
        <f ca="1"/>
        <v>Si</v>
      </c>
      <c r="R19" s="30" t="str">
        <f ca="1"/>
        <v>Entreno tocho, juego volley y futbol</v>
      </c>
      <c r="S19" s="30" t="str">
        <f ca="1"/>
        <v>No</v>
      </c>
      <c r="T19" s="30">
        <v>0</v>
      </c>
      <c r="U19" s="30" t="str">
        <f ca="1"/>
        <v>Estoy en una escuela cristiana, y estoy en preparatoria</v>
      </c>
      <c r="V19" s="30" t="str">
        <f ca="1"/>
        <v>Me gusta mucho hacer deporte, hago pasteles, y horeno me gusta hacer manualidades, tmb cantar</v>
      </c>
      <c r="W19" s="16" t="str">
        <f ca="1"/>
        <v>B. Me gusta animar a las personas, C. Suelo buscar que el trabajo se realice en equipo, D. Me gustan los deportes, E. Me gusta el trabajo con niños, G. Soy más eficiente en el trabajo individual, I. Se me facilita el trabajo físico, J. Me gusta la atención a las personas, K. Soy creativo (a), O. Puedo enseñar con facilidad</v>
      </c>
      <c r="X19" s="16" t="str">
        <f ca="1"/>
        <v>Sii, en 18+</v>
      </c>
      <c r="Y19" s="30">
        <v>0</v>
      </c>
      <c r="Z19" s="23" t="s">
        <v>47</v>
      </c>
      <c r="AA19" s="23" t="s">
        <v>25</v>
      </c>
      <c r="AB19" s="23"/>
      <c r="AC19" s="23"/>
      <c r="AD19" s="23"/>
      <c r="AE19" s="23"/>
      <c r="AF19" s="23"/>
      <c r="AG19" s="23"/>
      <c r="AH19" s="23"/>
      <c r="AI19" s="23"/>
      <c r="AJ19" s="16" t="s">
        <v>55</v>
      </c>
      <c r="AK19" s="16"/>
      <c r="AL19" s="17"/>
    </row>
    <row r="20" spans="1:38" ht="51" x14ac:dyDescent="0.35">
      <c r="A20" s="9">
        <v>19</v>
      </c>
      <c r="B20" s="30" t="str">
        <f ca="1"/>
        <v>Alison, Soto González</v>
      </c>
      <c r="C20" s="31">
        <f ca="1"/>
        <v>17</v>
      </c>
      <c r="D20" s="30" t="str">
        <f ca="1"/>
        <v>Mujer</v>
      </c>
      <c r="E20" s="30" t="str">
        <f ca="1"/>
        <v>Queretaro, Mexico</v>
      </c>
      <c r="F20" s="30" t="str">
        <f ca="1"/>
        <v>Ali.zbint@gmail.com</v>
      </c>
      <c r="G20" s="30">
        <f ca="1"/>
        <v>524425495265</v>
      </c>
      <c r="H20" s="30" t="str">
        <f ca="1"/>
        <v>Semana de entrenamiento (07 - 13) Julio, Comunidad Jóvenes + 18 (14-19) Julio, Jóvenes de 13 – 17 años / SEM1/ (28 Julio a 02 de agosto), Jóvenes de 13 – 17 años / SEM2/ (4 - 09 agosto), Jóvenes de 13 – 17 años / SEM3/ (11 - 16 agosto)</v>
      </c>
      <c r="I20" s="30" t="str">
        <f ca="1"/>
        <v>Hora silenciosa PV Un-año interactivo devocional diario (para jóvenes)</v>
      </c>
      <c r="J20" s="30" t="str">
        <f ca="1"/>
        <v>Grace community</v>
      </c>
      <c r="K20" s="30" t="str">
        <f ca="1"/>
        <v>Oscar Mata</v>
      </c>
      <c r="L20" s="30">
        <f ca="1"/>
        <v>524424432103</v>
      </c>
      <c r="M20" s="30" t="str">
        <f ca="1"/>
        <v>Oskarmata@icloud.com</v>
      </c>
      <c r="N20" s="30" t="str">
        <f ca="1"/>
        <v>Formo parte del ministerio de alabanza los domingos y del grupo de jóvenes.</v>
      </c>
      <c r="O20" s="30" t="str">
        <f ca="1"/>
        <v>En mi testimonio, destaca un factor con el que aún lucho hoy en día. Este factor sería la autocondenación. Durante la mayor parte de mi vida, yo no entendía qué era tener fe o descansar en Dios. Nací en una familia cristiana, por lo que siempre oí hablar de Él, de la muerte y resurrección de su hijo Jesucristo, y la redención para la humanidad y acceso al padre que nos otorgó mediante su sacrificio en la cruz. Sin embargo, no fue sino hasta que cumplí 14 años, estando en medio de la depresión (en la que caí por las decisiones incorrectas que tomé), la oscuridad, la culpa y la ansiedad, que tuve un encuentro personal con Dios. No se supone que la relación con Dios sea una especia de religión. Eso sucede solo cuando nosotros lo convertimos en eso, que es lo que yo había estado viviendo. De alguna manera, me creí la mentira de que, al ser hija de cristianos, eso me convertía automáticamente en cristiana, mas Dios me mostró que estaba en un error. Yo disfruto mucho la lectura, y fue precisamente a través de un libro llamado Amor Redentor que Él me reveló su amor incondicional por mí. Mientras lo leía, lo sentí susurrarme que, sin importar cuántas veces o qué tan lejos corriera o me alejara de su protección, Él nunca dejaría de luchar por traerme de regreso a casa, o que cuando yo escogiera volver, me estaría esperando con los brazos abiertos, listo para perdonarme y borrar mis transgresiones. Hasta ese punto, yo había creído que obtendría y mantendría la salvación mediante obras, en lugar de por fe. Por tanto, cuando nada de lo que hice fue suficiente para llenar el vacío en mi alma, me agoté y me desvié del camino. Pero Dios disipó mis dudas y temor de ser imperdonable el día que terminé el libro. Caí de rodillas, hecha un mar de lágrimas, suplicándole que tomara mi vida en sus manos. “Nunca me he ido, hija.” “Suelta todo y entrégamelo a mí”, esas fueron sus palabras para mí. Y por fin comprendí quién era ese Dios del que había oído toda mi vida, y qué significaba que estaba lleno de amor, perdón y misericordia por la humanidad. Los años que sucedieron a ese evento, han sido una serie de altibajos, pruebas y victorias, aprendizaje y crecimiento. No ha sido nada perfecto, pero desde ese día cuento con la certeza de que somos Él y yo contra la corriente del mundo y los ataques del enemigo. Ya probé y sentí en mi piel el placer y el tormento que el mundo tiene para ofrecer, y entiendo que no hay nada mejor para un ser humano que caminar con Cristo, dándole la gloria con nuestra vida. Asimismo, tengo un testimonio que evidencia la capacidad de Dios para generar un fruto hermoso incluso del más profundo y absoluto sufrimiento, ya que haber pasado por tantas pruebas tan joven, me ha equipado con experiencia y sabiduría otorgadas por Dios, que ahora me sirven de apoyo para testificar a otras personas, y exhortarlas a acercarse a Él.</v>
      </c>
      <c r="P20" s="30" t="str">
        <f ca="1"/>
        <v>Deseo servir como equipante esta temporada porque me gusta tomar cada oportunidad de servir a Dios que se me presenta. Además, me encantó la experiencia de ser parte del equipo de verano en la temporada pasada, cuando serví en la última semana de campamento, después de haber ido una semana como campera. Mi meta en un futuro no muy lejano es estudiar medicina (igualmente, con el objetivo de utilizar este conocimiento para servir y darle gloria a Dios), y confío plenamente en que, durante esos años que dedicaré a estudiar mi carrera, se presentarán muchas oportunidades de servir a Dios de diversas formas. Pero quisiera aprovechar esta etapa de mi juventud en la que cuento con más tiempo y libertad para servir, aprender, crecer y formar amistades que duren para siempre y honren al Señor, y pasar todo el verano en un campamento, rodeada de personas bajo el mismo sentir de poner su vida en servicio a Cristo, suena como la experiencia ideal. Una que recordaré durante el resto de mi vida.</v>
      </c>
      <c r="Q20" s="30" t="str">
        <f ca="1"/>
        <v>No</v>
      </c>
      <c r="R20" s="30">
        <v>0</v>
      </c>
      <c r="S20" s="30" t="str">
        <f ca="1"/>
        <v>Si</v>
      </c>
      <c r="T20" s="30" t="str">
        <f ca="1"/>
        <v>Toco guitarra, piano y ukulele.</v>
      </c>
      <c r="U20" s="30" t="str">
        <f ca="1"/>
        <v>Actualmente, me encuentro cursando mis estudios de bachillerato. No obstante, para cuando comience la temporada, ya me habré graduado de la preparatoria.</v>
      </c>
      <c r="V20" s="30" t="str">
        <f ca="1"/>
        <v>Mis habilidades son principalmente artísticas. Por ejemplo: cantar, bailar, componer, escribir, redactar, pintar, peinar, actuar, diseñar y manualidades. Además, hablo español e inglés con fluidez, y tengo un nivel básico-intermedio de francés.</v>
      </c>
      <c r="W20" s="16" t="str">
        <f ca="1"/>
        <v>B. Me gusta animar a las personas, E. Me gusta el trabajo con niños, G. Soy más eficiente en el trabajo individual, I. Se me facilita el trabajo físico, J. Me gusta la atención a las personas, K. Soy creativo (a), L. Soy bueno (a) en canto o algún instrumento</v>
      </c>
      <c r="X20" s="16" t="str">
        <f ca="1"/>
        <v>Sí. Fui campera en las últimas dos temporadas, además de ser equipante en la temporada pasada, después de haber ido una semana como campera.</v>
      </c>
      <c r="Y20" s="30">
        <v>0</v>
      </c>
      <c r="Z20" s="23" t="s">
        <v>26</v>
      </c>
      <c r="AA20" s="23"/>
      <c r="AB20" s="23" t="s">
        <v>25</v>
      </c>
      <c r="AC20" s="23"/>
      <c r="AD20" s="23"/>
      <c r="AE20" s="23"/>
      <c r="AF20" s="23"/>
      <c r="AG20" s="23"/>
      <c r="AH20" s="23"/>
      <c r="AI20" s="23"/>
      <c r="AJ20" s="16" t="s">
        <v>56</v>
      </c>
      <c r="AK20" s="16" t="s">
        <v>57</v>
      </c>
      <c r="AL20" s="17"/>
    </row>
    <row r="21" spans="1:38" ht="38.25" x14ac:dyDescent="0.35">
      <c r="A21" s="9">
        <v>20</v>
      </c>
      <c r="B21" s="30" t="str">
        <f ca="1"/>
        <v>Elide Sofía, López Hernández</v>
      </c>
      <c r="C21" s="31">
        <f ca="1"/>
        <v>16</v>
      </c>
      <c r="D21" s="30" t="str">
        <f ca="1"/>
        <v>Mujer</v>
      </c>
      <c r="E21" s="30" t="str">
        <f ca="1"/>
        <v>Puebla, Mexico</v>
      </c>
      <c r="F21" s="30" t="str">
        <f ca="1"/>
        <v>elidesofialopez26@gmail.com</v>
      </c>
      <c r="G21" s="30">
        <f ca="1"/>
        <v>522222081072</v>
      </c>
      <c r="H21" s="30" t="str">
        <f ca="1"/>
        <v>Semana de entrenamiento (07 - 13) Julio, Comunidad Jóvenes + 18 (14-19) Julio, Semana de niños y niñas (21-25) Julio</v>
      </c>
      <c r="I21" s="30" t="str">
        <f ca="1"/>
        <v>Mentiras que las jóvenes creen y la verdad que las hace libres</v>
      </c>
      <c r="J21" s="30" t="str">
        <f ca="1"/>
        <v>Eben-Ezer</v>
      </c>
      <c r="K21" s="30" t="str">
        <f ca="1"/>
        <v>Noé Jiménez Morales</v>
      </c>
      <c r="L21" s="30">
        <f ca="1"/>
        <v>522214344237</v>
      </c>
      <c r="M21" s="30" t="str">
        <f ca="1"/>
        <v>noe.jovi@hotmal.com</v>
      </c>
      <c r="N21" s="30" t="str">
        <f ca="1"/>
        <v>Ninguno</v>
      </c>
      <c r="O21" s="30" t="str">
        <f ca="1"/>
        <v>Desde pequeña he hido a la iglesia, y a mis 8 años mi tía platico conmigo sobre la salvación y acepte a Cristo en mi corazón</v>
      </c>
      <c r="P21" s="30" t="str">
        <f ca="1"/>
        <v>Porque el año pasado cuando fui de campera veia a los jovenes de mi edad apoyando, y me entró el interés por apoyar también, y llevarme una experiencia mas</v>
      </c>
      <c r="Q21" s="30" t="str">
        <f ca="1"/>
        <v>Si</v>
      </c>
      <c r="R21" s="30" t="str">
        <f ca="1"/>
        <v>Voleibol</v>
      </c>
      <c r="S21" s="30" t="str">
        <f ca="1"/>
        <v>Si</v>
      </c>
      <c r="T21" s="30" t="str">
        <f ca="1"/>
        <v>Guitarra y Teclado</v>
      </c>
      <c r="U21" s="30" t="str">
        <f ca="1"/>
        <v>Acualmente estoy estudiando la preparatoria</v>
      </c>
      <c r="V21" s="30" t="str">
        <f ca="1"/>
        <v>Hablidad para tocar instrumentos</v>
      </c>
      <c r="W21" s="16" t="str">
        <f ca="1"/>
        <v>B. Me gusta animar a las personas, C. Suelo buscar que el trabajo se realice en equipo, D. Me gustan los deportes, E. Me gusta el trabajo con niños, G. Soy más eficiente en el trabajo individual, I. Se me facilita el trabajo físico, J. Me gusta la atención a las personas, L. Soy bueno (a) en canto o algún instrumento, O. Puedo enseñar con facilidad</v>
      </c>
      <c r="X21" s="16" t="str">
        <f ca="1"/>
        <v>Si, en verano 2024</v>
      </c>
      <c r="Y21" s="30">
        <v>0</v>
      </c>
      <c r="Z21" s="23" t="s">
        <v>25</v>
      </c>
      <c r="AA21" s="23"/>
      <c r="AB21" s="23"/>
      <c r="AC21" s="23"/>
      <c r="AD21" s="23"/>
      <c r="AE21" s="23"/>
      <c r="AF21" s="23"/>
      <c r="AG21" s="23"/>
      <c r="AH21" s="23"/>
      <c r="AI21" s="23"/>
      <c r="AJ21" s="16" t="s">
        <v>58</v>
      </c>
      <c r="AK21" s="16"/>
      <c r="AL21" s="17"/>
    </row>
    <row r="22" spans="1:38" ht="12.75" x14ac:dyDescent="0.35">
      <c r="A22" s="9">
        <v>21</v>
      </c>
      <c r="B22" s="30" t="str">
        <f ca="1"/>
        <v>Paola Belén, Luis Ruíz</v>
      </c>
      <c r="C22" s="31">
        <f ca="1"/>
        <v>20</v>
      </c>
      <c r="D22" s="30" t="str">
        <f ca="1"/>
        <v>Mujer</v>
      </c>
      <c r="E22" s="30" t="str">
        <f ca="1"/>
        <v>Jalisco, Mexico</v>
      </c>
      <c r="F22" s="30" t="str">
        <f ca="1"/>
        <v>paobelen.246@gmail.com</v>
      </c>
      <c r="G22" s="30">
        <f ca="1"/>
        <v>523322549279</v>
      </c>
      <c r="H22" s="30" t="str">
        <f ca="1"/>
        <v>Toda la temporada (07 de Julio al 16 de agosto)</v>
      </c>
      <c r="I22" s="30" t="str">
        <f ca="1"/>
        <v>Él arte de tomar decisiones</v>
      </c>
      <c r="J22" s="30" t="str">
        <f ca="1"/>
        <v>Iglesia vida</v>
      </c>
      <c r="K22" s="30" t="str">
        <f ca="1"/>
        <v>Neftalí Rubió</v>
      </c>
      <c r="L22" s="30">
        <f ca="1"/>
        <v>524411036024</v>
      </c>
      <c r="M22" s="30" t="str">
        <f ca="1"/>
        <v>nefaly5@hotmail.com</v>
      </c>
      <c r="N22" s="30" t="str">
        <f ca="1"/>
        <v>Cafetería, multimedia y misiones</v>
      </c>
      <c r="O22" s="30" t="str">
        <f ca="1"/>
        <v>Yo vivía una vida de rebeldía y desobediencia, un día en un campamento mi consejera se acercó y me platico la razón por la cual Jesús vino a morir por nosotros, entendí y mi vida cambio, acepte a Cristo en mi vida y en mi corazón y mi vida cambio :)</v>
      </c>
      <c r="P22" s="30" t="str">
        <f ca="1"/>
        <v>Por servir a Dios</v>
      </c>
      <c r="Q22" s="30" t="str">
        <f ca="1"/>
        <v>Si</v>
      </c>
      <c r="R22" s="30" t="str">
        <f ca="1"/>
        <v>Voleibol</v>
      </c>
      <c r="S22" s="30" t="str">
        <f ca="1"/>
        <v>No</v>
      </c>
      <c r="T22" s="30">
        <v>0</v>
      </c>
      <c r="U22" s="30" t="str">
        <f ca="1"/>
        <v>Diseño de interiores</v>
      </c>
      <c r="V22" s="30" t="str">
        <f ca="1"/>
        <v>Bailar, trabajar lo que sea y aprender</v>
      </c>
      <c r="W22" s="16" t="str">
        <f ca="1"/>
        <v>B. Me gusta animar a las personas, C. Suelo buscar que el trabajo se realice en equipo, D. Me gustan los deportes, I. Se me facilita el trabajo físico, K. Soy creativo (a)</v>
      </c>
      <c r="X22" s="16" t="str">
        <f ca="1"/>
        <v>Si. 2022 y 2023</v>
      </c>
      <c r="Y22" s="30">
        <v>0</v>
      </c>
      <c r="Z22" s="23" t="s">
        <v>26</v>
      </c>
      <c r="AA22" s="23"/>
      <c r="AB22" s="23"/>
      <c r="AC22" s="23"/>
      <c r="AD22" s="23"/>
      <c r="AE22" s="23"/>
      <c r="AF22" s="23"/>
      <c r="AG22" s="23"/>
      <c r="AH22" s="23"/>
      <c r="AI22" s="23"/>
      <c r="AJ22" s="16"/>
      <c r="AK22" s="16"/>
      <c r="AL22" s="17"/>
    </row>
    <row r="23" spans="1:38" ht="12.75" x14ac:dyDescent="0.35">
      <c r="A23" s="9">
        <v>22</v>
      </c>
      <c r="B23" s="20" t="str">
        <f ca="1"/>
        <v>sarah, Watson</v>
      </c>
      <c r="C23" s="33">
        <f ca="1"/>
        <v>17</v>
      </c>
      <c r="D23" s="20" t="str">
        <f ca="1"/>
        <v>Mujer</v>
      </c>
      <c r="E23" s="20" t="str">
        <f ca="1"/>
        <v>Durango, Mexico</v>
      </c>
      <c r="F23" s="20" t="str">
        <f ca="1"/>
        <v>sarahwatoso@gmail.com</v>
      </c>
      <c r="G23" s="20">
        <f ca="1"/>
        <v>526771079935</v>
      </c>
      <c r="H23" s="20" t="str">
        <f ca="1"/>
        <v>Comunidad Jóvenes + 18 (14-19) Julio, Semana de niños y niñas (21-25) Julio, Jóvenes de 13 – 17 años / SEM1/ (28 Julio a 02 de agosto), Jóvenes de 13 – 17 años / SEM2/ (4 - 09 agosto), Jóvenes de 13 – 17 años / SEM3/ (11 - 16 agosto)</v>
      </c>
      <c r="I23" s="20" t="str">
        <f ca="1"/>
        <v>Hora Silenciosa</v>
      </c>
      <c r="J23" s="20" t="str">
        <f ca="1"/>
        <v>Gracia Sublime</v>
      </c>
      <c r="K23" s="20" t="str">
        <f ca="1"/>
        <v>Pastor Wilmar Watson</v>
      </c>
      <c r="L23" s="20">
        <f ca="1"/>
        <v>526771086308</v>
      </c>
      <c r="M23" s="20" t="str">
        <f ca="1"/>
        <v>gurneywatson75@gmail.com</v>
      </c>
      <c r="N23" s="20" t="str">
        <f ca="1"/>
        <v>Ministerio Infantil</v>
      </c>
      <c r="O23" s="20" t="str">
        <f ca="1"/>
        <v>Pues yo nací en una familia cristina y desde pequeña he tenido la palabra de Dios en mi vida. Pero pues no todo es perfecto, he batallado  con bastantes cosas pero últimamente he tenido una buena relación con Dios, Fue difícil pero ya estamos en los caminos de ÉL</v>
      </c>
      <c r="P23" s="20" t="str">
        <f ca="1"/>
        <v>Deseo ir a servir a este campa por la experiencia tan buena que es y por la convivencia que hay allá. No solamente por esto si no por que me gustar ayudar a la gente con lo que yo pueda.</v>
      </c>
      <c r="Q23" s="20" t="str">
        <f ca="1"/>
        <v>Si</v>
      </c>
      <c r="R23" s="20" t="str">
        <f ca="1"/>
        <v>Volleyball</v>
      </c>
      <c r="S23" s="20" t="str">
        <f ca="1"/>
        <v>No</v>
      </c>
      <c r="T23" s="20">
        <v>0</v>
      </c>
      <c r="U23" s="20" t="str">
        <f ca="1"/>
        <v>Estudio Prepa en linea</v>
      </c>
      <c r="V23" s="20" t="str">
        <f ca="1"/>
        <v>Trabajo en un negocio familiar.</v>
      </c>
      <c r="W23" s="21" t="str">
        <f ca="1"/>
        <v>B. Me gusta animar a las personas, D. Me gustan los deportes, E. Me gusta el trabajo con niños, H. Soy organizado (a), J. Me gusta la atención a las personas, L. Soy bueno (a) en canto o algún instrumento, O. Puedo enseñar con facilidad</v>
      </c>
      <c r="X23" s="21" t="str">
        <f ca="1"/>
        <v>Si, en 2022 y 2023</v>
      </c>
      <c r="Y23" s="20">
        <v>0</v>
      </c>
      <c r="Z23" s="22" t="s">
        <v>28</v>
      </c>
      <c r="AA23" s="22"/>
      <c r="AB23" s="22"/>
      <c r="AC23" s="22"/>
      <c r="AD23" s="23"/>
      <c r="AE23" s="23"/>
      <c r="AF23" s="23"/>
      <c r="AG23" s="23"/>
      <c r="AH23" s="23"/>
      <c r="AI23" s="23"/>
      <c r="AJ23" s="16" t="s">
        <v>59</v>
      </c>
      <c r="AK23" s="16"/>
      <c r="AL23" s="17"/>
    </row>
    <row r="24" spans="1:38" ht="12.75" x14ac:dyDescent="0.35">
      <c r="A24" s="9">
        <v>23</v>
      </c>
      <c r="B24" s="30" t="str">
        <f ca="1"/>
        <v>Gerardo Hiram, Martinez trejo</v>
      </c>
      <c r="C24" s="31">
        <f ca="1"/>
        <v>19</v>
      </c>
      <c r="D24" s="30" t="str">
        <f ca="1"/>
        <v>Hombre</v>
      </c>
      <c r="E24" s="30" t="str">
        <f ca="1"/>
        <v>Mexico City, Mexico</v>
      </c>
      <c r="F24" s="30" t="str">
        <f ca="1"/>
        <v>hiramgermtt03@gmail.com</v>
      </c>
      <c r="G24" s="30">
        <f ca="1"/>
        <v>525626247871</v>
      </c>
      <c r="H24" s="30" t="str">
        <f ca="1"/>
        <v>Toda la temporada (07 de Julio al 16 de agosto)</v>
      </c>
      <c r="I24" s="30" t="str">
        <f ca="1"/>
        <v>Hora silenciosa</v>
      </c>
      <c r="J24" s="30" t="str">
        <f ca="1"/>
        <v>Vida nueva para el mundo coapa</v>
      </c>
      <c r="K24" s="30" t="str">
        <f ca="1"/>
        <v>Gerardo Diaz</v>
      </c>
      <c r="L24" s="30">
        <f ca="1"/>
        <v>525525592449</v>
      </c>
      <c r="M24" s="30" t="str">
        <f ca="1"/>
        <v>geris1707@gmail.com</v>
      </c>
      <c r="N24" s="30" t="str">
        <f ca="1"/>
        <v>Por el momento no estoy sirviendo</v>
      </c>
      <c r="O24" s="30" t="str">
        <f ca="1"/>
        <v>Yo nací en cuna cristiana, toda mi vida estuve rodeado de cosas hacerca de la iglesia pero no lo comprendí bien hasta el 2018 que tomé una decisión de consagrar mi vida</v>
      </c>
      <c r="P24" s="30" t="str">
        <f ca="1"/>
        <v>Quiero dedicar mi verano a Dios para que otros conozcan de su palabra</v>
      </c>
      <c r="Q24" s="30" t="str">
        <f ca="1"/>
        <v>Si</v>
      </c>
      <c r="R24" s="30" t="str">
        <f ca="1"/>
        <v>Futbol americano</v>
      </c>
      <c r="S24" s="30" t="str">
        <f ca="1"/>
        <v>No</v>
      </c>
      <c r="T24" s="30">
        <v>0</v>
      </c>
      <c r="U24" s="30" t="str">
        <f ca="1"/>
        <v>Por el momento no estudio, presente exámenes de admisión a universidades</v>
      </c>
      <c r="V24" s="30" t="str">
        <f ca="1"/>
        <v>Trabajo de maestro para chavos que van a hacer su examen de admisión a la prepa</v>
      </c>
      <c r="W24" s="16" t="str">
        <f ca="1"/>
        <v>B. Me gusta animar a las personas, D. Me gustan los deportes, H. Soy organizado (a), I. Se me facilita el trabajo físico, K. Soy creativo (a), N. Suelo llevar el liderazgo en un grupo, O. Puedo enseñar con facilidad</v>
      </c>
      <c r="X24" s="16">
        <f ca="1"/>
        <v>2018</v>
      </c>
      <c r="Y24" s="30">
        <v>0</v>
      </c>
      <c r="Z24" s="23" t="s">
        <v>50</v>
      </c>
      <c r="AA24" s="23"/>
      <c r="AB24" s="23"/>
      <c r="AC24" s="23"/>
      <c r="AD24" s="23"/>
      <c r="AE24" s="23"/>
      <c r="AF24" s="23"/>
      <c r="AG24" s="23"/>
      <c r="AH24" s="23"/>
      <c r="AI24" s="23"/>
      <c r="AJ24" s="16"/>
      <c r="AK24" s="16"/>
      <c r="AL24" s="17"/>
    </row>
    <row r="25" spans="1:38" ht="12.75" x14ac:dyDescent="0.35">
      <c r="A25" s="9">
        <v>24</v>
      </c>
      <c r="B25" s="30" t="str">
        <f ca="1"/>
        <v>Daniel, Lopez Juarez</v>
      </c>
      <c r="C25" s="31">
        <f ca="1"/>
        <v>23</v>
      </c>
      <c r="D25" s="30" t="str">
        <f ca="1"/>
        <v>Hombre</v>
      </c>
      <c r="E25" s="30" t="str">
        <f ca="1"/>
        <v>Guanajuato, Mexico</v>
      </c>
      <c r="F25" s="30" t="str">
        <f ca="1"/>
        <v>daniel.lojua@icloud.com</v>
      </c>
      <c r="G25" s="30">
        <f ca="1"/>
        <v>524641793383</v>
      </c>
      <c r="H25" s="30" t="str">
        <f ca="1"/>
        <v>Jóvenes de 13 – 17 años / SEM1/ (28 Julio a 02 de agosto), Jóvenes de 13 – 17 años / SEM2/ (4 - 09 agosto), Jóvenes de 13 – 17 años / SEM3/ (11 - 16 agosto)</v>
      </c>
      <c r="I25" s="30" t="str">
        <f ca="1"/>
        <v>Quiet Time</v>
      </c>
      <c r="J25" s="30" t="str">
        <f ca="1"/>
        <v>Príncipe de Paz</v>
      </c>
      <c r="K25" s="30" t="str">
        <f ca="1"/>
        <v>Enrique Hernández Nava</v>
      </c>
      <c r="L25" s="30">
        <f ca="1"/>
        <v>524641006740</v>
      </c>
      <c r="M25" s="30" t="str">
        <f ca="1"/>
        <v>enrikeh59@yahoo.com.mx</v>
      </c>
      <c r="N25" s="30" t="str">
        <f ca="1"/>
        <v>Tecnología / Multimedia</v>
      </c>
      <c r="O25" s="30" t="str">
        <f ca="1"/>
        <v>Cuando tenía 16 años, en un campamento de mi convención regional de jóvenes me di cuenta que a pesar de nacer en cuna cristiana, tenía que aceptar a Jesús como mi salvador para ser limpiado de mis pecados, es por eso que desde entonces he decidido servirle.</v>
      </c>
      <c r="P25" s="30" t="str">
        <f ca="1"/>
        <v>Quiero ser usado a través de mis dones y talentos para que más personas puedan escuchar de Dios y reciban el mensaje de salvación</v>
      </c>
      <c r="Q25" s="30" t="str">
        <f ca="1"/>
        <v>Si</v>
      </c>
      <c r="R25" s="30" t="str">
        <f ca="1"/>
        <v>Fútbol y Volleyball</v>
      </c>
      <c r="S25" s="30" t="str">
        <f ca="1"/>
        <v>No</v>
      </c>
      <c r="T25" s="30">
        <v>0</v>
      </c>
      <c r="U25" s="30" t="str">
        <f ca="1"/>
        <v>Mercadotecnia y Publicidad</v>
      </c>
      <c r="V25" s="30" t="str">
        <f ca="1"/>
        <v>Fotografía, vídeo y mercadotecnia</v>
      </c>
      <c r="W25" s="16" t="str">
        <f ca="1"/>
        <v>C. Suelo buscar que el trabajo se realice en equipo, D. Me gustan los deportes, K. Soy creativo (a), O. Puedo enseñar con facilidad</v>
      </c>
      <c r="X25" s="16" t="str">
        <f ca="1"/>
        <v>2017 y 2018</v>
      </c>
      <c r="Y25" s="30">
        <v>0</v>
      </c>
      <c r="Z25" s="23" t="s">
        <v>50</v>
      </c>
      <c r="AA25" s="23"/>
      <c r="AB25" s="23"/>
      <c r="AC25" s="23"/>
      <c r="AD25" s="23"/>
      <c r="AE25" s="23"/>
      <c r="AF25" s="23"/>
      <c r="AG25" s="23"/>
      <c r="AH25" s="23"/>
      <c r="AI25" s="23"/>
      <c r="AJ25" s="16"/>
      <c r="AK25" s="16"/>
      <c r="AL25" s="17"/>
    </row>
    <row r="26" spans="1:38" ht="63.75" x14ac:dyDescent="0.35">
      <c r="A26" s="9">
        <v>25</v>
      </c>
      <c r="B26" s="30" t="str">
        <f ca="1"/>
        <v>nathalie, moralkes nuñez</v>
      </c>
      <c r="C26" s="31">
        <f ca="1"/>
        <v>21</v>
      </c>
      <c r="D26" s="30" t="str">
        <f ca="1"/>
        <v>Mujer</v>
      </c>
      <c r="E26" s="30" t="str">
        <f ca="1"/>
        <v>Mexico City, Mexico</v>
      </c>
      <c r="F26" s="30" t="str">
        <f ca="1"/>
        <v>natalym728@gmail.com</v>
      </c>
      <c r="G26" s="30">
        <f ca="1"/>
        <v>524131434547</v>
      </c>
      <c r="H26" s="30" t="str">
        <f ca="1"/>
        <v>Toda la temporada (07 de Julio al 16 de agosto)</v>
      </c>
      <c r="I26" s="30" t="str">
        <f ca="1"/>
        <v>diferentes devocionales en holy bible</v>
      </c>
      <c r="J26" s="30" t="str">
        <f ca="1"/>
        <v>vida nueva</v>
      </c>
      <c r="K26" s="30" t="str">
        <f ca="1"/>
        <v>Mario del Valle</v>
      </c>
      <c r="L26" s="30">
        <f ca="1"/>
        <v>525624927344</v>
      </c>
      <c r="M26" s="30" t="str">
        <f ca="1"/>
        <v>Mariohdelvalle@gmail.com</v>
      </c>
      <c r="N26" s="30" t="str">
        <f ca="1"/>
        <v>discipula</v>
      </c>
      <c r="O26" s="30" t="str">
        <f ca="1"/>
        <v>cuando tenia 13 años acepte a Cristo en mi corazon y desde ese momento ha sido un proceso duro y largo que me ha levado a acercarme mas a el, a conocerle mas y a aprender que Dios me ama y no quiere que me aleje de el, a pesar de haber cometido tantos errores a lo largo de mi vida, Dios siempre me mostro su gran amor mostrandome que estaba perdida y debia volver a el.</v>
      </c>
      <c r="P26" s="30" t="str">
        <f ca="1"/>
        <v>hace un mes pase cosas muy fuertes que voltearon mi mundo de cabeza, Dios siempre estuvo ahi para ayudarme, pero ahora realmente estoy 100% disponible para servir al señor, es algo que anhelo, que Dios me ponga en un lugar que sea su voluntad para sirvirle a el y no a mi, ultimamente me he sentido inconforme con mis planes, puetso que se que son mios y que son sueños que tengo, pero me he sentido asi porque quiere darle a todo lo que haga un sentido espirutual, ya no quiero crecerme a mi, sino a Cristo y creo que servir en el campa puede abrirme puertas que no habia considerado o que Dios quiere que vea, sigo orando para que Dios me muestre lo que debo hacer, y tambien me gusta miucho ir al campa de campera, ahora me gustaria ayudar.</v>
      </c>
      <c r="Q26" s="30" t="str">
        <f ca="1"/>
        <v>Si</v>
      </c>
      <c r="R26" s="30" t="str">
        <f ca="1"/>
        <v>basquetbol, estoy empezando a entrenar para acarreras de atletismo y me gusta mucho ir a retas de fut</v>
      </c>
      <c r="S26" s="30" t="str">
        <f ca="1"/>
        <v>Si</v>
      </c>
      <c r="T26" s="30" t="str">
        <f ca="1"/>
        <v>canto, de mas chica servia en alabanza</v>
      </c>
      <c r="U26" s="30" t="str">
        <f ca="1"/>
        <v>psicologia</v>
      </c>
      <c r="V26" s="30" t="str">
        <f ca="1"/>
        <v>fotografia, amo tomar fotos y tengo mi estudio, me encantaria que Dios use mi talnte para servirle</v>
      </c>
      <c r="W26" s="16" t="str">
        <f ca="1"/>
        <v>D. Me gustan los deportes, E. Me gusta el trabajo con niños, G. Soy más eficiente en el trabajo individual, J. Me gusta la atención a las personas, K. Soy creativo (a), L. Soy bueno (a) en canto o algún instrumento</v>
      </c>
      <c r="X26" s="16" t="str">
        <f ca="1"/>
        <v>si, la temporada pasada</v>
      </c>
      <c r="Y26" s="30">
        <v>0</v>
      </c>
      <c r="Z26" s="23" t="s">
        <v>25</v>
      </c>
      <c r="AA26" s="23"/>
      <c r="AB26" s="23"/>
      <c r="AC26" s="23"/>
      <c r="AD26" s="23"/>
      <c r="AE26" s="23"/>
      <c r="AF26" s="23"/>
      <c r="AG26" s="23"/>
      <c r="AH26" s="23"/>
      <c r="AI26" s="23"/>
      <c r="AJ26" s="16" t="s">
        <v>60</v>
      </c>
      <c r="AK26" s="16"/>
      <c r="AL26" s="17"/>
    </row>
    <row r="27" spans="1:38" ht="12.75" x14ac:dyDescent="0.35">
      <c r="A27" s="9">
        <v>26</v>
      </c>
      <c r="B27" s="30" t="str">
        <f ca="1"/>
        <v>Alya Elienai, Carrizales Esquivel</v>
      </c>
      <c r="C27" s="31">
        <f ca="1"/>
        <v>17</v>
      </c>
      <c r="D27" s="30" t="str">
        <f ca="1"/>
        <v>Mujer</v>
      </c>
      <c r="E27" s="30" t="str">
        <f ca="1"/>
        <v>Queretaro, Mexico</v>
      </c>
      <c r="F27" s="30" t="str">
        <f ca="1"/>
        <v>alya.carrizales.1@gmail.com</v>
      </c>
      <c r="G27" s="30">
        <f ca="1"/>
        <v>524428903752</v>
      </c>
      <c r="H27" s="30" t="str">
        <f ca="1"/>
        <v>Semana de niños y niñas (21-25) Julio, Jóvenes de 13 – 17 años / SEM1/ (28 Julio a 02 de agosto)</v>
      </c>
      <c r="I27" s="30" t="str">
        <f ca="1"/>
        <v>la Biblia</v>
      </c>
      <c r="J27" s="30" t="str">
        <f ca="1"/>
        <v>Ministerios de Reconciliación</v>
      </c>
      <c r="K27" s="30" t="str">
        <f ca="1"/>
        <v>Abel Sanchez</v>
      </c>
      <c r="L27" s="30">
        <f ca="1"/>
        <v>524429019280</v>
      </c>
      <c r="M27" s="30" t="str">
        <f ca="1"/>
        <v>excelencia.familias@gmail.com</v>
      </c>
      <c r="N27" s="30" t="str">
        <f ca="1"/>
        <v>en cafetería</v>
      </c>
      <c r="O27" s="30" t="str">
        <f ca="1"/>
        <v>Pues vengo de cuna cristiana y siempre eh estado en la iglesia, pero el año pasado 2024, ese año pude realmente entender lo que Dios hizo por mi y su salvación, Gracias a Dios me bautice en Noviembre del año pasado y mi vida a cambiado mucho con Jesús en mi vida y en mis decisiones.</v>
      </c>
      <c r="P27" s="30" t="str">
        <f ca="1"/>
        <v>Porque Dios a puesto en mi corazón el querer servirle, y que mejor que poder servirle de esta forma, ayudando y sirviendo a las demás personas para que puedan conocer de Dios</v>
      </c>
      <c r="Q27" s="30" t="str">
        <f ca="1"/>
        <v>Si</v>
      </c>
      <c r="R27" s="30" t="str">
        <f ca="1"/>
        <v>padel</v>
      </c>
      <c r="S27" s="30" t="str">
        <f ca="1"/>
        <v>No</v>
      </c>
      <c r="T27" s="30">
        <v>0</v>
      </c>
      <c r="U27" s="30" t="str">
        <f ca="1"/>
        <v>La prepa ( ACE )</v>
      </c>
      <c r="V27" s="30" t="str">
        <f ca="1"/>
        <v>soy buena organizando juegos</v>
      </c>
      <c r="W27" s="16" t="str">
        <f ca="1"/>
        <v>B. Me gusta animar a las personas, C. Suelo buscar que el trabajo se realice en equipo, D. Me gustan los deportes, G. Soy más eficiente en el trabajo individual, H. Soy organizado (a), J. Me gusta la atención a las personas, K. Soy creativo (a)</v>
      </c>
      <c r="X27" s="16" t="str">
        <f ca="1"/>
        <v>si desde 2019 al 2024</v>
      </c>
      <c r="Y27" s="30">
        <v>0</v>
      </c>
      <c r="Z27" s="23" t="s">
        <v>25</v>
      </c>
      <c r="AA27" s="23"/>
      <c r="AB27" s="23"/>
      <c r="AC27" s="23"/>
      <c r="AD27" s="23"/>
      <c r="AE27" s="23"/>
      <c r="AF27" s="23"/>
      <c r="AG27" s="23"/>
      <c r="AH27" s="23"/>
      <c r="AI27" s="23"/>
      <c r="AJ27" s="16" t="s">
        <v>61</v>
      </c>
      <c r="AK27" s="16"/>
      <c r="AL27" s="17"/>
    </row>
    <row r="28" spans="1:38" ht="25.5" x14ac:dyDescent="0.35">
      <c r="A28" s="9">
        <v>27</v>
      </c>
      <c r="B28" s="30" t="str">
        <f ca="1"/>
        <v>Débora, García Arteaga</v>
      </c>
      <c r="C28" s="31">
        <f ca="1"/>
        <v>15</v>
      </c>
      <c r="D28" s="30" t="str">
        <f ca="1"/>
        <v>Mujer</v>
      </c>
      <c r="E28" s="30" t="str">
        <f ca="1"/>
        <v>Queretaro, Mexico</v>
      </c>
      <c r="F28" s="30" t="str">
        <f ca="1"/>
        <v>garloydet@gmail.com</v>
      </c>
      <c r="G28" s="30">
        <f ca="1"/>
        <v>524425974666</v>
      </c>
      <c r="H28" s="30" t="str">
        <f ca="1"/>
        <v>Jóvenes de 13 – 17 años / SEM1/ (28 Julio a 02 de agosto), Jóvenes de 13 – 17 años / SEM2/ (4 - 09 agosto), Jóvenes de 13 – 17 años / SEM3/ (11 - 16 agosto)</v>
      </c>
      <c r="I28" s="30" t="str">
        <f ca="1"/>
        <v>Semillas</v>
      </c>
      <c r="J28" s="30" t="str">
        <f ca="1"/>
        <v>Iglesia del Dios Vivo El Buen Pastor</v>
      </c>
      <c r="K28" s="30" t="str">
        <f ca="1"/>
        <v>Isaac Rodriguez</v>
      </c>
      <c r="L28" s="30">
        <f ca="1"/>
        <v>527203617286</v>
      </c>
      <c r="M28" s="30" t="str">
        <f ca="1"/>
        <v>isisacrh221@gmail.com</v>
      </c>
      <c r="N28" s="30" t="str">
        <f ca="1"/>
        <v>Ninguno</v>
      </c>
      <c r="O28" s="30" t="str">
        <f ca="1"/>
        <v>El año pasado en Noviembre decidí entregar mi vida a Dios, aunque yo ya conocía desde antes, el año pasado decidí tomar esta gran decisión porque sabía que era lo correcto aunque años atrás no me interesaba. El año pasado fue diferente y deseaba conocer más del Señor Jesucristo.</v>
      </c>
      <c r="P28" s="30" t="str">
        <f ca="1"/>
        <v>Deseo ser parte del equipo de verano, porque quiero servir a Dios durante esta temporada en donde tengo la oportunidad de hacerlo. Me gustaría ayudar en ser parte del equipo porque sé que es un trabajo hecho para Dios y para ganar nuevas almas.</v>
      </c>
      <c r="Q28" s="30" t="str">
        <f ca="1"/>
        <v>No</v>
      </c>
      <c r="R28" s="30">
        <v>0</v>
      </c>
      <c r="S28" s="30" t="str">
        <f ca="1"/>
        <v>No</v>
      </c>
      <c r="T28" s="30">
        <v>0</v>
      </c>
      <c r="U28" s="30" t="str">
        <f ca="1"/>
        <v>Secundaria</v>
      </c>
      <c r="V28" s="30" t="str">
        <f ca="1"/>
        <v>ninguna en específico</v>
      </c>
      <c r="W28" s="16" t="str">
        <f ca="1"/>
        <v>B. Me gusta animar a las personas, C. Suelo buscar que el trabajo se realice en equipo, G. Soy más eficiente en el trabajo individual, J. Me gusta la atención a las personas, K. Soy creativo (a), L. Soy bueno (a) en canto o algún instrumento, O. Puedo enseñar con facilidad</v>
      </c>
      <c r="X28" s="16" t="str">
        <f ca="1"/>
        <v>Sí, en 2023 y 2024</v>
      </c>
      <c r="Y28" s="30">
        <v>0</v>
      </c>
      <c r="Z28" s="23" t="s">
        <v>25</v>
      </c>
      <c r="AA28" s="23"/>
      <c r="AB28" s="23"/>
      <c r="AC28" s="23"/>
      <c r="AD28" s="23"/>
      <c r="AE28" s="23"/>
      <c r="AF28" s="23"/>
      <c r="AG28" s="23"/>
      <c r="AH28" s="23"/>
      <c r="AI28" s="23"/>
      <c r="AJ28" s="16" t="s">
        <v>62</v>
      </c>
      <c r="AK28" s="16"/>
      <c r="AL28" s="17"/>
    </row>
    <row r="29" spans="1:38" ht="12.75" x14ac:dyDescent="0.35">
      <c r="A29" s="9">
        <v>28</v>
      </c>
      <c r="B29" s="30" t="str">
        <f ca="1"/>
        <v>Elda Isúa, Vernet Fernández</v>
      </c>
      <c r="C29" s="31">
        <f ca="1"/>
        <v>19</v>
      </c>
      <c r="D29" s="30" t="str">
        <f ca="1"/>
        <v>Mujer</v>
      </c>
      <c r="E29" s="30" t="str">
        <f ca="1"/>
        <v>Puebla, Mexico</v>
      </c>
      <c r="F29" s="30" t="str">
        <f ca="1"/>
        <v>ei.vernet.fdez@gmail.com</v>
      </c>
      <c r="G29" s="30">
        <f ca="1"/>
        <v>522371084447</v>
      </c>
      <c r="H29" s="30" t="str">
        <f ca="1"/>
        <v>Toda la temporada (07 de Julio al 16 de agosto)</v>
      </c>
      <c r="I29" s="30" t="str">
        <f ca="1"/>
        <v>Navigators Bible Reading Plan</v>
      </c>
      <c r="J29" s="30" t="str">
        <f ca="1"/>
        <v>Eben-ezer Tecamachalco</v>
      </c>
      <c r="K29" s="30" t="str">
        <f ca="1"/>
        <v>Daniel Fernández Castro</v>
      </c>
      <c r="L29" s="30">
        <f ca="1"/>
        <v>522491133934</v>
      </c>
      <c r="M29" s="30" t="str">
        <f ca="1"/>
        <v>danieldejc@hotmail.com</v>
      </c>
      <c r="N29" s="30" t="str">
        <f ca="1"/>
        <v>Ujier</v>
      </c>
      <c r="O29" s="30" t="str">
        <f ca="1"/>
        <v>Crecí creyendo que yo era salva porque mis papás eran cristianos. Dios habló a mi vida a través del campamento "VUELVE" en Bernal. Y me hizo darme cuenta que la salvación no se puede heredar, si no que es una decision personal. Fue en ese campamento donde yo creí en Jesucristo como mi único salvador y consagré mi vida a Él.</v>
      </c>
      <c r="P29" s="30" t="str">
        <f ca="1"/>
        <v>Compartir mi fe con otros es algo que me gusta mucho hacer y creo que a través de los campamentos es una excelente oportunidad para hacerlo.</v>
      </c>
      <c r="Q29" s="30" t="str">
        <f ca="1"/>
        <v>No</v>
      </c>
      <c r="R29" s="30">
        <v>0</v>
      </c>
      <c r="S29" s="30" t="str">
        <f ca="1"/>
        <v>No</v>
      </c>
      <c r="T29" s="30">
        <v>0</v>
      </c>
      <c r="U29" s="30" t="str">
        <f ca="1"/>
        <v>Estoy en ultimo semestre de Lighthouse (ACE)</v>
      </c>
      <c r="V29" s="30" t="str">
        <f ca="1"/>
        <v>Me encanta ponerme al servicio de otros.</v>
      </c>
      <c r="W29" s="16" t="str">
        <f ca="1"/>
        <v>B. Me gusta animar a las personas, E. Me gusta el trabajo con niños, G. Soy más eficiente en el trabajo individual, H. Soy organizado (a), I. Se me facilita el trabajo físico, J. Me gusta la atención a las personas, N. Suelo llevar el liderazgo en un grupo, O. Puedo enseñar con facilidad</v>
      </c>
      <c r="X29" s="16" t="str">
        <f ca="1"/>
        <v>Sí.</v>
      </c>
      <c r="Y29" s="30">
        <v>0</v>
      </c>
      <c r="Z29" s="23" t="s">
        <v>25</v>
      </c>
      <c r="AA29" s="23"/>
      <c r="AB29" s="23" t="s">
        <v>26</v>
      </c>
      <c r="AC29" s="23"/>
      <c r="AD29" s="23"/>
      <c r="AE29" s="23"/>
      <c r="AF29" s="23"/>
      <c r="AG29" s="23"/>
      <c r="AH29" s="23"/>
      <c r="AI29" s="23"/>
      <c r="AJ29" s="16"/>
      <c r="AK29" s="16"/>
      <c r="AL29" s="17"/>
    </row>
    <row r="30" spans="1:38" ht="12.75" x14ac:dyDescent="0.35">
      <c r="A30" s="9">
        <v>29</v>
      </c>
      <c r="B30" s="30" t="str">
        <f ca="1"/>
        <v>Kathia Atzin, Domínguez Castro</v>
      </c>
      <c r="C30" s="31">
        <f ca="1"/>
        <v>19</v>
      </c>
      <c r="D30" s="30" t="str">
        <f ca="1"/>
        <v>Mujer</v>
      </c>
      <c r="E30" s="30" t="str">
        <f ca="1"/>
        <v>Mexico City, Mexico</v>
      </c>
      <c r="F30" s="30" t="str">
        <f ca="1"/>
        <v>kathiasanroman@gmail.com</v>
      </c>
      <c r="G30" s="30">
        <f ca="1"/>
        <v>525532430381</v>
      </c>
      <c r="H30" s="30" t="str">
        <f ca="1"/>
        <v>Semana de entrenamiento (07 - 13) Julio, Comunidad Jóvenes + 18 (14-19) Julio, Semana de niños y niñas (21-25) Julio</v>
      </c>
      <c r="I30" s="30" t="str">
        <f ca="1"/>
        <v>Ebenezer 2.0 2025</v>
      </c>
      <c r="J30" s="30" t="str">
        <f ca="1"/>
        <v>Iglesia Cristiana Bautista Dunamis</v>
      </c>
      <c r="K30" s="30" t="str">
        <f ca="1"/>
        <v>Luis Emmanuel López Chaparro</v>
      </c>
      <c r="L30" s="30">
        <f ca="1"/>
        <v>525528054570</v>
      </c>
      <c r="M30" s="30" t="str">
        <f ca="1"/>
        <v>luisemmanuellopez@yahoo.com.mx</v>
      </c>
      <c r="N30" s="30" t="str">
        <f ca="1"/>
        <v>Alabanza, Infantil, Redes Sociales, Discipulado, Coro.</v>
      </c>
      <c r="O30" s="30" t="str">
        <f ca="1"/>
        <v>Desde que tengo memoria he ido con mis padres a la iglesia, siempre estuve en la iglesia pero nunca tuve convicciones propias, fue a la edad de 7 años que cambiamos de iglesia y llegamos a Dunamis, vino la enfermedad, la crisis económica, la rebeldía de un hermano, muchos corazones rotos y a la edad de 14 años entregue mi vida al Señor, me aleje de nuevo en la prepa y desde hace dos años no me he separado de mi amado Dios.</v>
      </c>
      <c r="P30" s="30" t="str">
        <f ca="1"/>
        <v>Deje de estar en campamento desde hace dos años por temas económicos muy fuertes pero gracias a Dios que bendice a mis padres ahora y mi deseo es servir en mi juventud y ser útil a otras jóvenes que estén pasando lo mismo que yo pase.</v>
      </c>
      <c r="Q30" s="30" t="str">
        <f ca="1"/>
        <v>Si</v>
      </c>
      <c r="R30" s="30" t="str">
        <f ca="1"/>
        <v>Gimnasio y atletismo</v>
      </c>
      <c r="S30" s="30" t="str">
        <f ca="1"/>
        <v>Si</v>
      </c>
      <c r="T30" s="30" t="str">
        <f ca="1"/>
        <v>Ukelele</v>
      </c>
      <c r="U30" s="30" t="str">
        <f ca="1"/>
        <v>Estudio una Licenciatura en Educación Preescolar</v>
      </c>
      <c r="V30" s="30" t="str">
        <f ca="1"/>
        <v>Soy muy creativa, no me cuesta usar las manos, me surgen ideas para cosas en específico. Y no me cuesta para nada relacionarme con personas, por lo mismo no me da pena muchas cosas y puedo exponer/enseñar sobre muchos temas.</v>
      </c>
      <c r="W30" s="16" t="str">
        <f ca="1"/>
        <v>A. Soy un discipulador activo, B. Me gusta animar a las personas, E. Me gusta el trabajo con niños, H. Soy organizado (a), I. Se me facilita el trabajo físico, K. Soy creativo (a), L. Soy bueno (a) en canto o algún instrumento, O. Puedo enseñar con facilidad</v>
      </c>
      <c r="X30" s="16" t="str">
        <f ca="1"/>
        <v>Si, 2018, 2019 y 2020(virtual)</v>
      </c>
      <c r="Y30" s="30">
        <v>0</v>
      </c>
      <c r="Z30" s="23" t="s">
        <v>25</v>
      </c>
      <c r="AA30" s="23"/>
      <c r="AB30" s="23" t="s">
        <v>26</v>
      </c>
      <c r="AC30" s="23"/>
      <c r="AD30" s="23"/>
      <c r="AE30" s="23"/>
      <c r="AF30" s="23"/>
      <c r="AG30" s="23"/>
      <c r="AH30" s="23"/>
      <c r="AI30" s="23"/>
      <c r="AJ30" s="16" t="s">
        <v>63</v>
      </c>
      <c r="AK30" s="16"/>
      <c r="AL30" s="17"/>
    </row>
    <row r="31" spans="1:38" ht="38.25" x14ac:dyDescent="0.35">
      <c r="A31" s="9">
        <v>30</v>
      </c>
      <c r="B31" s="20" t="str">
        <f ca="1"/>
        <v>Andrea Danae, Rueda Vazquez</v>
      </c>
      <c r="C31" s="33">
        <f ca="1"/>
        <v>25</v>
      </c>
      <c r="D31" s="20" t="str">
        <f ca="1"/>
        <v>Mujer</v>
      </c>
      <c r="E31" s="20" t="str">
        <f ca="1"/>
        <v>Mexico, Mexico</v>
      </c>
      <c r="F31" s="20" t="str">
        <f ca="1"/>
        <v>danaerdvz@outlook.com</v>
      </c>
      <c r="G31" s="20">
        <f ca="1"/>
        <v>525549055707</v>
      </c>
      <c r="H31" s="20" t="str">
        <f ca="1"/>
        <v>Semana de entrenamiento (07 - 13) Julio, Comunidad Jóvenes + 18 (14-19) Julio, Semana de niños y niñas (21-25) Julio</v>
      </c>
      <c r="I31" s="20" t="str">
        <f ca="1"/>
        <v>ebenecer 2.0 2025</v>
      </c>
      <c r="J31" s="20" t="str">
        <f ca="1"/>
        <v>Dunamis</v>
      </c>
      <c r="K31" s="20" t="str">
        <f ca="1"/>
        <v>Luis Emmanuel Lopez Chaparro</v>
      </c>
      <c r="L31" s="20">
        <f ca="1"/>
        <v>525528054570</v>
      </c>
      <c r="M31" s="20" t="str">
        <f ca="1"/>
        <v>luisemmanuellopez@yahoo.com.mx</v>
      </c>
      <c r="N31" s="20" t="str">
        <f ca="1"/>
        <v>Devocionales</v>
      </c>
      <c r="O31" s="20" t="str">
        <f ca="1"/>
        <v>creci en una iglesia cristina, tuve un par de años fuer de la iglesia y el señor nuevamente me trajo y fue cuando entendi todo lo que habia escuchado de niña el amor, la misericordia y el perdon de Dios</v>
      </c>
      <c r="P31" s="20" t="str">
        <f ca="1"/>
        <v>Creo que seria de mucha bendicion a mi vida</v>
      </c>
      <c r="Q31" s="20" t="str">
        <f ca="1"/>
        <v>Si</v>
      </c>
      <c r="R31" s="20" t="str">
        <f ca="1"/>
        <v>Natacion</v>
      </c>
      <c r="S31" s="20" t="str">
        <f ca="1"/>
        <v>No</v>
      </c>
      <c r="T31" s="20">
        <v>0</v>
      </c>
      <c r="U31" s="20" t="str">
        <f ca="1"/>
        <v>No termine la carrera pero empece a estudiar fisioterapia</v>
      </c>
      <c r="V31" s="20" t="str">
        <f ca="1"/>
        <v>Control de grupo, adaptabilidad, resolucion de problemas, primeros auxilios, certificaciones de natacion</v>
      </c>
      <c r="W31" s="21" t="str">
        <f ca="1"/>
        <v>B. Me gusta animar a las personas, D. Me gustan los deportes, E. Me gusta el trabajo con niños, F. Soy eficiente en el trabajo con herramientas, equipos y maquinarias, G. Soy más eficiente en el trabajo individual, H. Soy organizado (a), I. Se me facilita el trabajo físico, M. Soy bueno (a) con los números, N. Suelo llevar el liderazgo en un grupo, O. Puedo enseñar con facilidad</v>
      </c>
      <c r="X31" s="21" t="str">
        <f ca="1"/>
        <v>si en 2013</v>
      </c>
      <c r="Y31" s="20">
        <v>0</v>
      </c>
      <c r="Z31" s="22" t="s">
        <v>28</v>
      </c>
      <c r="AA31" s="22"/>
      <c r="AB31" s="22"/>
      <c r="AC31" s="22"/>
      <c r="AD31" s="23"/>
      <c r="AE31" s="23"/>
      <c r="AF31" s="23"/>
      <c r="AG31" s="23"/>
      <c r="AH31" s="23"/>
      <c r="AI31" s="23"/>
      <c r="AJ31" s="16" t="s">
        <v>64</v>
      </c>
      <c r="AK31" s="16"/>
      <c r="AL31" s="17"/>
    </row>
    <row r="32" spans="1:38" ht="12.75" x14ac:dyDescent="0.35">
      <c r="A32" s="9">
        <v>31</v>
      </c>
      <c r="B32" s="30" t="str">
        <f ca="1"/>
        <v>Daniela Lizzeth, Palacios Cervantes</v>
      </c>
      <c r="C32" s="31">
        <f ca="1"/>
        <v>19</v>
      </c>
      <c r="D32" s="30" t="str">
        <f ca="1"/>
        <v>Mujer</v>
      </c>
      <c r="E32" s="30" t="str">
        <f ca="1"/>
        <v>Morelos, Mexico</v>
      </c>
      <c r="F32" s="30" t="str">
        <f ca="1"/>
        <v>danieluxpalacel@gmail.com</v>
      </c>
      <c r="G32" s="30">
        <f ca="1"/>
        <v>527776347492</v>
      </c>
      <c r="H32" s="30" t="str">
        <f ca="1"/>
        <v>Toda la temporada (07 de Julio al 16 de agosto)</v>
      </c>
      <c r="I32" s="30" t="str">
        <f ca="1"/>
        <v>Lectura Biblica Anual</v>
      </c>
      <c r="J32" s="30" t="str">
        <f ca="1"/>
        <v>Mahanaim Iglesia Cristiana Fundamental de Jiutepec</v>
      </c>
      <c r="K32" s="30" t="str">
        <f ca="1"/>
        <v>Fernando Bermúdez Canchola</v>
      </c>
      <c r="L32" s="30">
        <f ca="1"/>
        <v>527351258023</v>
      </c>
      <c r="M32" s="30" t="str">
        <f ca="1"/>
        <v>ferberca48@gmail.com</v>
      </c>
      <c r="N32" s="30" t="str">
        <f ca="1"/>
        <v>Maestra de escuela dominical y Club Sabatino Misión Las Rocas</v>
      </c>
      <c r="O32" s="30" t="str">
        <f ca="1"/>
        <v>Yo nací en una familia cristiana por lo que desde que estaba pequeña estoy en contacto con la Biblia. Iba a la escuela que también era cristiana, memorizaba versículos, prestaba atención en las lecciones de escuela dominical, todo mi entorno era cristiano, llevándome a pensar ideas erróneas y vivir con eso apesar de haber escuchado el plan de salvación. Conforme crecí tenía la idea de que por haber nacido en una familia cristiana, por ir a la iglesia y por ser hija de servidor ya era salva, sabía que no era un pensamiento correcto ya que había escuchado el plan de salvación recordando que la salvación era por fe y no por obras pero simplemente me conforme a decir "Soy salva" e ignorar la verdad. Hubo un tiempo en el que me volví rebelde, mi corazón estaba endurecido ya que yo veía a mi hermano que estaba llevando una vida apartada de Dios y yo quería ser como él, cosa que desde luego mis padres no me permitieron, mi ignorancia, enojo y pecado no me permitian ver o entender el porque mis padres no me dejaban ser o actuar como mi hermano, para mi era injusto y me molestaba el hecho de que las conversaciones con mis padres fueran dirigidas a versículos de la Biblia. Paso el tiempo y yo fui creciendo con el corazón endurecido, comenzó a molestarme el tené que ir a la iglesia todos los domingos, comencé a crear excusas para evitar las reuniones de oración, comencé a evitar la música cristiana y a escuchar música del mundo, comencé a vivir una doble vida apartada del Señor. En 2018 asistí por primera vez al campamento de Bernal, ese año pude sentir el llamado de Dios a mi vida, sin embargo en mi corazón había dureza, resentimiento y pecado por lo que decidí cerrarme y seguir con mi doble vida al regresar a casa. 2019 fue un año que marcó mi vida, fue un año en el que Dios quebranto mi corazón y pude abrir los ojos a la realidad, dándome cuenta de la vida que estaba llevando, me sentía avergonzada y sentia la necesidad de acercarme a Dios, ese año asistí de nuevo al campamento, pero esta vez con una mentalidad diferente y mi corazón quebrantado, fue así que la noche del Viernes 12 de Julio del 2019 Dios habló a mi vida a través del predicador, fue ahí donde me arrodillé y decidí dejar mis cargas y angustias en manos de Dios, arrepentida de mis pecados esa noche tomé mi decisión de salvación, lo que yo sentí esa noche fue algo simplemente inexplicable que marcó mi vida. Desde ese día camino tomada de la mano del Señor, buscando cada día ser más como esa mujer virtuosa que Dios quiere que sea, ha sido un camino difícil y lleno de pruebas, sin embargo he podido ver la mano del Señor en todo, el es fiel así como misericordioso y lo he podido ver en mi vida.</v>
      </c>
      <c r="P32" s="30" t="str">
        <f ca="1"/>
        <v>Yo tomé decisión de salvación en 2019, durante el día de fogata del campamento Dios habló a mi vida y yo decidí entregarle mi corazón. Cómo campera, ver a los equipantes en lavado, limpiando o haciendo lo que sea con una sonrisa y con animo me hizo pensar que me gustaría tener ese mismo sentir que ellos, la emoción y alegría de poder servir al Señor y de poder ser parte de su obra. Hubo equipantes que fueron de bendición a mi vida durante mi tiempo de campera, este año me gustaría poder unirme a ellos estar de el otro lado de campamento, sirviendo al Señor con alegría y poder transmitir esa alegría a los camperos en el área en que Dios me permita estar. Me gustaría ser de bendición para los demás así como en algún momento los equipantes fueron de bendición a mi vida.</v>
      </c>
      <c r="Q32" s="30" t="str">
        <f ca="1"/>
        <v>Si</v>
      </c>
      <c r="R32" s="30" t="str">
        <f ca="1"/>
        <v>Voleibol.</v>
      </c>
      <c r="S32" s="30" t="str">
        <f ca="1"/>
        <v>Si</v>
      </c>
      <c r="T32" s="30" t="str">
        <f ca="1"/>
        <v>Piano.</v>
      </c>
      <c r="U32" s="30" t="str">
        <f ca="1"/>
        <v>Estoy terminando mi preparatoria dentro del sistema A.C.E., orando para que primeramente Dios pueda terminar mi preparatoria para seguido tomar una decisión que glorifique a Dios con respecto a la universidad.</v>
      </c>
      <c r="V32" s="30" t="str">
        <f ca="1"/>
        <v>Dios me ha dado habilidades creativas y musicales, me gustan las manualidades, trabajar con las manos así como cantar. También la habilidad para escuchar y poder aconsejar, me gusta escuchar poder ser de bendición como de consuelo a los demás.</v>
      </c>
      <c r="W32" s="16" t="str">
        <f ca="1"/>
        <v>B. Me gusta animar a las personas, C. Suelo buscar que el trabajo se realice en equipo, D. Me gustan los deportes, E. Me gusta el trabajo con niños, H. Soy organizado (a), J. Me gusta la atención a las personas, K. Soy creativo (a), L. Soy bueno (a) en canto o algún instrumento, O. Puedo enseñar con facilidad</v>
      </c>
      <c r="X32" s="16" t="str">
        <f ca="1"/>
        <v>2018,2019 y 2020 (Campa Virtual)</v>
      </c>
      <c r="Y32" s="30">
        <v>0</v>
      </c>
      <c r="Z32" s="23" t="s">
        <v>25</v>
      </c>
      <c r="AA32" s="23"/>
      <c r="AB32" s="23"/>
      <c r="AC32" s="23"/>
      <c r="AD32" s="23"/>
      <c r="AE32" s="23"/>
      <c r="AF32" s="23"/>
      <c r="AG32" s="23"/>
      <c r="AH32" s="23"/>
      <c r="AI32" s="23"/>
      <c r="AJ32" s="16"/>
      <c r="AK32" s="16"/>
      <c r="AL32" s="17"/>
    </row>
    <row r="33" spans="1:38" ht="25.5" x14ac:dyDescent="0.35">
      <c r="A33" s="9">
        <v>32</v>
      </c>
      <c r="B33" s="30" t="str">
        <f ca="1"/>
        <v>Cristhan Arturo, Castillo Roman</v>
      </c>
      <c r="C33" s="31">
        <f ca="1"/>
        <v>21</v>
      </c>
      <c r="D33" s="30" t="str">
        <f ca="1"/>
        <v>Hombre</v>
      </c>
      <c r="E33" s="30" t="str">
        <f ca="1"/>
        <v>Guerrero, Mexico</v>
      </c>
      <c r="F33" s="30" t="str">
        <f ca="1"/>
        <v>cristhancastillo94@gmail.com</v>
      </c>
      <c r="G33" s="30" t="str">
        <f ca="1"/>
        <v>#ERROR!</v>
      </c>
      <c r="H33" s="30" t="str">
        <f ca="1"/>
        <v>Semana de entrenamiento (07 - 13) Julio, Comunidad Jóvenes + 18 (14-19) Julio</v>
      </c>
      <c r="I33" s="30" t="str">
        <f ca="1"/>
        <v>El de PV</v>
      </c>
      <c r="J33" s="30" t="str">
        <f ca="1"/>
        <v>shekinah</v>
      </c>
      <c r="K33" s="30" t="str">
        <f ca="1"/>
        <v>Arturo Vergara</v>
      </c>
      <c r="L33" s="30">
        <f ca="1"/>
        <v>527444192659</v>
      </c>
      <c r="M33" s="30" t="str">
        <f ca="1"/>
        <v>cristhancastillo94@gmail.com</v>
      </c>
      <c r="N33" s="30" t="str">
        <f ca="1"/>
        <v>Alabanza</v>
      </c>
      <c r="O33" s="30" t="str">
        <f ca="1"/>
        <v>Conocí a Dios cuando tenía 17 años y decidí entregar mi vida a él a los 19 años Dios me cambio me purifico y me enseñó cosas nuevas</v>
      </c>
      <c r="P33" s="30" t="str">
        <f ca="1"/>
        <v>Por qué me gusta venir a PV 
Y por qué ya fui una vez</v>
      </c>
      <c r="Q33" s="30" t="str">
        <f ca="1"/>
        <v>Si</v>
      </c>
      <c r="R33" s="30" t="str">
        <f ca="1"/>
        <v>Basquetbol</v>
      </c>
      <c r="S33" s="30" t="str">
        <f ca="1"/>
        <v>Si</v>
      </c>
      <c r="T33" s="30" t="str">
        <f ca="1"/>
        <v>Guitarra, Bajo, Piano, Bateria</v>
      </c>
      <c r="U33" s="30" t="str">
        <f ca="1"/>
        <v>Licenciatura en Contaduria</v>
      </c>
      <c r="V33" s="30" t="str">
        <f ca="1"/>
        <v>Contador, Extrovertido</v>
      </c>
      <c r="W33" s="16" t="str">
        <f ca="1"/>
        <v>B. Me gusta animar a las personas, C. Suelo buscar que el trabajo se realice en equipo, D. Me gustan los deportes, J. Me gusta la atención a las personas, K. Soy creativo (a), L. Soy bueno (a) en canto o algún instrumento, M. Soy bueno (a) con los números, N. Suelo llevar el liderazgo en un grupo, O. Puedo enseñar con facilidad</v>
      </c>
      <c r="X33" s="16" t="str">
        <f ca="1"/>
        <v>Aunthentic y Anteriores</v>
      </c>
      <c r="Y33" s="30">
        <v>0</v>
      </c>
      <c r="Z33" s="23" t="s">
        <v>50</v>
      </c>
      <c r="AA33" s="23"/>
      <c r="AB33" s="23"/>
      <c r="AC33" s="23"/>
      <c r="AD33" s="23"/>
      <c r="AE33" s="23"/>
      <c r="AF33" s="23"/>
      <c r="AG33" s="23"/>
      <c r="AH33" s="23"/>
      <c r="AI33" s="23"/>
      <c r="AJ33" s="16" t="s">
        <v>65</v>
      </c>
      <c r="AK33" s="16"/>
      <c r="AL33" s="17"/>
    </row>
    <row r="34" spans="1:38" ht="12.75" x14ac:dyDescent="0.35">
      <c r="A34" s="9">
        <v>33</v>
      </c>
      <c r="B34" s="30" t="str">
        <f ca="1"/>
        <v>Gemma Damaris, Luis Tlacuilo</v>
      </c>
      <c r="C34" s="31">
        <f ca="1"/>
        <v>22</v>
      </c>
      <c r="D34" s="30" t="str">
        <f ca="1"/>
        <v>Mujer</v>
      </c>
      <c r="E34" s="30" t="str">
        <f ca="1"/>
        <v>Jalisco, Mexico</v>
      </c>
      <c r="F34" s="30" t="str">
        <f ca="1"/>
        <v>damarisluis13@gmail.com</v>
      </c>
      <c r="G34" s="30">
        <f ca="1"/>
        <v>523316343568</v>
      </c>
      <c r="H34" s="30" t="str">
        <f ca="1"/>
        <v>Toda la temporada (07 de Julio al 16 de agosto)</v>
      </c>
      <c r="I34" s="30" t="str">
        <f ca="1"/>
        <v>365 misericordias cada mañana</v>
      </c>
      <c r="J34" s="30" t="str">
        <f ca="1"/>
        <v>Iglesia Vida</v>
      </c>
      <c r="K34" s="30" t="str">
        <f ca="1"/>
        <v>Neftalí Rubio</v>
      </c>
      <c r="L34" s="30">
        <f ca="1"/>
        <v>524411036024</v>
      </c>
      <c r="M34" s="30" t="str">
        <f ca="1"/>
        <v>nefaly@gmail.com</v>
      </c>
      <c r="N34" s="30" t="str">
        <f ca="1"/>
        <v>Multimedia, adolescentes y niños</v>
      </c>
      <c r="O34" s="30" t="str">
        <f ca="1"/>
        <v>Nací en un familia cristiana, pero comprendí el evangelio hasta mi adolescencia, y aunque mi caminar no fue lineal, si no hasta 2021 donde consagré mi vida a Cristo, comencé a asistir a mi actual iglesia y a servirle.</v>
      </c>
      <c r="P34" s="30" t="str">
        <f ca="1"/>
        <v>Poder servirle de tiempo completo en mi verano, y de manera específica que sea de bendición para mi vida, y ser instrumento y materia dispuesta para lo que Dios quiera hacer a través de mi.</v>
      </c>
      <c r="Q34" s="30" t="str">
        <f ca="1"/>
        <v>No</v>
      </c>
      <c r="R34" s="30">
        <v>0</v>
      </c>
      <c r="S34" s="30" t="str">
        <f ca="1"/>
        <v>No</v>
      </c>
      <c r="T34" s="30">
        <v>0</v>
      </c>
      <c r="U34" s="30" t="str">
        <f ca="1"/>
        <v>Psicología</v>
      </c>
      <c r="V34" s="30" t="str">
        <f ca="1"/>
        <v>Administrativas</v>
      </c>
      <c r="W34" s="16" t="str">
        <f ca="1"/>
        <v>A. Soy un discipulador activo, B. Me gusta animar a las personas, C. Suelo buscar que el trabajo se realice en equipo, E. Me gusta el trabajo con niños, H. Soy organizado (a), J. Me gusta la atención a las personas, O. Puedo enseñar con facilidad</v>
      </c>
      <c r="X34" s="16">
        <f ca="1"/>
        <v>2024.2021</v>
      </c>
      <c r="Y34" s="30">
        <v>0</v>
      </c>
      <c r="Z34" s="23" t="s">
        <v>26</v>
      </c>
      <c r="AA34" s="23"/>
      <c r="AB34" s="23"/>
      <c r="AC34" s="23"/>
      <c r="AD34" s="23"/>
      <c r="AE34" s="23"/>
      <c r="AF34" s="23"/>
      <c r="AG34" s="23"/>
      <c r="AH34" s="23"/>
      <c r="AI34" s="23" t="s">
        <v>25</v>
      </c>
      <c r="AJ34" s="16" t="s">
        <v>66</v>
      </c>
      <c r="AK34" s="16"/>
      <c r="AL34" s="17"/>
    </row>
    <row r="35" spans="1:38" ht="51" x14ac:dyDescent="0.35">
      <c r="A35" s="9">
        <v>34</v>
      </c>
      <c r="B35" s="30" t="str">
        <f ca="1"/>
        <v>Jezabel, Garcia Reyes</v>
      </c>
      <c r="C35" s="31">
        <f ca="1"/>
        <v>16</v>
      </c>
      <c r="D35" s="30" t="str">
        <f ca="1"/>
        <v>Mujer</v>
      </c>
      <c r="E35" s="30" t="str">
        <f ca="1"/>
        <v>Jalisco, Mexico</v>
      </c>
      <c r="F35" s="30" t="str">
        <f ca="1"/>
        <v>garciareyesmia1@gmail.com</v>
      </c>
      <c r="G35" s="30">
        <f ca="1"/>
        <v>523315711521</v>
      </c>
      <c r="H35" s="30" t="str">
        <f ca="1"/>
        <v>Semana de entrenamiento (07 - 13) Julio, Comunidad Jóvenes + 18 (14-19) Julio, Semana de niños y niñas (21-25) Julio, Jóvenes de 13 – 17 años / SEM1/ (28 Julio a 02 de agosto), Jóvenes de 13 – 17 años / SEM2/ (4 - 09 agosto), Jóvenes de 13 – 17 años / SEM3/ (11 - 16 agosto), Toda la temporada (07 de Julio al 16 de agosto)</v>
      </c>
      <c r="I35" s="30" t="str">
        <f ca="1"/>
        <v>La biblia en un año</v>
      </c>
      <c r="J35" s="30" t="str">
        <f ca="1"/>
        <v>Iglesia vida</v>
      </c>
      <c r="K35" s="30" t="str">
        <f ca="1"/>
        <v>Neftalí Rubio Bonilla</v>
      </c>
      <c r="L35" s="30">
        <f ca="1"/>
        <v>524411036024</v>
      </c>
      <c r="M35" s="30" t="str">
        <f ca="1"/>
        <v>nefaly@gmail.com</v>
      </c>
      <c r="N35" s="30" t="str">
        <f ca="1"/>
        <v>Cafetería</v>
      </c>
      <c r="O35" s="30" t="str">
        <f ca="1"/>
        <v>Una vez estaba en la situación de qué literal iba a ser este secuestrada por un chico que conocí y este, y como que Dios me hizo abrir los ojos antes de qué o sea porque me iba a ir con él a vivir, pero Dios me dijo no y ya no me fui y de qué Dios me dio muchas visiones, no muchas visiones, sino que muchas respuestas un domingo que fui a la iglesia y ahí fue como de qué no este es mi lugar con Dios y así fue como me pasó y ese es mi testimonio de salvación, porque literal o sea y me di cuenta que si Dios me salvó de eso como no me puede saludar de del infierno, o sea es súper impresionante</v>
      </c>
      <c r="P35" s="30" t="str">
        <f ca="1"/>
        <v>Anteriormente ya serví en Guatemala 🇬🇹💗 igual en Querétaro, y creo que no está demás volver a servir. Aparte siento que en yo al ir cambian ahí muchos mis convicciones, como que sé verdaderamente lo que es servir con un corazón guiado a Dios</v>
      </c>
      <c r="Q35" s="30" t="str">
        <f ca="1"/>
        <v>No</v>
      </c>
      <c r="R35" s="30">
        <v>0</v>
      </c>
      <c r="S35" s="30" t="str">
        <f ca="1"/>
        <v>No</v>
      </c>
      <c r="T35" s="30">
        <v>0</v>
      </c>
      <c r="U35" s="30" t="str">
        <f ca="1"/>
        <v>Estoy en los últimos meses de preparatoria</v>
      </c>
      <c r="V35" s="30" t="str">
        <f ca="1"/>
        <v>Decoración, cafetería,</v>
      </c>
      <c r="W35" s="16" t="str">
        <f ca="1"/>
        <v>B. Me gusta animar a las personas, C. Suelo buscar que el trabajo se realice en equipo, G. Soy más eficiente en el trabajo individual, J. Me gusta la atención a las personas, K. Soy creativo (a), O. Puedo enseñar con facilidad</v>
      </c>
      <c r="X35" s="16" t="str">
        <f ca="1"/>
        <v>Sólo he sido dos veces campera. El año pasado fui a servir. Igual fue a servir a Guatemala 🇬🇹🫶🏻 y deseo servir esta vez otra vez en Querétaro</v>
      </c>
      <c r="Y35" s="30">
        <v>0</v>
      </c>
      <c r="Z35" s="23" t="s">
        <v>25</v>
      </c>
      <c r="AA35" s="23"/>
      <c r="AB35" s="23"/>
      <c r="AC35" s="23"/>
      <c r="AD35" s="23"/>
      <c r="AE35" s="23"/>
      <c r="AF35" s="23"/>
      <c r="AG35" s="23"/>
      <c r="AH35" s="23"/>
      <c r="AI35" s="23"/>
      <c r="AJ35" s="16" t="s">
        <v>67</v>
      </c>
      <c r="AK35" s="16"/>
      <c r="AL35" s="17"/>
    </row>
    <row r="36" spans="1:38" ht="25.5" x14ac:dyDescent="0.35">
      <c r="A36" s="9">
        <v>35</v>
      </c>
      <c r="B36" s="30" t="str">
        <f ca="1"/>
        <v>Ariel Elías, Luis Ruiz</v>
      </c>
      <c r="C36" s="31">
        <f ca="1"/>
        <v>17</v>
      </c>
      <c r="D36" s="30" t="str">
        <f ca="1"/>
        <v>Hombre</v>
      </c>
      <c r="E36" s="30" t="str">
        <f ca="1"/>
        <v>Jalisco, Mexico</v>
      </c>
      <c r="F36" s="30" t="str">
        <f ca="1"/>
        <v>arielur35@gmail.com</v>
      </c>
      <c r="G36" s="30">
        <f ca="1"/>
        <v>523322570408</v>
      </c>
      <c r="H36" s="30" t="str">
        <f ca="1"/>
        <v>Toda la temporada (07 de Julio al 16 de agosto)</v>
      </c>
      <c r="I36" s="30" t="str">
        <f ca="1"/>
        <v>Hoy es tendencia</v>
      </c>
      <c r="J36" s="30" t="str">
        <f ca="1"/>
        <v>Iglesia vida</v>
      </c>
      <c r="K36" s="30" t="str">
        <f ca="1"/>
        <v>Neftalí Rubio</v>
      </c>
      <c r="L36" s="30">
        <f ca="1"/>
        <v>524411036024</v>
      </c>
      <c r="M36" s="30" t="str">
        <f ca="1"/>
        <v>nefaly@gmail.com</v>
      </c>
      <c r="N36" s="30" t="str">
        <f ca="1"/>
        <v>Con niños como maestro y en cafetería en caja</v>
      </c>
      <c r="O36" s="30" t="str">
        <f ca="1"/>
        <v>Soy de familia cristiana pero no entendía lo que es ser cristiano y lo que hizo jesús por mi hasta el campamento del 2021 en la roca que conocí a Jesús y de ahí en adelante mi vida a cambiado para bien gracias a Dios</v>
      </c>
      <c r="P36" s="30" t="str">
        <f ca="1"/>
        <v>Me gusta el campamento de Bernal y pues si no haré nada en mi casa pues aprovecho mi tiempo y también tendría que pedir vacaciones en el trabajo pero si es por dispocisión</v>
      </c>
      <c r="Q36" s="30" t="str">
        <f ca="1"/>
        <v>Si</v>
      </c>
      <c r="R36" s="30" t="str">
        <f ca="1"/>
        <v>Futbol, basketball, volleyball y ciclismo de montaña</v>
      </c>
      <c r="S36" s="30" t="str">
        <f ca="1"/>
        <v>No</v>
      </c>
      <c r="T36" s="30">
        <v>0</v>
      </c>
      <c r="U36" s="30" t="str">
        <f ca="1"/>
        <v>Electromecánica parte de muchas cosas eléctricas</v>
      </c>
      <c r="V36" s="30" t="str">
        <f ca="1"/>
        <v>Uso de herramientas y electricidad</v>
      </c>
      <c r="W36" s="16" t="str">
        <f ca="1"/>
        <v>B. Me gusta animar a las personas, D. Me gustan los deportes, F. Soy eficiente en el trabajo con herramientas, equipos y maquinarias, H. Soy organizado (a), M. Soy bueno (a) con los números, O. Puedo enseñar con facilidad</v>
      </c>
      <c r="X36" s="16" t="str">
        <f ca="1"/>
        <v>Si, 2021, 2022, 2023,</v>
      </c>
      <c r="Y36" s="30">
        <v>0</v>
      </c>
      <c r="Z36" s="23" t="s">
        <v>50</v>
      </c>
      <c r="AA36" s="23"/>
      <c r="AB36" s="23"/>
      <c r="AC36" s="23"/>
      <c r="AD36" s="23"/>
      <c r="AE36" s="23"/>
      <c r="AF36" s="23" t="s">
        <v>45</v>
      </c>
      <c r="AG36" s="23"/>
      <c r="AH36" s="23"/>
      <c r="AI36" s="23"/>
      <c r="AJ36" s="16" t="s">
        <v>68</v>
      </c>
      <c r="AK36" s="16"/>
      <c r="AL36" s="17"/>
    </row>
    <row r="37" spans="1:38" ht="12.75" x14ac:dyDescent="0.35">
      <c r="A37" s="9">
        <v>36</v>
      </c>
      <c r="B37" s="20" t="str">
        <f ca="1"/>
        <v>Keila, Enríquez</v>
      </c>
      <c r="C37" s="33">
        <f ca="1"/>
        <v>24</v>
      </c>
      <c r="D37" s="20" t="str">
        <f ca="1"/>
        <v>Mujer</v>
      </c>
      <c r="E37" s="20" t="str">
        <f ca="1"/>
        <v>Puebla, Mexico</v>
      </c>
      <c r="F37" s="20" t="str">
        <f ca="1"/>
        <v>keilaev94@gmail.com</v>
      </c>
      <c r="G37" s="20">
        <f ca="1"/>
        <v>522224846219</v>
      </c>
      <c r="H37" s="20" t="str">
        <f ca="1"/>
        <v>Jóvenes de 13 – 17 años / SEM1/ (28 Julio a 02 de agosto)</v>
      </c>
      <c r="I37" s="20" t="str">
        <f ca="1"/>
        <v>Teniendo el corazón de maria en el mundo de Marta</v>
      </c>
      <c r="J37" s="20" t="str">
        <f ca="1"/>
        <v>El puente BC</v>
      </c>
      <c r="K37" s="20" t="str">
        <f ca="1"/>
        <v>Carlos Miranda</v>
      </c>
      <c r="L37" s="20">
        <f ca="1"/>
        <v>522221218840</v>
      </c>
      <c r="M37" s="20" t="str">
        <f ca="1"/>
        <v>CGMiranda@hotmail.com</v>
      </c>
      <c r="N37" s="20" t="str">
        <f ca="1"/>
        <v>Alabanza y jovenes</v>
      </c>
      <c r="O37" s="20" t="str">
        <f ca="1"/>
        <v>Hace un tiempo, atravesé una etapa difícil en mi vida, luchando con problemas alimenticios y una autoestima muy dañada. Pero en medio de esa oscuridad, Dios usó a una chica misionera que se acercó y habló directamente a mi corazón, recordándome el valor inmenso que tengo para Él. A través de sus palabras y del amor de Jesús, pude ver que mi vida tenía propósito y que yo era profundamente amada.  
Hoy, Dios me permite usar mi historia como testimonio y guía para otras chicas, ayudándolas a descubrir su verdadero valor y a experimentar el amor incondicional de Jesús. Es un honor para mí acompañarlas, alentarlas y caminar junto a ellas en esta hermosa aventura de fe.</v>
      </c>
      <c r="P37" s="20" t="str">
        <f ca="1"/>
        <v>Porque siento que mi propósito es ser de bendición para los chavos, guiarlos a que conozcan a Jesús de una manera real y a que se llenen del Espíritu Santo. Por eso, deseo ser parte de este equipo de verano, para acompañarlos en su caminar de fe y ver cómo Dios transforma sus vidas como transformó la mía.</v>
      </c>
      <c r="Q37" s="20" t="str">
        <f ca="1"/>
        <v>Si</v>
      </c>
      <c r="R37" s="20" t="str">
        <f ca="1"/>
        <v>Running</v>
      </c>
      <c r="S37" s="20" t="str">
        <f ca="1"/>
        <v>Si</v>
      </c>
      <c r="T37" s="20" t="str">
        <f ca="1"/>
        <v>Violin</v>
      </c>
      <c r="U37" s="20" t="str">
        <f ca="1"/>
        <v>Medicina y también un Técnico en Paramedico</v>
      </c>
      <c r="V37" s="20" t="str">
        <f ca="1"/>
        <v>Música, ballet y actuar rápido en situaciones complicadas</v>
      </c>
      <c r="W37" s="21" t="str">
        <f ca="1"/>
        <v>C. Suelo buscar que el trabajo se realice en equipo, D. Me gustan los deportes, H. Soy organizado (a), L. Soy bueno (a) en canto o algún instrumento, N. Suelo llevar el liderazgo en un grupo, O. Puedo enseñar con facilidad</v>
      </c>
      <c r="X37" s="21" t="str">
        <f ca="1"/>
        <v>No</v>
      </c>
      <c r="Y37" s="20">
        <v>0</v>
      </c>
      <c r="Z37" s="22" t="s">
        <v>28</v>
      </c>
      <c r="AA37" s="22"/>
      <c r="AB37" s="22"/>
      <c r="AC37" s="22"/>
      <c r="AD37" s="22"/>
      <c r="AE37" s="22"/>
      <c r="AF37" s="22"/>
      <c r="AG37" s="23"/>
      <c r="AH37" s="23"/>
      <c r="AI37" s="23"/>
      <c r="AJ37" s="16" t="s">
        <v>69</v>
      </c>
      <c r="AK37" s="16"/>
      <c r="AL37" s="17"/>
    </row>
    <row r="38" spans="1:38" ht="12.75" x14ac:dyDescent="0.35">
      <c r="A38" s="9">
        <v>37</v>
      </c>
      <c r="B38" s="20" t="str">
        <f ca="1"/>
        <v>Zahid Jabneel, Mendez Collado</v>
      </c>
      <c r="C38" s="33">
        <f ca="1"/>
        <v>19</v>
      </c>
      <c r="D38" s="20" t="str">
        <f ca="1"/>
        <v>Hombre</v>
      </c>
      <c r="E38" s="20" t="str">
        <f ca="1"/>
        <v>Veracruz, Mexico</v>
      </c>
      <c r="F38" s="20" t="str">
        <f ca="1"/>
        <v>zajmendez7@gmail.com</v>
      </c>
      <c r="G38" s="20">
        <f ca="1"/>
        <v>522721230275</v>
      </c>
      <c r="H38" s="20" t="str">
        <f ca="1"/>
        <v>Jóvenes de 13 – 17 años / SEM2/ (4 - 09 agosto)</v>
      </c>
      <c r="I38" s="20" t="str">
        <f ca="1"/>
        <v>La Buena Parte</v>
      </c>
      <c r="J38" s="20" t="str">
        <f ca="1"/>
        <v>El Sembrador Orizaba Centro</v>
      </c>
      <c r="K38" s="20" t="str">
        <f ca="1"/>
        <v>Chai Sanchez</v>
      </c>
      <c r="L38" s="20">
        <f ca="1"/>
        <v>522727839926</v>
      </c>
      <c r="M38" s="20" t="str">
        <f ca="1"/>
        <v>chaisanchezavilla@gmail.com</v>
      </c>
      <c r="N38" s="20" t="str">
        <f ca="1"/>
        <v>Maestro de Escuela Biblica</v>
      </c>
      <c r="O38" s="20" t="str">
        <f ca="1"/>
        <v>Cuando era joven empeze a sentir algo que me impulsaba a hacer las cosas para el Señor, y cada ves mas me sentia atraido a Él y con la necesidad de conocerle a Él aun mas y fue cuando tome la decisiones que queria seguirle</v>
      </c>
      <c r="P38" s="20" t="str">
        <f ca="1"/>
        <v>Desde hace 2 años me habian comentado acerca del campamento y tenia el deseo de ir a apoyar asi como una vez mis padres lo hicieron en el seminario de PV y apenas se me abrio una oportunidad de ir y no la podia desaprovecharla</v>
      </c>
      <c r="Q38" s="20" t="str">
        <f ca="1"/>
        <v>No</v>
      </c>
      <c r="R38" s="20">
        <v>0</v>
      </c>
      <c r="S38" s="20" t="str">
        <f ca="1"/>
        <v>No</v>
      </c>
      <c r="T38" s="20">
        <v>0</v>
      </c>
      <c r="U38" s="20" t="str">
        <f ca="1"/>
        <v>Ingenieria Quimica</v>
      </c>
      <c r="V38" s="20" t="str">
        <f ca="1"/>
        <v>Habil en el trabajo manual</v>
      </c>
      <c r="W38" s="21" t="str">
        <f ca="1"/>
        <v>A. Soy un discipulador activo, B. Me gusta animar a las personas, C. Suelo buscar que el trabajo se realice en equipo, E. Me gusta el trabajo con niños, G. Soy más eficiente en el trabajo individual, I. Se me facilita el trabajo físico, J. Me gusta la atención a las personas, K. Soy creativo (a), L. Soy bueno (a) en canto o algún instrumento, M. Soy bueno (a) con los números, N. Suelo llevar el liderazgo en un grupo, O. Puedo enseñar con facilidad</v>
      </c>
      <c r="X38" s="21" t="str">
        <f ca="1"/>
        <v>No he ido</v>
      </c>
      <c r="Y38" s="20">
        <v>0</v>
      </c>
      <c r="Z38" s="22" t="s">
        <v>28</v>
      </c>
      <c r="AA38" s="22"/>
      <c r="AB38" s="22"/>
      <c r="AC38" s="22"/>
      <c r="AD38" s="22"/>
      <c r="AE38" s="22"/>
      <c r="AF38" s="22"/>
      <c r="AG38" s="23"/>
      <c r="AH38" s="23"/>
      <c r="AI38" s="23"/>
      <c r="AJ38" s="16" t="s">
        <v>70</v>
      </c>
      <c r="AK38" s="16"/>
      <c r="AL38" s="17"/>
    </row>
    <row r="39" spans="1:38" ht="25.5" x14ac:dyDescent="0.35">
      <c r="A39" s="9">
        <v>38</v>
      </c>
      <c r="B39" s="30" t="str">
        <f ca="1"/>
        <v>Marley shirel, Flores Alonso</v>
      </c>
      <c r="C39" s="31">
        <f ca="1"/>
        <v>15</v>
      </c>
      <c r="D39" s="30" t="str">
        <f ca="1"/>
        <v>Mujer</v>
      </c>
      <c r="E39" s="30" t="str">
        <f ca="1"/>
        <v>Morelos, Mexico</v>
      </c>
      <c r="F39" s="30" t="str">
        <f ca="1"/>
        <v>marleyshirelflores@gmail.com</v>
      </c>
      <c r="G39" s="30">
        <f ca="1"/>
        <v>527351276278</v>
      </c>
      <c r="H39" s="30" t="str">
        <f ca="1"/>
        <v>Toda la temporada (07 de Julio al 16 de agosto)</v>
      </c>
      <c r="I39" s="30" t="str">
        <f ca="1"/>
        <v>Pasos diarios</v>
      </c>
      <c r="J39" s="30" t="str">
        <f ca="1"/>
        <v>Iglesia cristiana mahanaim</v>
      </c>
      <c r="K39" s="30" t="str">
        <f ca="1"/>
        <v>Fernando bermudez</v>
      </c>
      <c r="L39" s="30">
        <f ca="1"/>
        <v>527351258023</v>
      </c>
      <c r="M39" s="30" t="str">
        <f ca="1"/>
        <v>ferberca48@gmail.com</v>
      </c>
      <c r="N39" s="30" t="str">
        <f ca="1"/>
        <v>Evangelismo</v>
      </c>
      <c r="O39" s="30" t="str">
        <f ca="1"/>
        <v>Fue en un campamento de palabra de vida</v>
      </c>
      <c r="P39" s="30" t="str">
        <f ca="1"/>
        <v>Para poder servir al señor</v>
      </c>
      <c r="Q39" s="30" t="str">
        <f ca="1"/>
        <v>Si</v>
      </c>
      <c r="R39" s="30" t="str">
        <f ca="1"/>
        <v>Volleyball</v>
      </c>
      <c r="S39" s="30" t="str">
        <f ca="1"/>
        <v>No</v>
      </c>
      <c r="T39" s="30">
        <v>0</v>
      </c>
      <c r="U39" s="30" t="str">
        <f ca="1"/>
        <v>High school</v>
      </c>
      <c r="V39" s="30" t="str">
        <f ca="1"/>
        <v>Dibujo</v>
      </c>
      <c r="W39" s="16" t="str">
        <f ca="1"/>
        <v>D. Me gustan los deportes, G. Soy más eficiente en el trabajo individual, H. Soy organizado (a), K. Soy creativo (a), L. Soy bueno (a) en canto o algún instrumento, M. Soy bueno (a) con los números</v>
      </c>
      <c r="X39" s="16" t="str">
        <f ca="1"/>
        <v>2014 - 2025</v>
      </c>
      <c r="Y39" s="30">
        <v>0</v>
      </c>
      <c r="Z39" s="23" t="s">
        <v>25</v>
      </c>
      <c r="AA39" s="23"/>
      <c r="AB39" s="23"/>
      <c r="AC39" s="23"/>
      <c r="AD39" s="23"/>
      <c r="AE39" s="23"/>
      <c r="AF39" s="23"/>
      <c r="AG39" s="23"/>
      <c r="AH39" s="23"/>
      <c r="AI39" s="23"/>
      <c r="AJ39" s="16" t="s">
        <v>71</v>
      </c>
      <c r="AK39" s="16"/>
      <c r="AL39" s="17"/>
    </row>
    <row r="40" spans="1:38" ht="12.75" x14ac:dyDescent="0.35">
      <c r="A40" s="9">
        <v>39</v>
      </c>
      <c r="B40" s="30" t="str">
        <f ca="1"/>
        <v>Sergio Timoteo, González Medina</v>
      </c>
      <c r="C40" s="31">
        <f ca="1"/>
        <v>16</v>
      </c>
      <c r="D40" s="30" t="str">
        <f ca="1"/>
        <v>Hombre</v>
      </c>
      <c r="E40" s="30" t="str">
        <f ca="1"/>
        <v>Morelos, Mexico</v>
      </c>
      <c r="F40" s="30" t="str">
        <f ca="1"/>
        <v>timoteogonzalez777@gmail.com</v>
      </c>
      <c r="G40" s="30">
        <f ca="1"/>
        <v>527353618466</v>
      </c>
      <c r="H40" s="30" t="str">
        <f ca="1"/>
        <v>Semana de entrenamiento (07 - 13) Julio, Comunidad Jóvenes + 18 (14-19) Julio, Semana de niños y niñas (21-25) Julio</v>
      </c>
      <c r="I40" s="30" t="str">
        <f ca="1"/>
        <v>Caminemos con la Palabra</v>
      </c>
      <c r="J40" s="30" t="str">
        <f ca="1"/>
        <v>Palabra de Fe</v>
      </c>
      <c r="K40" s="30" t="str">
        <f ca="1"/>
        <v>Sergio Gonzalez Rivera</v>
      </c>
      <c r="L40" s="30">
        <f ca="1"/>
        <v>527351365595</v>
      </c>
      <c r="M40" s="30" t="str">
        <f ca="1"/>
        <v>serglerv@gmail.com</v>
      </c>
      <c r="N40" s="30" t="str">
        <f ca="1"/>
        <v>Ministerio de Jovenes</v>
      </c>
      <c r="O40" s="30" t="str">
        <f ca="1"/>
        <v>Mi testimonio personal es una historia que comenzó con el asombro, la curiosidad y una riesgosa incredulidad. A los doce años, ya era un conocedor de la Palabra del Señor, pues mis padres habían sido pastores durante años. Escuchaba hablar de milagros, testimonios, alabanzas y sermones los domingos; sin embargo, aún no existía en mí un puente entre aquellas vivencias espirituales y una relación personal con el Señor Jesús. Entendía la teología: sabía que éramos pecadores, que necesitábamos un Salvador y quién era ese Salvador. No obstante, carecía de una convicción real en mi interior. Pensaba que tanto contacto con la Palabra me había adormecido, pero en realidad todo se debía a una falta de intimidad con Dios.
Viví momentos familiares difíciles, y con ellos surgió una profunda necesidad de sostén. Fue entonces cuando me adentré en la Palabra de manera íntima y con un corazón sensible. Sin buscar algo específico, encontré en ella el consuelo que necesitaba: más que un conocimiento, era una profunda revelación que interactuaba directamente con mi alma.
Con el paso del tiempo, los Proverbios se convirtieron para mí en palabras de claridad en medio de mis dudas. Más adelante, los entendí como la sabiduría de Dios, que me enseñaba acerca de la sabiduría, la inteligencia y el entendimiento que Él deseaba para mi vida.
Posteriormente, me sumergí en las cartas de Pablo, y fue entonces cuando todo lo que antes había escuchado comenzó a adquirir un significado personal. Ahora la Palabra se revelaba a mí porque la leía con un corazón correcto: uno necesitado de Dios.
Mi testimonio personal no fue un cambio apresurado, sino un caminar continuo en el Señor, en el cual Él utilizó los momentos difíciles de mi vida para acercarme a Él y transformar mi vida mediante la revelación de su Palabra.</v>
      </c>
      <c r="P40" s="30" t="str">
        <f ca="1"/>
        <v>Durante el mes de marzo estuve sirviendo en la convención estudiantil, y fue una experiencia muy enriquecedora. Pude hacer muchos amigos, ponerme a prueba en el servicio, aprender a ser más organizado e independiente, y ser útil y eficiente en las distintas áreas asignadas. Por encima de todo, aprendí a adoptar el carácter de servicio que tuvo el Señor Jesús, sabiendo que todo lo que hacía era para Él y con la motivación de estar colaborando, aunque indirectamente, en la salvación de muchas personas al realizar un buen trabajo en mi área.
Esta es precisamente la razón por la cual, este verano, me gustaría formar parte del equipo. Asistí en 2022 como campero, y las enseñanzas recibidas en el campamento, junto con el contacto constante con la Palabra, me dieron claridad y fortalecieron mi relación con el Señor. Además, pude ver a muchos amigos y conocidos recibir a Cristo en su corazón y cambiar por completo el rumbo de sus vidas. Esa es mi mayor motivación: ahora deseo ser parte de los colaboradores que hacen posible ese campamento y que impactan tantas vidas.
Quiero, al igual que ocurrió conmigo, dar testimonio a través de mi servicio, desempeñar un buen trabajo y ser un instrumento para que muchas personas encuentren claridad en su caminar y reciban al Señor en su corazón.</v>
      </c>
      <c r="Q40" s="30" t="str">
        <f ca="1"/>
        <v>Si</v>
      </c>
      <c r="R40" s="30" t="str">
        <f ca="1"/>
        <v>Badminton</v>
      </c>
      <c r="S40" s="30" t="str">
        <f ca="1"/>
        <v>No</v>
      </c>
      <c r="T40" s="30">
        <v>0</v>
      </c>
      <c r="U40" s="30" t="str">
        <f ca="1"/>
        <v>Preparatoria</v>
      </c>
      <c r="V40" s="30" t="str">
        <f ca="1"/>
        <v>Habilidades deportivas: Tengo habilidades deportivas, para el bádminton y el básquetbol.  Habilidades culturales: Soy bueno hablando en público y escribo mucho en mis tiempos libres.  Habilidades computacionales: Sé cómo usar programas de productividad, p</v>
      </c>
      <c r="W40" s="16" t="str">
        <f ca="1"/>
        <v>B. Me gusta animar a las personas, D. Me gustan los deportes, H. Soy organizado (a), J. Me gusta la atención a las personas, K. Soy creativo (a)</v>
      </c>
      <c r="X40" s="16">
        <f ca="1"/>
        <v>2022</v>
      </c>
      <c r="Y40" s="30">
        <v>0</v>
      </c>
      <c r="Z40" s="23" t="s">
        <v>50</v>
      </c>
      <c r="AA40" s="23"/>
      <c r="AB40" s="23"/>
      <c r="AC40" s="23"/>
      <c r="AD40" s="23"/>
      <c r="AE40" s="23"/>
      <c r="AF40" s="23"/>
      <c r="AG40" s="23"/>
      <c r="AH40" s="23"/>
      <c r="AI40" s="23"/>
      <c r="AJ40" s="16"/>
      <c r="AK40" s="16"/>
      <c r="AL40" s="17"/>
    </row>
    <row r="41" spans="1:38" ht="63.75" x14ac:dyDescent="0.35">
      <c r="A41" s="9">
        <v>40</v>
      </c>
      <c r="B41" s="30" t="str">
        <f ca="1"/>
        <v>Esther, Tello Alcaraz</v>
      </c>
      <c r="C41" s="31">
        <f ca="1"/>
        <v>17</v>
      </c>
      <c r="D41" s="30" t="str">
        <f ca="1"/>
        <v>Mujer</v>
      </c>
      <c r="E41" s="30" t="str">
        <f ca="1"/>
        <v>Jalisco, Mexico</v>
      </c>
      <c r="F41" s="30" t="str">
        <f ca="1"/>
        <v>esther5.alcaraz@gmail.com</v>
      </c>
      <c r="G41" s="30">
        <f ca="1"/>
        <v>523334772865</v>
      </c>
      <c r="H41" s="30" t="str">
        <f ca="1"/>
        <v>Toda la temporada (07 de Julio al 16 de agosto)</v>
      </c>
      <c r="I41" s="30" t="str">
        <f ca="1"/>
        <v>Hora silenciosa</v>
      </c>
      <c r="J41" s="30" t="str">
        <f ca="1"/>
        <v>Iglesia Vida</v>
      </c>
      <c r="K41" s="30" t="str">
        <f ca="1"/>
        <v>Neftali Rubio Bonilla</v>
      </c>
      <c r="L41" s="30">
        <f ca="1"/>
        <v>524411036024</v>
      </c>
      <c r="M41" s="30" t="str">
        <f ca="1"/>
        <v>nefaly@gmail.com</v>
      </c>
      <c r="N41" s="30" t="str">
        <f ca="1"/>
        <v>Cafeteria y escuelita dominical</v>
      </c>
      <c r="O41" s="30" t="str">
        <f ca="1"/>
        <v>Naci en una familia cristiana que siempre me mostro el amor de Dios, pero hasta la pandemia me acerque a Dios y lo acepte en mi corazón,despues paso el tiempo y deje que se enfriara mi relacion hasta que a inicios del año pasado congrege mi vida al señor y me permito servir el año pasado en el campamento en la escuelita dominical</v>
      </c>
      <c r="P41" s="30" t="str">
        <f ca="1"/>
        <v>Porque anteriormente ya he servido de equipante y me gusto bastante la experiencia y me gustaria poder aprender mas sobre la palabra del señor y alcanzar a cuantas mas personas pueda con el evangelio</v>
      </c>
      <c r="Q41" s="30" t="str">
        <f ca="1"/>
        <v>No</v>
      </c>
      <c r="R41" s="30">
        <v>0</v>
      </c>
      <c r="S41" s="30" t="str">
        <f ca="1"/>
        <v>No</v>
      </c>
      <c r="T41" s="30">
        <v>0</v>
      </c>
      <c r="U41" s="30" t="str">
        <f ca="1"/>
        <v>El bachillerato</v>
      </c>
      <c r="V41" s="30" t="str">
        <f ca="1"/>
        <v>Soy buena con los niños y logro que se interesen en Dios y aprendan mas de el y soy activa y soy buena escuchando y aconsejando</v>
      </c>
      <c r="W41" s="16" t="str">
        <f ca="1"/>
        <v>B. Me gusta animar a las personas, C. Suelo buscar que el trabajo se realice en equipo, E. Me gusta el trabajo con niños, J. Me gusta la atención a las personas, K. Soy creativo (a), O. Puedo enseñar con facilidad</v>
      </c>
      <c r="X41" s="16" t="str">
        <f ca="1"/>
        <v>Si ,en el 2022,23 y 24</v>
      </c>
      <c r="Y41" s="30">
        <v>0</v>
      </c>
      <c r="Z41" s="23" t="s">
        <v>25</v>
      </c>
      <c r="AA41" s="23"/>
      <c r="AB41" s="23"/>
      <c r="AC41" s="23"/>
      <c r="AD41" s="23"/>
      <c r="AE41" s="23"/>
      <c r="AF41" s="23"/>
      <c r="AG41" s="23"/>
      <c r="AH41" s="23"/>
      <c r="AI41" s="23"/>
      <c r="AJ41" s="16" t="s">
        <v>72</v>
      </c>
      <c r="AK41" s="16"/>
      <c r="AL41" s="17"/>
    </row>
    <row r="42" spans="1:38" ht="25.5" x14ac:dyDescent="0.35">
      <c r="A42" s="9">
        <v>41</v>
      </c>
      <c r="B42" s="30" t="str">
        <f ca="1"/>
        <v>Lilia Esmeralda, Cinto Tamez</v>
      </c>
      <c r="C42" s="31">
        <f ca="1"/>
        <v>21</v>
      </c>
      <c r="D42" s="30" t="str">
        <f ca="1"/>
        <v>Mujer</v>
      </c>
      <c r="E42" s="30" t="str">
        <f ca="1"/>
        <v>Jalisco, Mexico</v>
      </c>
      <c r="F42" s="30" t="str">
        <f ca="1"/>
        <v>rutesther19@gmail.com</v>
      </c>
      <c r="G42" s="30">
        <f ca="1"/>
        <v>523317762342</v>
      </c>
      <c r="H42" s="30" t="str">
        <f ca="1"/>
        <v>Semana de entrenamiento (07 - 13) Julio, Comunidad Jóvenes + 18 (14-19) Julio</v>
      </c>
      <c r="I42" s="30" t="str">
        <f ca="1"/>
        <v>Emotionally Healthy Spirituality Day by Day</v>
      </c>
      <c r="J42" s="30" t="str">
        <f ca="1"/>
        <v>Iglesia Bíblica Misionera Guadalajara</v>
      </c>
      <c r="K42" s="30" t="str">
        <f ca="1"/>
        <v>Geronimo Tamez</v>
      </c>
      <c r="L42" s="30">
        <f ca="1"/>
        <v>523323326921</v>
      </c>
      <c r="M42" s="30" t="str">
        <f ca="1"/>
        <v>geroymarielatamez@hotmail.com</v>
      </c>
      <c r="N42" s="30" t="str">
        <f ca="1"/>
        <v>Alabanza/Escuela dominical/Misiones y evangelismo.</v>
      </c>
      <c r="O42" s="30" t="str">
        <f ca="1"/>
        <v>Recibí a Cristo a mis 7 años en mi primer campamento de Palabra de Vida en el 2010, y cuando crecí, a mis 12 años decidí consagrar mi vida al Señor.</v>
      </c>
      <c r="P42" s="30" t="str">
        <f ca="1"/>
        <v>Primeramente para cumplir la gran comisión. Ir y hacer discípulos a todas las naciones. Para poder ser de bendición a cada persona que esté en el instituto y para poder ver amados hermanos en Cristo de nuevo. ❤️</v>
      </c>
      <c r="Q42" s="30" t="str">
        <f ca="1"/>
        <v>No</v>
      </c>
      <c r="R42" s="30">
        <v>0</v>
      </c>
      <c r="S42" s="30" t="str">
        <f ca="1"/>
        <v>No</v>
      </c>
      <c r="T42" s="30">
        <v>0</v>
      </c>
      <c r="U42" s="30" t="str">
        <f ca="1"/>
        <v>Relaciones Internacionales</v>
      </c>
      <c r="V42" s="30" t="str">
        <f ca="1"/>
        <v>Soy estudiante y temporalmente trabajo traduciendo el evangelio.</v>
      </c>
      <c r="W42" s="16" t="str">
        <f ca="1"/>
        <v>A. Soy un discipulador activo, B. Me gusta animar a las personas, C. Suelo buscar que el trabajo se realice en equipo, J. Me gusta la atención a las personas, L. Soy bueno (a) en canto o algún instrumento</v>
      </c>
      <c r="X42" s="16" t="str">
        <f ca="1"/>
        <v>Campera en el 2010 y 2019 y he sido equipante en el 2023 y 2024.</v>
      </c>
      <c r="Y42" s="30">
        <v>0</v>
      </c>
      <c r="Z42" s="23" t="s">
        <v>26</v>
      </c>
      <c r="AA42" s="23"/>
      <c r="AB42" s="23"/>
      <c r="AC42" s="23"/>
      <c r="AD42" s="23"/>
      <c r="AE42" s="23"/>
      <c r="AF42" s="23"/>
      <c r="AG42" s="23"/>
      <c r="AH42" s="23"/>
      <c r="AI42" s="23"/>
      <c r="AJ42" s="16" t="s">
        <v>73</v>
      </c>
      <c r="AK42" s="16"/>
      <c r="AL42" s="17"/>
    </row>
    <row r="43" spans="1:38" ht="25.5" x14ac:dyDescent="0.35">
      <c r="A43" s="9">
        <v>42</v>
      </c>
      <c r="B43" s="30" t="str">
        <f ca="1"/>
        <v>Alondra, Morales Mendiola</v>
      </c>
      <c r="C43" s="31">
        <f ca="1"/>
        <v>20</v>
      </c>
      <c r="D43" s="30" t="str">
        <f ca="1"/>
        <v>Mujer</v>
      </c>
      <c r="E43" s="30" t="str">
        <f ca="1"/>
        <v>Queretaro, Mexico</v>
      </c>
      <c r="F43" s="30" t="str">
        <f ca="1"/>
        <v>alomendiola108@gmail.com</v>
      </c>
      <c r="G43" s="30">
        <f ca="1"/>
        <v>524412657003</v>
      </c>
      <c r="H43" s="30" t="str">
        <f ca="1"/>
        <v>Comunidad Jóvenes + 18 (14-19) Julio</v>
      </c>
      <c r="I43" s="30" t="str">
        <f ca="1"/>
        <v>Arde</v>
      </c>
      <c r="J43" s="30" t="str">
        <f ca="1"/>
        <v>Horizonte Tx</v>
      </c>
      <c r="K43" s="30" t="str">
        <f ca="1"/>
        <v>Hugo ventura</v>
      </c>
      <c r="L43" s="30">
        <f ca="1"/>
        <v>524422301269</v>
      </c>
      <c r="M43" s="30" t="str">
        <f ca="1"/>
        <v>venturahugo10@gmail.com</v>
      </c>
      <c r="N43" s="30" t="str">
        <f ca="1"/>
        <v>Alabanza</v>
      </c>
      <c r="O43" s="30" t="str">
        <f ca="1"/>
        <v>crecí en una iglesia desde pequeña pero no había comprendido el evangelio y eso era evidente en mi vida diaria, totalmente alejada de Dios haciendo lo que yo creía mejor pero también con muchos temores 
A los 13 en la que ahora es mi iglesia local pude escuchar el evangelio nuevamente y pude comprender que necesitaba de un Salvador, necesitaba de la obra redentora de Cristo en mi vida y entregué mi vida a Cristo creyendo plenamente en el y arrepintiendome de mis pecados, por la obra de Cristo soy Salva ! Y hoy se que soy soy Salva por los méritos de Jesus y no los mios</v>
      </c>
      <c r="P43" s="30" t="str">
        <f ca="1"/>
        <v>Por qué deseo poder servir con mi tiempo y compartir con los demás acerca de Cristo</v>
      </c>
      <c r="Q43" s="30" t="str">
        <f ca="1"/>
        <v>No</v>
      </c>
      <c r="R43" s="30">
        <v>0</v>
      </c>
      <c r="S43" s="30" t="str">
        <f ca="1"/>
        <v>Si</v>
      </c>
      <c r="T43" s="30" t="str">
        <f ca="1"/>
        <v>Teclado</v>
      </c>
      <c r="U43" s="30" t="str">
        <f ca="1"/>
        <v>Actualmente no estudió, pero estoy trabajando formalmente</v>
      </c>
      <c r="V43" s="30" t="str">
        <f ca="1"/>
        <v>Puedo trabajar en equipo,dirigir, habilidades creativas</v>
      </c>
      <c r="W43" s="16" t="str">
        <f ca="1"/>
        <v>B. Me gusta animar a las personas, J. Me gusta la atención a las personas, N. Suelo llevar el liderazgo en un grupo</v>
      </c>
      <c r="X43" s="16" t="str">
        <f ca="1"/>
        <v>Si anteriormente estuve como campera 3 veces en semana de adolescentes</v>
      </c>
      <c r="Y43" s="30">
        <v>0</v>
      </c>
      <c r="Z43" s="23" t="s">
        <v>51</v>
      </c>
      <c r="AA43" s="23" t="s">
        <v>26</v>
      </c>
      <c r="AB43" s="23"/>
      <c r="AC43" s="23"/>
      <c r="AD43" s="23"/>
      <c r="AE43" s="23"/>
      <c r="AF43" s="23"/>
      <c r="AG43" s="23"/>
      <c r="AH43" s="23"/>
      <c r="AI43" s="23"/>
      <c r="AJ43" s="16" t="s">
        <v>74</v>
      </c>
      <c r="AK43" s="16"/>
      <c r="AL43" s="17"/>
    </row>
    <row r="44" spans="1:38" ht="25.5" x14ac:dyDescent="0.35">
      <c r="A44" s="9">
        <v>43</v>
      </c>
      <c r="B44" s="30" t="str">
        <f ca="1"/>
        <v>Laila, Gonzalez</v>
      </c>
      <c r="C44" s="31">
        <f ca="1"/>
        <v>17</v>
      </c>
      <c r="D44" s="30" t="str">
        <f ca="1"/>
        <v>Mujer</v>
      </c>
      <c r="E44" s="30" t="str">
        <f ca="1"/>
        <v>Morelos, Mexico</v>
      </c>
      <c r="F44" s="30" t="str">
        <f ca="1"/>
        <v>lailagonzalez.2607@gmail.com</v>
      </c>
      <c r="G44" s="30">
        <f ca="1"/>
        <v>527352584545</v>
      </c>
      <c r="H44" s="30" t="str">
        <f ca="1"/>
        <v>Semana de entrenamiento (07 - 13) Julio, Jóvenes de 13 – 17 años / SEM2/ (4 - 09 agosto), Jóvenes de 13 – 17 años / SEM3/ (11 - 16 agosto)</v>
      </c>
      <c r="I44" s="30" t="str">
        <f ca="1"/>
        <v>Caminando en la Palabra</v>
      </c>
      <c r="J44" s="30" t="str">
        <f ca="1"/>
        <v>Iglesia de Palabra de Fe y Amor</v>
      </c>
      <c r="K44" s="30" t="str">
        <f ca="1"/>
        <v>Sergio Gonzalez Rivera</v>
      </c>
      <c r="L44" s="30">
        <f ca="1"/>
        <v>527351365596</v>
      </c>
      <c r="M44" s="30" t="str">
        <f ca="1"/>
        <v>serchyo@gmail.com</v>
      </c>
      <c r="N44" s="30" t="str">
        <f ca="1"/>
        <v>Bienvenida, niños</v>
      </c>
      <c r="O44" s="30" t="str">
        <f ca="1"/>
        <v>Mi familia pasó por unos meses muy complicados, llenos de incertidumbre e inestabilidad que me llevaron a un punto de quiebre y fue en ese momento en el que sabía que yo no podía salir de ahí, pero Él si, y le entregue mi vida, mis cargas , preocupaciones y sueños.</v>
      </c>
      <c r="P44" s="30" t="str">
        <f ca="1"/>
        <v>Lo veo como una muy buena oportunidad de conocerme más a mi misma y a más personas.
Me gusta servir, estar haciendo muchas cosas y aprender otras nuevas.</v>
      </c>
      <c r="Q44" s="30" t="str">
        <f ca="1"/>
        <v>Si</v>
      </c>
      <c r="R44" s="30" t="str">
        <f ca="1"/>
        <v>Badminton</v>
      </c>
      <c r="S44" s="30" t="str">
        <f ca="1"/>
        <v>No</v>
      </c>
      <c r="T44" s="30">
        <v>0</v>
      </c>
      <c r="U44" s="30" t="str">
        <f ca="1"/>
        <v>Preparatoria</v>
      </c>
      <c r="V44" s="30" t="str">
        <f ca="1"/>
        <v>Organización y administración de un restaurante</v>
      </c>
      <c r="W44" s="16" t="str">
        <f ca="1"/>
        <v>C. Suelo buscar que el trabajo se realice en equipo, E. Me gusta el trabajo con niños, G. Soy más eficiente en el trabajo individual, H. Soy organizado (a), I. Se me facilita el trabajo físico, J. Me gusta la atención a las personas, N. Suelo llevar el liderazgo en un grupo, O. Puedo enseñar con facilidad</v>
      </c>
      <c r="X44" s="16" t="str">
        <f ca="1"/>
        <v>Si, 2022</v>
      </c>
      <c r="Y44" s="30">
        <v>0</v>
      </c>
      <c r="Z44" s="23" t="s">
        <v>25</v>
      </c>
      <c r="AA44" s="23"/>
      <c r="AB44" s="23"/>
      <c r="AC44" s="23"/>
      <c r="AD44" s="23"/>
      <c r="AE44" s="23"/>
      <c r="AF44" s="23"/>
      <c r="AG44" s="23"/>
      <c r="AH44" s="23"/>
      <c r="AI44" s="23"/>
      <c r="AJ44" s="16" t="s">
        <v>75</v>
      </c>
      <c r="AK44" s="16"/>
      <c r="AL44" s="17"/>
    </row>
    <row r="45" spans="1:38" ht="12.75" x14ac:dyDescent="0.35">
      <c r="A45" s="9">
        <v>44</v>
      </c>
      <c r="B45" s="30" t="str">
        <f ca="1"/>
        <v>Michel, Paz Rodríguez</v>
      </c>
      <c r="C45" s="31">
        <f ca="1"/>
        <v>15</v>
      </c>
      <c r="D45" s="30" t="str">
        <f ca="1"/>
        <v>Mujer</v>
      </c>
      <c r="E45" s="30" t="str">
        <f ca="1"/>
        <v>Tamaulipas, Mexico</v>
      </c>
      <c r="F45" s="30" t="str">
        <f ca="1"/>
        <v>rdzmichel39@gmail.com</v>
      </c>
      <c r="G45" s="30">
        <f ca="1"/>
        <v>528334457545</v>
      </c>
      <c r="H45" s="30" t="str">
        <f ca="1"/>
        <v>Semana de entrenamiento (07 - 13) Julio, Comunidad Jóvenes + 18 (14-19) Julio, Semana de niños y niñas (21-25) Julio, Jóvenes de 13 – 17 años / SEM1/ (28 Julio a 02 de agosto), Jóvenes de 13 – 17 años / SEM2/ (4 - 09 agosto)</v>
      </c>
      <c r="I45" s="30" t="str">
        <f ca="1"/>
        <v>DEVOCIONAL EN LINEA</v>
      </c>
      <c r="J45" s="30" t="str">
        <f ca="1"/>
        <v>IB GRACIAS SOBRE GRACIAS</v>
      </c>
      <c r="K45" s="30" t="str">
        <f ca="1"/>
        <v>EDGAR FRANCO GONZÁLEZ</v>
      </c>
      <c r="L45" s="30">
        <f ca="1"/>
        <v>528331768824</v>
      </c>
      <c r="M45" s="30" t="str">
        <f ca="1"/>
        <v>edgar.franco83@gmail.com</v>
      </c>
      <c r="N45" s="30" t="str">
        <f ca="1"/>
        <v>MINISTERIO DE JOVENES</v>
      </c>
      <c r="O45" s="30" t="str">
        <f ca="1"/>
        <v>fue el año pasado en el campamento el último dia, ese día me di cuánta que no estaba amando a Dios como debería, que había algo en mi que estaba inconforme, ese día en la cruz que puse a llorar y le pedí perdón a cristo por todo lo malo que había hecho.</v>
      </c>
      <c r="P45" s="30" t="str">
        <f ca="1"/>
        <v>Por qué se me puede servir para mí vida espiritual y  para seguir amando a Dios</v>
      </c>
      <c r="Q45" s="30" t="str">
        <f ca="1"/>
        <v>Si</v>
      </c>
      <c r="R45" s="30" t="str">
        <f ca="1"/>
        <v>Handball</v>
      </c>
      <c r="S45" s="30" t="str">
        <f ca="1"/>
        <v>No</v>
      </c>
      <c r="T45" s="30">
        <v>0</v>
      </c>
      <c r="U45" s="30" t="str">
        <f ca="1"/>
        <v>Programación</v>
      </c>
      <c r="V45" s="30" t="str">
        <f ca="1"/>
        <v>Se cuidar y llevarme bien con los niños chiquitos</v>
      </c>
      <c r="W45" s="16" t="str">
        <f ca="1"/>
        <v>B. Me gusta animar a las personas, C. Suelo buscar que el trabajo se realice en equipo, D. Me gustan los deportes, E. Me gusta el trabajo con niños, K. Soy creativo (a), N. Suelo llevar el liderazgo en un grupo</v>
      </c>
      <c r="X45" s="16" t="str">
        <f ca="1"/>
        <v>temporada 2024</v>
      </c>
      <c r="Y45" s="30">
        <v>0</v>
      </c>
      <c r="Z45" s="23" t="s">
        <v>25</v>
      </c>
      <c r="AA45" s="23"/>
      <c r="AB45" s="23"/>
      <c r="AC45" s="23"/>
      <c r="AD45" s="23"/>
      <c r="AE45" s="23"/>
      <c r="AF45" s="23"/>
      <c r="AG45" s="23"/>
      <c r="AH45" s="23"/>
      <c r="AI45" s="23"/>
      <c r="AJ45" s="16" t="s">
        <v>76</v>
      </c>
      <c r="AK45" s="16"/>
      <c r="AL45" s="17"/>
    </row>
    <row r="46" spans="1:38" ht="12.75" x14ac:dyDescent="0.35">
      <c r="A46" s="9">
        <v>45</v>
      </c>
      <c r="B46" s="30" t="str">
        <f ca="1"/>
        <v>Stephanie Yameli, Herrera palafox</v>
      </c>
      <c r="C46" s="31">
        <f ca="1"/>
        <v>20</v>
      </c>
      <c r="D46" s="30" t="str">
        <f ca="1"/>
        <v>Mujer</v>
      </c>
      <c r="E46" s="30" t="str">
        <f ca="1"/>
        <v>Queretaro, Mexico</v>
      </c>
      <c r="F46" s="30" t="str">
        <f ca="1"/>
        <v>stephanieherrerapalafox@gmail.com</v>
      </c>
      <c r="G46" s="30">
        <f ca="1"/>
        <v>524411392222</v>
      </c>
      <c r="H46" s="30" t="str">
        <f ca="1"/>
        <v>Semana de entrenamiento (07 - 13) Julio, Comunidad Jóvenes + 18 (14-19) Julio, Semana de niños y niñas (21-25) Julio, Jóvenes de 13 – 17 años / SEM1/ (28 Julio a 02 de agosto), Jóvenes de 13 – 17 años / SEM2/ (4 - 09 agosto), Jóvenes de 13 – 17 años / SEM3/ (11 - 16 agosto), Toda la temporada (07 de Julio al 16 de agosto)</v>
      </c>
      <c r="I46" s="30" t="str">
        <f ca="1"/>
        <v>Glorify</v>
      </c>
      <c r="J46" s="30" t="str">
        <f ca="1"/>
        <v>Llamada final</v>
      </c>
      <c r="K46" s="30" t="str">
        <f ca="1"/>
        <v>Ramiro herrera Cervantes</v>
      </c>
      <c r="L46" s="30">
        <f ca="1"/>
        <v>524411392222</v>
      </c>
      <c r="M46" s="30" t="str">
        <f ca="1"/>
        <v>ramiroherreracervantes@gmail.com</v>
      </c>
      <c r="N46" s="30" t="str">
        <f ca="1"/>
        <v>Alabanza y niños</v>
      </c>
      <c r="O46" s="30" t="str">
        <f ca="1"/>
        <v>Nací en el evangelio y en una convención de estudiantes (ACE) en una predicación supe que necesitaba nacer de nuevo a los 15 años fue que tome la decisión</v>
      </c>
      <c r="P46" s="30" t="str">
        <f ca="1"/>
        <v>Llevo varios años viniendo como campera pero creo que ahora necesito dar de mi servicio ya no solo recibir si no dar de mi esfuerzo para servir a Dios</v>
      </c>
      <c r="Q46" s="30" t="str">
        <f ca="1"/>
        <v>Si</v>
      </c>
      <c r="R46" s="30" t="str">
        <f ca="1"/>
        <v>Volleyball</v>
      </c>
      <c r="S46" s="30" t="str">
        <f ca="1"/>
        <v>Si</v>
      </c>
      <c r="T46" s="30" t="str">
        <f ca="1"/>
        <v>Guitarra</v>
      </c>
      <c r="U46" s="30" t="str">
        <f ca="1"/>
        <v>Teología en Cristo para las Naciones Mty</v>
      </c>
      <c r="V46" s="30" t="str">
        <f ca="1"/>
        <v>Canto</v>
      </c>
      <c r="W46" s="16" t="str">
        <f ca="1"/>
        <v>A. Soy un discipulador activo, D. Me gustan los deportes, H. Soy organizado (a), J. Me gusta la atención a las personas, L. Soy bueno (a) en canto o algún instrumento, O. Puedo enseñar con facilidad</v>
      </c>
      <c r="X46" s="16" t="str">
        <f ca="1"/>
        <v>Si en más 18</v>
      </c>
      <c r="Y46" s="30">
        <v>0</v>
      </c>
      <c r="Z46" s="23" t="s">
        <v>25</v>
      </c>
      <c r="AA46" s="23"/>
      <c r="AB46" s="23"/>
      <c r="AC46" s="23"/>
      <c r="AD46" s="23"/>
      <c r="AE46" s="23"/>
      <c r="AF46" s="23"/>
      <c r="AG46" s="23"/>
      <c r="AH46" s="23"/>
      <c r="AI46" s="23"/>
      <c r="AJ46" s="16" t="s">
        <v>77</v>
      </c>
      <c r="AK46" s="16"/>
      <c r="AL46" s="17"/>
    </row>
    <row r="47" spans="1:38" ht="25.5" x14ac:dyDescent="0.35">
      <c r="A47" s="9">
        <v>46</v>
      </c>
      <c r="B47" s="30" t="str">
        <f ca="1"/>
        <v>Karen Paulina, Camacho Bahena</v>
      </c>
      <c r="C47" s="31">
        <f ca="1"/>
        <v>19</v>
      </c>
      <c r="D47" s="30" t="str">
        <f ca="1"/>
        <v>Mujer</v>
      </c>
      <c r="E47" s="30" t="str">
        <f ca="1"/>
        <v>Puebla, Mexico</v>
      </c>
      <c r="F47" s="30" t="str">
        <f ca="1"/>
        <v>karencamachobahena06@gmail.com</v>
      </c>
      <c r="G47" s="30">
        <f ca="1"/>
        <v>527353225573</v>
      </c>
      <c r="H47" s="30" t="str">
        <f ca="1"/>
        <v>Semana de entrenamiento (07 - 13) Julio, Semana de niños y niñas (21-25) Julio, Jóvenes de 13 – 17 años / SEM1/ (28 Julio a 02 de agosto), Jóvenes de 13 – 17 años / SEM2/ (4 - 09 agosto), Jóvenes de 13 – 17 años / SEM3/ (11 - 16 agosto)</v>
      </c>
      <c r="I47" s="30" t="str">
        <f ca="1"/>
        <v>Ahora estoy leyendo la Biblia, pero aveces devocionales que me regala mi mamá, o de yourversion</v>
      </c>
      <c r="J47" s="30" t="str">
        <f ca="1"/>
        <v>Amistad de Puebla</v>
      </c>
      <c r="K47" s="30" t="str">
        <f ca="1"/>
        <v>Israel Camacho</v>
      </c>
      <c r="L47" s="30">
        <f ca="1"/>
        <v>52529581247722</v>
      </c>
      <c r="M47" s="30" t="str">
        <f ca="1"/>
        <v>israelcamacho.0307@gmail.com</v>
      </c>
      <c r="N47" s="30" t="str">
        <f ca="1"/>
        <v>Con los niños</v>
      </c>
      <c r="O47" s="30" t="str">
        <f ca="1"/>
        <v>Desde niña he ido a la iglesia, y he conocido de Cristo, me sabía capítulos enteros de La Biblia, y yo creía que era salva, pero desde los 14-15 empecé con trastornos alimenticios, insomios muy fuertes, dormía hasta que saliera el sol, por qué sentía un miedo y una ansiedad muy fuerte, y cada que lograba dormir, tenía pesadillas muy fuertes. Tuve un viaje en familia, fuimos de vacaciones. Nadie sabe eso pero en esas vacaciones trate de quitarme la vida durante una noche. En ese momento Dios me cego la vista y empecé a ver un ministerio, que desde niña me han dicho que voy a tener, toda mi vida, siempre que oran por mi, me dicen sobre ese ministerio. Cegó mis ojos, ví el ministerio, y ví a un niño pequeño, que se que en un futuro lo voy a conocer. Dios me recordó que no estaba sola y que el sigue teniendo algo grande para mí. Años después, a los 18, Dios me despertó una noche y comencé a recibirlo en mi corazón con mi voz y no solo con el pensamiento. Ahora a mis 19 me di cuenta que conocía a Dios, por medio de otras personas, escuela cristiana, iglesia, familia cristiana, etc. Creía conocer a Dios, pero en realidad solo lo conocía por medio de los demás, y ahora lo estoy conociendo cara a cara. Este año y el pasado han sido difíciles por qué tengo un hermano que está pasando por una enfermedad terminal, así que he estado amando y odiando a Dios, pero ahora confío en que su voluntad es para bien, y que no se ha olvidado de nosotros.</v>
      </c>
      <c r="P47" s="30" t="str">
        <f ca="1"/>
        <v>Desde niña conozco este campamento, y siempre he deseado crecer y poder servir, junto a otros que también están buscando a Dios.</v>
      </c>
      <c r="Q47" s="30" t="str">
        <f ca="1"/>
        <v>No</v>
      </c>
      <c r="R47" s="30">
        <v>0</v>
      </c>
      <c r="S47" s="30" t="str">
        <f ca="1"/>
        <v>No</v>
      </c>
      <c r="T47" s="30">
        <v>0</v>
      </c>
      <c r="U47" s="30" t="str">
        <f ca="1"/>
        <v>Estuve estudiando psicología, la carrera, cursos y diplomados, pero me tomé una pausa para servir y trabajar este año, después comenzaré a estudiar pedagogía.</v>
      </c>
      <c r="V47" s="30" t="str">
        <f ca="1"/>
        <v>Habilidades: Comunicación efectiva, liderazgo, trabajo en equipo, me gusta actuar y bailar, facilidad al hablar.  Oficios: Atención al cliente, creación de contenido, edición foto y vídeo, organización de eventos.  Profesión: Profesional inmobiliario en K</v>
      </c>
      <c r="W47" s="16" t="str">
        <f ca="1"/>
        <v>A. Soy un discipulador activo, B. Me gusta animar a las personas, D. Me gustan los deportes, E. Me gusta el trabajo con niños, J. Me gusta la atención a las personas, K. Soy creativo (a), N. Suelo llevar el liderazgo en un grupo, O. Puedo enseñar con facilidad</v>
      </c>
      <c r="X47" s="16" t="str">
        <f ca="1"/>
        <v>He Sido campera 2 veces, en el año pasado primera semana, y en el 2022 segunda semana, y he ido a competir 3 veces.</v>
      </c>
      <c r="Y47" s="30">
        <v>0</v>
      </c>
      <c r="Z47" s="23" t="s">
        <v>25</v>
      </c>
      <c r="AA47" s="23"/>
      <c r="AB47" s="23"/>
      <c r="AC47" s="23"/>
      <c r="AD47" s="23"/>
      <c r="AE47" s="23"/>
      <c r="AF47" s="23"/>
      <c r="AG47" s="23"/>
      <c r="AH47" s="23"/>
      <c r="AI47" s="23"/>
      <c r="AJ47" s="16" t="s">
        <v>78</v>
      </c>
      <c r="AK47" s="16"/>
      <c r="AL47" s="17"/>
    </row>
    <row r="48" spans="1:38" ht="38.25" x14ac:dyDescent="0.35">
      <c r="A48" s="9">
        <v>47</v>
      </c>
      <c r="B48" s="30" t="str">
        <f ca="1"/>
        <v>Pablo Samuel, Pozo Alfaro</v>
      </c>
      <c r="C48" s="31">
        <f ca="1"/>
        <v>18</v>
      </c>
      <c r="D48" s="30" t="str">
        <f ca="1"/>
        <v>Hombre</v>
      </c>
      <c r="E48" s="30" t="str">
        <f ca="1"/>
        <v>Chiapas, Mexico</v>
      </c>
      <c r="F48" s="30" t="str">
        <f ca="1"/>
        <v>gonzosam3000@gmail.com</v>
      </c>
      <c r="G48" s="30">
        <f ca="1"/>
        <v>529613670765</v>
      </c>
      <c r="H48" s="30" t="str">
        <f ca="1"/>
        <v>Semana de entrenamiento (07 - 13) Julio, Semana de niños y niñas (21-25) Julio, Jóvenes de 13 – 17 años / SEM1/ (28 Julio a 02 de agosto), Jóvenes de 13 – 17 años / SEM2/ (4 - 09 agosto), Jóvenes de 13 – 17 años / SEM3/ (11 - 16 agosto)</v>
      </c>
      <c r="I48" s="30" t="str">
        <f ca="1"/>
        <v>Vida viva Tiempo con Dios</v>
      </c>
      <c r="J48" s="30" t="str">
        <f ca="1"/>
        <v>Viña de Dios</v>
      </c>
      <c r="K48" s="30" t="str">
        <f ca="1"/>
        <v>Pedro Pablo Alfaro Gonzales</v>
      </c>
      <c r="L48" s="30">
        <f ca="1"/>
        <v>529613644869</v>
      </c>
      <c r="M48" s="30" t="str">
        <f ca="1"/>
        <v>ppalfaro_g@gmail.com</v>
      </c>
      <c r="N48" s="30" t="str">
        <f ca="1"/>
        <v>Alabanza</v>
      </c>
      <c r="O48" s="30" t="str">
        <f ca="1"/>
        <v>Nací en una familia pastoral, y mi proceso en la fe fue un tanto complicado para mi ya que crecí viendo hacia el mundo en lugar de ver lo hermoso que el señor puso frente a mi, pero cuando encontré al señor, y al fin logré ver lo que había puesto en mi corazón y en mi vida, comprendí que todo a mi alrededor y toda su creación me mostraba su gloria y cuando lo comprendí decidí entregarle mi vida.</v>
      </c>
      <c r="P48" s="30" t="str">
        <f ca="1"/>
        <v>Alguna vez de niño viví la semana de Camp en Palabra de vida, siempre deseé volver y no había podido hasta ahora, y el deseo de mi corazón desde que comprendí mi fe, ha sido servir a su obra donde quiera que pueda.</v>
      </c>
      <c r="Q48" s="30" t="str">
        <f ca="1"/>
        <v>Si</v>
      </c>
      <c r="R48" s="30" t="str">
        <f ca="1"/>
        <v>Fútbol, Karate, Gimnasio.</v>
      </c>
      <c r="S48" s="30" t="str">
        <f ca="1"/>
        <v>Si</v>
      </c>
      <c r="T48" s="30" t="str">
        <f ca="1"/>
        <v>Piano</v>
      </c>
      <c r="U48" s="30" t="str">
        <f ca="1"/>
        <v>Estoy estudiando el 4to semestre de preparatoria</v>
      </c>
      <c r="V48" s="30" t="str">
        <f ca="1"/>
        <v>Conocimientos básicos para el preparamiento físico juvenil como deportivo.</v>
      </c>
      <c r="W48" s="16" t="str">
        <f ca="1"/>
        <v>A. Soy un discipulador activo, C. Suelo buscar que el trabajo se realice en equipo, D. Me gustan los deportes, E. Me gusta el trabajo con niños, F. Soy eficiente en el trabajo con herramientas, equipos y maquinarias, I. Se me facilita el trabajo físico, J. Me gusta la atención a las personas, L. Soy bueno (a) en canto o algún instrumento, M. Soy bueno (a) con los números, N. Suelo llevar el liderazgo en un grupo, O. Puedo enseñar con facilidad</v>
      </c>
      <c r="X48" s="16">
        <f ca="1"/>
        <v>2017</v>
      </c>
      <c r="Y48" s="30">
        <v>0</v>
      </c>
      <c r="Z48" s="23" t="s">
        <v>50</v>
      </c>
      <c r="AA48" s="23"/>
      <c r="AB48" s="23" t="s">
        <v>45</v>
      </c>
      <c r="AC48" s="23"/>
      <c r="AD48" s="23"/>
      <c r="AE48" s="23"/>
      <c r="AF48" s="23"/>
      <c r="AG48" s="23"/>
      <c r="AH48" s="23"/>
      <c r="AI48" s="23"/>
      <c r="AJ48" s="16" t="s">
        <v>79</v>
      </c>
      <c r="AK48" s="16" t="s">
        <v>80</v>
      </c>
      <c r="AL48" s="17"/>
    </row>
    <row r="49" spans="1:38" ht="38.25" x14ac:dyDescent="0.35">
      <c r="A49" s="9">
        <v>48</v>
      </c>
      <c r="B49" s="30" t="str">
        <f ca="1"/>
        <v>Alejandra Isabella, García Solano</v>
      </c>
      <c r="C49" s="31">
        <f ca="1"/>
        <v>22</v>
      </c>
      <c r="D49" s="30" t="str">
        <f ca="1"/>
        <v>Mujer</v>
      </c>
      <c r="E49" s="30" t="str">
        <f ca="1"/>
        <v>Veracruz, Mexico</v>
      </c>
      <c r="F49" s="30" t="str">
        <f ca="1"/>
        <v>alisabellags@gmail.com</v>
      </c>
      <c r="G49" s="30">
        <f ca="1"/>
        <v>522721842320</v>
      </c>
      <c r="H49" s="30" t="str">
        <f ca="1"/>
        <v>Semana de entrenamiento (07 - 13) Julio, Comunidad Jóvenes + 18 (14-19) Julio, Semana de niños y niñas (21-25) Julio, Jóvenes de 13 – 17 años / SEM1/ (28 Julio a 02 de agosto)</v>
      </c>
      <c r="I49" s="30" t="str">
        <f ca="1"/>
        <v>Nuestro Pan Diario Israel</v>
      </c>
      <c r="J49" s="30" t="str">
        <f ca="1"/>
        <v>Orizaba Centro</v>
      </c>
      <c r="K49" s="30" t="str">
        <f ca="1"/>
        <v>Alejandro García Pérez</v>
      </c>
      <c r="L49" s="30">
        <f ca="1"/>
        <v>522721390989</v>
      </c>
      <c r="M49" s="30" t="str">
        <f ca="1"/>
        <v>alexanderix@hotmail.com</v>
      </c>
      <c r="N49" s="30" t="str">
        <f ca="1"/>
        <v>Coro, Maestra con los niños, campamento</v>
      </c>
      <c r="O49" s="30" t="str">
        <f ca="1"/>
        <v>Yo nací en cuna cristiana, sin embargo yo sé que eso no te salva, a mi mis padres me hablaban del Señor Jesús desde muy pequeña y lo acepte en mi corazón, más grande (12años aprox) reafirme mi decisión por el Señor, que el Señor Jesucristo es el hijo de Dios y que vino a morir por mi en la cruz a pagar todos mis pecados, eso que me separaba de esa relación con el padre y que resucito de entre los muertos y que algún día nosotros estaremos con el para siempre. Mi versículo favorito es en Romanos 8:38 y 39. Porque no hay NADA que nos separe ni que PUEDA separarnos del amor de Dios. Ese amor que fue reflejado en Cristo.</v>
      </c>
      <c r="P49" s="30" t="str">
        <f ca="1"/>
        <v>El trabajo que se realiza ahí es muy importante, porque estamos trabajando con almas, desde lo que les digas hasta lo que que vean en ti diferente porque Cristo mora en nosotros puede marcar algo en su vida y ese algo Cristo lo puede utilizar para hablarles a sus vidas, principalmente en la predicación del evangelio. Las amistades genuinas que se generan ahí en donde conoces a personas que tienen tu mismo sentir y amor en el Señor nos animan, en la palabra dice "Dios es el que me ayuda,el Señor está con los que se sostienen mi vida". El verano pasado el hermano Roy nos decía "Dios quiere tratar contigo" porque no porque estemos sirviendo significa que solo Dios le va a hablar a las personas que no lo conocen o que se han alejado de él, a nosotros cuando somos siervos también. Eso no puede ir separado.</v>
      </c>
      <c r="Q49" s="30" t="str">
        <f ca="1"/>
        <v>Si</v>
      </c>
      <c r="R49" s="30" t="str">
        <f ca="1"/>
        <v>Volleball, basquetball.</v>
      </c>
      <c r="S49" s="30" t="str">
        <f ca="1"/>
        <v>No</v>
      </c>
      <c r="T49" s="30">
        <v>0</v>
      </c>
      <c r="U49" s="30" t="str">
        <f ca="1"/>
        <v>Ingeniería Química, son procesos químicos a nivel industrial.</v>
      </c>
      <c r="V49" s="30" t="str">
        <f ca="1"/>
        <v>Hablo inglés, pertenezco al coro de la iglesia, soy empática, responsable, respetuosa, me gusta ser útil, tengo facilidad para hablar con jóvenes y niños. Soy creativa, me gusta mucho la fotografía</v>
      </c>
      <c r="W49" s="16" t="str">
        <f ca="1"/>
        <v>B. Me gusta animar a las personas, C. Suelo buscar que el trabajo se realice en equipo, D. Me gustan los deportes, E. Me gusta el trabajo con niños, F. Soy eficiente en el trabajo con herramientas, equipos y maquinarias, I. Se me facilita el trabajo físico, J. Me gusta la atención a las personas, K. Soy creativo (a), L. Soy bueno (a) en canto o algún instrumento, M. Soy bueno (a) con los números, N. Suelo llevar el liderazgo en un grupo, O. Puedo enseñar con facilidad</v>
      </c>
      <c r="X49" s="16" t="str">
        <f ca="1"/>
        <v>No</v>
      </c>
      <c r="Y49" s="30">
        <v>0</v>
      </c>
      <c r="Z49" s="23" t="s">
        <v>25</v>
      </c>
      <c r="AA49" s="23"/>
      <c r="AB49" s="23"/>
      <c r="AC49" s="23"/>
      <c r="AD49" s="23"/>
      <c r="AE49" s="23"/>
      <c r="AF49" s="23"/>
      <c r="AG49" s="23"/>
      <c r="AH49" s="23"/>
      <c r="AI49" s="23"/>
      <c r="AJ49" s="16" t="s">
        <v>81</v>
      </c>
      <c r="AK49" s="16"/>
      <c r="AL49" s="17"/>
    </row>
    <row r="50" spans="1:38" ht="25.5" x14ac:dyDescent="0.35">
      <c r="A50" s="9">
        <v>49</v>
      </c>
      <c r="B50" s="30" t="str">
        <f ca="1"/>
        <v>Mireya, Luis Tlacuilo</v>
      </c>
      <c r="C50" s="31">
        <f ca="1"/>
        <v>19</v>
      </c>
      <c r="D50" s="30" t="str">
        <f ca="1"/>
        <v>Mujer</v>
      </c>
      <c r="E50" s="30" t="str">
        <f ca="1"/>
        <v>Jalisco, Mexico</v>
      </c>
      <c r="F50" s="30" t="str">
        <f ca="1"/>
        <v>mireyatlacuilo.ml@gmail.com</v>
      </c>
      <c r="G50" s="30">
        <f ca="1"/>
        <v>523333959765</v>
      </c>
      <c r="H50" s="30" t="str">
        <f ca="1"/>
        <v>Semana de entrenamiento (07 - 13) Julio, Comunidad Jóvenes + 18 (14-19) Julio, Semana de niños y niñas (21-25) Julio, Jóvenes de 13 – 17 años / SEM1/ (28 Julio a 02 de agosto), Jóvenes de 13 – 17 años / SEM2/ (4 - 09 agosto)</v>
      </c>
      <c r="I50" s="30" t="str">
        <f ca="1"/>
        <v>Mis devocional es leer un capítulo diario de la biblia y hacer mi devocional de ese capítulo</v>
      </c>
      <c r="J50" s="30" t="str">
        <f ca="1"/>
        <v>Iglesia vida</v>
      </c>
      <c r="K50" s="30" t="str">
        <f ca="1"/>
        <v>Neftalí Rubio Bonilla</v>
      </c>
      <c r="L50" s="30">
        <f ca="1"/>
        <v>52524411036024</v>
      </c>
      <c r="M50" s="30" t="str">
        <f ca="1"/>
        <v>nefaly@gmail.com</v>
      </c>
      <c r="N50" s="30" t="str">
        <f ca="1"/>
        <v>Multimedia en diapositivas, 180 grupo de adolescentes y tren de la salvación ministerio de evangelizar en colonia</v>
      </c>
      <c r="O50" s="30" t="str">
        <f ca="1"/>
        <v>Acepte a Cristo en 2023, crecí en una familia cristiana pero cuando realmente hubo un cambio en mi vida fue en 2023, cuando llegué a iglesia vida y tuve personas que me apoyaron y me guiaron por donde en realidad iba y pude entender el evangelio y pude experimentar su amor en mi vida</v>
      </c>
      <c r="P50" s="30" t="str">
        <f ca="1"/>
        <v>El año pasado tuve la oportunidad de servir y fue de gran bendición para mi vida y fue una experiencia realmente increíble de vivir y es increíble utilizar mi vida para su servicio</v>
      </c>
      <c r="Q50" s="30" t="str">
        <f ca="1"/>
        <v>Si</v>
      </c>
      <c r="R50" s="30" t="str">
        <f ca="1"/>
        <v>Voleibol</v>
      </c>
      <c r="S50" s="30" t="str">
        <f ca="1"/>
        <v>No</v>
      </c>
      <c r="T50" s="30">
        <v>0</v>
      </c>
      <c r="U50" s="30" t="str">
        <f ca="1"/>
        <v>Cultura física y deporte, todo lo relacionado a los deportes y al ejercicio</v>
      </c>
      <c r="V50" s="30" t="str">
        <f ca="1"/>
        <v>Fui entrenadora de voleibol y soy buena para relacionarme con la gente</v>
      </c>
      <c r="W50" s="16" t="str">
        <f ca="1"/>
        <v>A. Soy un discipulador activo, B. Me gusta animar a las personas, C. Suelo buscar que el trabajo se realice en equipo, D. Me gustan los deportes, E. Me gusta el trabajo con niños, J. Me gusta la atención a las personas, O. Puedo enseñar con facilidad</v>
      </c>
      <c r="X50" s="16">
        <f ca="1"/>
        <v>2024</v>
      </c>
      <c r="Y50" s="30">
        <v>0</v>
      </c>
      <c r="Z50" s="23" t="s">
        <v>26</v>
      </c>
      <c r="AA50" s="23"/>
      <c r="AB50" s="23"/>
      <c r="AC50" s="23"/>
      <c r="AD50" s="23"/>
      <c r="AE50" s="23"/>
      <c r="AF50" s="23"/>
      <c r="AG50" s="23"/>
      <c r="AH50" s="23"/>
      <c r="AI50" s="23"/>
      <c r="AJ50" s="16" t="s">
        <v>82</v>
      </c>
      <c r="AK50" s="16"/>
      <c r="AL50" s="17"/>
    </row>
    <row r="51" spans="1:38" ht="12.75" x14ac:dyDescent="0.35">
      <c r="A51" s="9">
        <v>50</v>
      </c>
      <c r="B51" s="30" t="str">
        <f ca="1"/>
        <v>Evelyn, Aguilar Barrientos</v>
      </c>
      <c r="C51" s="31">
        <f ca="1"/>
        <v>21</v>
      </c>
      <c r="D51" s="30" t="str">
        <f ca="1"/>
        <v>Mujer</v>
      </c>
      <c r="E51" s="30" t="str">
        <f ca="1"/>
        <v>Jalisco, Mexico</v>
      </c>
      <c r="F51" s="30" t="str">
        <f ca="1"/>
        <v>evelynare@icloud.com</v>
      </c>
      <c r="G51" s="30">
        <f ca="1"/>
        <v>523323784023</v>
      </c>
      <c r="H51" s="30" t="str">
        <f ca="1"/>
        <v>Toda la temporada (07 de Julio al 16 de agosto)</v>
      </c>
      <c r="I51" s="30" t="str">
        <f ca="1"/>
        <v>En esto pensad- Edyah barragan</v>
      </c>
      <c r="J51" s="30" t="str">
        <f ca="1"/>
        <v>Casa de oración México</v>
      </c>
      <c r="K51" s="30" t="str">
        <f ca="1"/>
        <v>Mario Kim</v>
      </c>
      <c r="L51" s="30">
        <f ca="1"/>
        <v>528115312217</v>
      </c>
      <c r="M51" s="30" t="str">
        <f ca="1"/>
        <v>mariokim75@yahoo.com</v>
      </c>
      <c r="N51" s="30" t="str">
        <f ca="1"/>
        <v>Maestra infantil</v>
      </c>
      <c r="O51" s="30" t="str">
        <f ca="1"/>
        <v>Crecí en la iglesia toda mi vida pero solo hasta los 16 años tuve un verdadero encuentro con él y eso fue en un campamento “Bernal” entendí la importancia de una verdadera relación con el señor y una entrega total de mi vida, no solo una parte de ella y empecé un caminar real con el señor</v>
      </c>
      <c r="P51" s="30" t="str">
        <f ca="1"/>
        <v>Me gustaría servir en el lugar que para mi vida fue de gran bendición 
Y entregar de tiempo completo mi servicio al señor</v>
      </c>
      <c r="Q51" s="30" t="str">
        <f ca="1"/>
        <v>No</v>
      </c>
      <c r="R51" s="30">
        <v>0</v>
      </c>
      <c r="S51" s="30" t="str">
        <f ca="1"/>
        <v>No</v>
      </c>
      <c r="T51" s="30">
        <v>0</v>
      </c>
      <c r="U51" s="30" t="str">
        <f ca="1"/>
        <v>Por el momento no estoy estudiando</v>
      </c>
      <c r="V51" s="30" t="str">
        <f ca="1"/>
        <v>Soy barista de starbucks, tengo un mucha habilidad de liderazgo y trabajo en equipo así como una facilidad de interacción con los niños</v>
      </c>
      <c r="W51" s="16" t="str">
        <f ca="1"/>
        <v>A. Soy un discipulador activo, B. Me gusta animar a las personas, C. Suelo buscar que el trabajo se realice en equipo, D. Me gustan los deportes, E. Me gusta el trabajo con niños, H. Soy organizado (a), I. Se me facilita el trabajo físico, K. Soy creativo (a), N. Suelo llevar el liderazgo en un grupo, O. Puedo enseñar con facilidad</v>
      </c>
      <c r="X51" s="16" t="str">
        <f ca="1"/>
        <v>Si, fui campera el la semanas de adolescentes y de +18</v>
      </c>
      <c r="Y51" s="30">
        <v>0</v>
      </c>
      <c r="Z51" s="23" t="s">
        <v>26</v>
      </c>
      <c r="AA51" s="23"/>
      <c r="AB51" s="23"/>
      <c r="AC51" s="23"/>
      <c r="AD51" s="23"/>
      <c r="AE51" s="23"/>
      <c r="AF51" s="23" t="s">
        <v>25</v>
      </c>
      <c r="AG51" s="23"/>
      <c r="AH51" s="23"/>
      <c r="AI51" s="23"/>
      <c r="AJ51" s="16" t="s">
        <v>83</v>
      </c>
      <c r="AK51" s="16"/>
      <c r="AL51" s="17"/>
    </row>
    <row r="52" spans="1:38" ht="12.75" x14ac:dyDescent="0.35">
      <c r="A52" s="9">
        <v>51</v>
      </c>
      <c r="B52" s="30" t="str">
        <f ca="1"/>
        <v>Elizabeth noemi, Valverde villca</v>
      </c>
      <c r="C52" s="31">
        <f ca="1"/>
        <v>26</v>
      </c>
      <c r="D52" s="30" t="str">
        <f ca="1"/>
        <v>Mujer</v>
      </c>
      <c r="E52" s="30" t="str">
        <f ca="1"/>
        <v>Buenos Aires, Argentina</v>
      </c>
      <c r="F52" s="30" t="str">
        <f ca="1"/>
        <v>valverdenoe21@gmail.com</v>
      </c>
      <c r="G52" s="30">
        <f ca="1"/>
        <v>541153182780</v>
      </c>
      <c r="H52" s="30" t="str">
        <f ca="1"/>
        <v>Toda la temporada (07 de Julio al 16 de agosto)</v>
      </c>
      <c r="I52" s="30" t="str">
        <f ca="1"/>
        <v>Hora silenciosa pdv</v>
      </c>
      <c r="J52" s="30" t="str">
        <f ca="1"/>
        <v>Iglesia cristiana evangélica lambertucci</v>
      </c>
      <c r="K52" s="30" t="str">
        <f ca="1"/>
        <v>Edwin condo</v>
      </c>
      <c r="L52" s="30">
        <f ca="1"/>
        <v>541154760710</v>
      </c>
      <c r="M52" s="30" t="str">
        <f ca="1"/>
        <v>edwincondo@gmail.com</v>
      </c>
      <c r="N52" s="30" t="str">
        <f ca="1"/>
        <v>Maestra de escuelita dominical con preadolescentes</v>
      </c>
      <c r="O52" s="30" t="str">
        <f ca="1"/>
        <v>Hola !! Mi nombre es Noemi , me dicen noe , tengo 26 años de edad . 
Comencé a ir una iglesia local por mi tía la hermana de mi mamá, a la edad de 9 años recibe a Cristo en mi corazón y a la edad de 11 años me bauticé , hasta los 15 años servía y estaba en ministerios. A la edad de 16 años mi corazón ya estaba lejos del señor y pase por una situación difícil con mi familia y la iglesia . Y en el 2018 una vez terminada la secundaria fui a estudiar la biblia en el instituto palabra de vida argentina, y tuve mi seguridad de salvación ese mismo año . Y por la gracia de Dios sigo activa y en comunión con Dios y mi iglesia .</v>
      </c>
      <c r="P52" s="30" t="str">
        <f ca="1"/>
        <v>Vengo orando desde el año pasado para poder servir en ese lugar , quiero vivir la experiencia de servir en otro país .</v>
      </c>
      <c r="Q52" s="30" t="str">
        <f ca="1"/>
        <v>Si</v>
      </c>
      <c r="R52" s="30" t="str">
        <f ca="1"/>
        <v>Voley</v>
      </c>
      <c r="S52" s="30" t="str">
        <f ca="1"/>
        <v>No</v>
      </c>
      <c r="T52" s="30">
        <v>0</v>
      </c>
      <c r="U52" s="30" t="str">
        <f ca="1"/>
        <v>Estudio administración de empresas</v>
      </c>
      <c r="V52" s="30" t="str">
        <f ca="1"/>
        <v>Soy locutora .</v>
      </c>
      <c r="W52" s="16" t="str">
        <f ca="1"/>
        <v>E. Me gusta el trabajo con niños, H. Soy organizado (a), M. Soy bueno (a) con los números</v>
      </c>
      <c r="X52" s="16" t="str">
        <f ca="1"/>
        <v>No</v>
      </c>
      <c r="Y52" s="30">
        <v>0</v>
      </c>
      <c r="Z52" s="23" t="s">
        <v>25</v>
      </c>
      <c r="AA52" s="23"/>
      <c r="AB52" s="23"/>
      <c r="AC52" s="23"/>
      <c r="AD52" s="23"/>
      <c r="AE52" s="23"/>
      <c r="AF52" s="23"/>
      <c r="AG52" s="23"/>
      <c r="AH52" s="23"/>
      <c r="AI52" s="23"/>
      <c r="AJ52" s="16"/>
      <c r="AK52" s="16"/>
      <c r="AL52" s="17"/>
    </row>
    <row r="53" spans="1:38" ht="12.75" x14ac:dyDescent="0.35">
      <c r="A53" s="9">
        <v>52</v>
      </c>
      <c r="B53" s="30" t="str">
        <f ca="1"/>
        <v>Ángela Sophia, García Mendoza</v>
      </c>
      <c r="C53" s="31">
        <f ca="1"/>
        <v>23</v>
      </c>
      <c r="D53" s="30" t="str">
        <f ca="1"/>
        <v>Mujer</v>
      </c>
      <c r="E53" s="30" t="str">
        <f ca="1"/>
        <v>Queretaro, Mexico</v>
      </c>
      <c r="F53" s="1" t="str">
        <f ca="1"/>
        <v>Sophia.gm1505@gmail.com</v>
      </c>
      <c r="G53" s="30">
        <f ca="1"/>
        <v>524423959526</v>
      </c>
      <c r="H53" s="30" t="str">
        <f ca="1"/>
        <v>Toda la temporada (07 de Julio al 16 de agosto)</v>
      </c>
      <c r="I53" s="30" t="str">
        <f ca="1"/>
        <v>Estudio bíblico individual</v>
      </c>
      <c r="J53" s="30" t="str">
        <f ca="1"/>
        <v>Iglesia Cristiana Vid Central</v>
      </c>
      <c r="K53" s="30" t="str">
        <f ca="1"/>
        <v>Nahum Álvarez Reséndiz</v>
      </c>
      <c r="L53" s="30">
        <f ca="1"/>
        <v>524426198741</v>
      </c>
      <c r="M53" s="30" t="str">
        <f ca="1"/>
        <v>Admonvidcentral10@gmail.com</v>
      </c>
      <c r="N53" s="30" t="str">
        <f ca="1"/>
        <v>Fotografía-PRODUCCIÓN, Músico-ALABANZA, Líder de grupo amistad-JÓVENES</v>
      </c>
      <c r="O53" s="30" t="str">
        <f ca="1"/>
        <v>Nací en cuna cristiana, pero conocí a Dios realmente cuando tenía 13 años, comprendí que él dio su vida para que yo tuviera salvación y perdón de pecados, a partir de ese quebranto descubrí que tenía identidad en Cristo y que era profúndame amada por Dios, a los 17 años decidí bautizarme y desde entonces cada día decido darle mi vida como adoración y ponerle mis talentos a su servicio, el año pasado atravesé por uno de los procesos más fuertes de mi vida y vi como Dios siempre estuvo conmigo, gracias a esa prueba pude conocer de otra manera al Dios en el que creo y agradezco todo el proceso de sanidad por el que me ha llevado estos meses</v>
      </c>
      <c r="P53" s="30" t="str">
        <f ca="1"/>
        <v>Lo veo como tierra fértil, siempre me ha gustado darle mi tiempo y mi servicio a Dios, creo que el ministerio que hace palabra de vida con los jóvenes tiene un impacto enorme en la vida de todos ellos, he visto de cerca cómo estos campamento transforman vidas y acercan a más jóvenes a Dios, es un privilegio poder ser parte de esta obra y que Dios me permita estar en este equipo</v>
      </c>
      <c r="Q53" s="30" t="str">
        <f ca="1"/>
        <v>Si</v>
      </c>
      <c r="R53" s="30" t="str">
        <f ca="1"/>
        <v>Voleibol</v>
      </c>
      <c r="S53" s="30" t="str">
        <f ca="1"/>
        <v>Si</v>
      </c>
      <c r="T53" s="30" t="str">
        <f ca="1"/>
        <v>Guitarra acústica</v>
      </c>
      <c r="U53" s="30" t="str">
        <f ca="1"/>
        <v>Ingeniería Industrial</v>
      </c>
      <c r="V53" s="30" t="str">
        <f ca="1"/>
        <v>Soy analista de riesgos</v>
      </c>
      <c r="W53" s="16" t="str">
        <f ca="1"/>
        <v>B. Me gusta animar a las personas, D. Me gustan los deportes, F. Soy eficiente en el trabajo con herramientas, equipos y maquinarias, J. Me gusta la atención a las personas, K. Soy creativo (a), L. Soy bueno (a) en canto o algún instrumento, M. Soy bueno (a) con los números, N. Suelo llevar el liderazgo en un grupo, O. Puedo enseñar con facilidad</v>
      </c>
      <c r="X53" s="16" t="str">
        <f ca="1"/>
        <v>Si, desde 2015 hasta 2020</v>
      </c>
      <c r="Y53" s="30">
        <v>0</v>
      </c>
      <c r="Z53" s="23" t="s">
        <v>25</v>
      </c>
      <c r="AA53" s="23"/>
      <c r="AB53" s="23"/>
      <c r="AC53" s="23"/>
      <c r="AD53" s="23"/>
      <c r="AE53" s="23"/>
      <c r="AF53" s="23"/>
      <c r="AG53" s="23"/>
      <c r="AH53" s="23"/>
      <c r="AI53" s="23"/>
      <c r="AJ53" s="16"/>
      <c r="AK53" s="16"/>
      <c r="AL53" s="17"/>
    </row>
    <row r="54" spans="1:38" ht="25.5" x14ac:dyDescent="0.35">
      <c r="A54" s="9">
        <v>53</v>
      </c>
      <c r="B54" s="30" t="str">
        <f ca="1"/>
        <v>Guillermo, Rivera Leyva</v>
      </c>
      <c r="C54" s="31">
        <f ca="1"/>
        <v>16</v>
      </c>
      <c r="D54" s="30" t="str">
        <f ca="1"/>
        <v>Hombre</v>
      </c>
      <c r="E54" s="30" t="str">
        <f ca="1"/>
        <v>Tamaulipas, Mexico</v>
      </c>
      <c r="F54" s="30" t="str">
        <f ca="1"/>
        <v>guillermoleyvarivera@gmail.com</v>
      </c>
      <c r="G54" s="30">
        <f ca="1"/>
        <v>528334272218</v>
      </c>
      <c r="H54" s="30" t="str">
        <f ca="1"/>
        <v>Semana de entrenamiento (07 - 13) Julio, Comunidad Jóvenes + 18 (14-19) Julio, Semana de niños y niñas (21-25) Julio, Jóvenes de 13 – 17 años / SEM1/ (28 Julio a 02 de agosto)</v>
      </c>
      <c r="I54" s="30" t="str">
        <f ca="1"/>
        <v>Hora Silenciosa</v>
      </c>
      <c r="J54" s="30" t="str">
        <f ca="1"/>
        <v>Iglesia Bautista El Calvario</v>
      </c>
      <c r="K54" s="30" t="str">
        <f ca="1"/>
        <v>Marco Antonio García Montoya</v>
      </c>
      <c r="L54" s="30">
        <f ca="1"/>
        <v>528333504123</v>
      </c>
      <c r="M54" s="30" t="str">
        <f ca="1"/>
        <v>marcoantoniopastor75@gmail.com</v>
      </c>
      <c r="N54" s="30" t="str">
        <f ca="1"/>
        <v>Ninguno de momento</v>
      </c>
      <c r="O54" s="30" t="str">
        <f ca="1"/>
        <v>Me invitaron a un campamento regional en Tamaulipas y pues como yo naci en lo que le llaman "cuna cristiana" pues siempre habia dicho que Jesus era mi salvador, pero no descubri el significado de esa persona hasta que fui a ese campamento y me tope con testimonios de gente que de verdad habia tenido un encuentro con el, y ahi fue cuando supe que no estaba ni cerca de saber lo que en realidad era Jesús, y ese dia decidi empezar mi camino en busca de lo que es Jesús y hasta el momento me ha mostrado grandes milagros y maravillas, coincidencias tan exactas que te hacen darte cuenta que no es suerte ni azar, si no que alguien las hace.</v>
      </c>
      <c r="P54" s="30" t="str">
        <f ca="1"/>
        <v>Pense en dar el paso hacia una nueva etapa que es no solo ir de campero a Bernal, si no servir en lo que es ese gran proyecto que anima a los jovenes como yo, algo que cada vez necesitamos más y deseo ser parte de ese gran equipo que lo hace realidad</v>
      </c>
      <c r="Q54" s="30" t="str">
        <f ca="1"/>
        <v>No</v>
      </c>
      <c r="R54" s="30">
        <v>0</v>
      </c>
      <c r="S54" s="30" t="str">
        <f ca="1"/>
        <v>Si</v>
      </c>
      <c r="T54" s="30" t="str">
        <f ca="1"/>
        <v>Toco el violín y ya llevo como 6 meses practicandolo, pero aun soy principiante</v>
      </c>
      <c r="U54" s="30" t="str">
        <f ca="1"/>
        <v>Estudio la preparatoria en la Universidad del Noreste en Tampico y acabo de terminar el ciclo, osease que ya pase a 2 año</v>
      </c>
      <c r="V54" s="30" t="str">
        <f ca="1"/>
        <v>Pues la verdad no sabria decir específicamente que habilidades pero pues, se tocar lo basico de violin, hablo ingles, muy poco frances y pues creo que es todo, no tengo ningun oficio ni profesión aun.</v>
      </c>
      <c r="W54" s="16" t="str">
        <f ca="1"/>
        <v>B. Me gusta animar a las personas, G. Soy más eficiente en el trabajo individual, H. Soy organizado (a)</v>
      </c>
      <c r="X54" s="16" t="str">
        <f ca="1"/>
        <v>Si, en la temprada de Volved y Authentic</v>
      </c>
      <c r="Y54" s="30">
        <v>0</v>
      </c>
      <c r="Z54" s="23" t="s">
        <v>50</v>
      </c>
      <c r="AA54" s="23"/>
      <c r="AB54" s="23"/>
      <c r="AC54" s="23"/>
      <c r="AD54" s="23"/>
      <c r="AE54" s="23"/>
      <c r="AF54" s="23"/>
      <c r="AG54" s="23"/>
      <c r="AH54" s="23"/>
      <c r="AI54" s="23"/>
      <c r="AJ54" s="16" t="s">
        <v>84</v>
      </c>
      <c r="AK54" s="16"/>
      <c r="AL54" s="17"/>
    </row>
    <row r="55" spans="1:38" ht="12.75" x14ac:dyDescent="0.35">
      <c r="A55" s="9">
        <v>54</v>
      </c>
      <c r="B55" s="30" t="str">
        <f ca="1"/>
        <v>Merari Liliana, Garcia Guerrero</v>
      </c>
      <c r="C55" s="31">
        <f ca="1"/>
        <v>15</v>
      </c>
      <c r="D55" s="30" t="str">
        <f ca="1"/>
        <v>Mujer</v>
      </c>
      <c r="E55" s="30" t="str">
        <f ca="1"/>
        <v>Tamaulipas, Mexico</v>
      </c>
      <c r="F55" s="30" t="str">
        <f ca="1"/>
        <v>merarililianagarci@gmail.com</v>
      </c>
      <c r="G55" s="30">
        <f ca="1"/>
        <v>528334352679</v>
      </c>
      <c r="H55" s="30" t="str">
        <f ca="1"/>
        <v>Semana de entrenamiento (07 - 13) Julio, Comunidad Jóvenes + 18 (14-19) Julio, Semana de niños y niñas (21-25) Julio, Jóvenes de 13 – 17 años / SEM1/ (28 Julio a 02 de agosto)</v>
      </c>
      <c r="I55" s="30" t="str">
        <f ca="1"/>
        <v>Quiet Time</v>
      </c>
      <c r="J55" s="30" t="str">
        <f ca="1"/>
        <v>Iglesia Bautista "El Calvario"</v>
      </c>
      <c r="K55" s="30" t="str">
        <f ca="1"/>
        <v>Marco A. Garcia</v>
      </c>
      <c r="L55" s="30">
        <f ca="1"/>
        <v>528333504123</v>
      </c>
      <c r="M55" s="30" t="str">
        <f ca="1"/>
        <v>Monitoreopastoral2022@gmail.com</v>
      </c>
      <c r="N55" s="30" t="str">
        <f ca="1"/>
        <v>ministerio Infantil</v>
      </c>
      <c r="O55" s="30" t="str">
        <f ca="1"/>
        <v>Yo acepte a Jesús en mi corazón cuando era niña, lo acepte porque en un devocional venía la invitación, después de que me explicaron lo acepte</v>
      </c>
      <c r="P55" s="30" t="str">
        <f ca="1"/>
        <v>Me gustaría ir a servir y adquirir nuevas experiencias</v>
      </c>
      <c r="Q55" s="30" t="str">
        <f ca="1"/>
        <v>No</v>
      </c>
      <c r="R55" s="30">
        <v>0</v>
      </c>
      <c r="S55" s="30" t="str">
        <f ca="1"/>
        <v>Si</v>
      </c>
      <c r="T55" s="30" t="str">
        <f ca="1"/>
        <v>Empecé a aprender a tocar viola</v>
      </c>
      <c r="U55" s="30" t="str">
        <f ca="1"/>
        <v>Estudio el bachillerato con énfasis en música y artes</v>
      </c>
      <c r="V55" s="30" t="str">
        <f ca="1"/>
        <v>Soy buena con las manualidades, me gusta cocinar,</v>
      </c>
      <c r="W55" s="16" t="str">
        <f ca="1"/>
        <v>A. Soy un discipulador activo, B. Me gusta animar a las personas, C. Suelo buscar que el trabajo se realice en equipo, D. Me gustan los deportes, E. Me gusta el trabajo con niños, I. Se me facilita el trabajo físico, K. Soy creativo (a), L. Soy bueno (a) en canto o algún instrumento, M. Soy bueno (a) con los números, N. Suelo llevar el liderazgo en un grupo, O. Puedo enseñar con facilidad</v>
      </c>
      <c r="X55" s="16" t="str">
        <f ca="1"/>
        <v>Si, en el 2021 y 2022</v>
      </c>
      <c r="Y55" s="30">
        <v>0</v>
      </c>
      <c r="Z55" s="23" t="s">
        <v>25</v>
      </c>
      <c r="AA55" s="23"/>
      <c r="AB55" s="23"/>
      <c r="AC55" s="23"/>
      <c r="AD55" s="23"/>
      <c r="AE55" s="23" t="s">
        <v>26</v>
      </c>
      <c r="AF55" s="23"/>
      <c r="AG55" s="23"/>
      <c r="AH55" s="23"/>
      <c r="AI55" s="23"/>
      <c r="AJ55" s="16"/>
      <c r="AK55" s="16"/>
      <c r="AL55" s="17"/>
    </row>
    <row r="56" spans="1:38" ht="12.75" x14ac:dyDescent="0.35">
      <c r="A56" s="9">
        <v>55</v>
      </c>
      <c r="B56" s="34" t="str">
        <f ca="1"/>
        <v>Feve, Hernandez Perez</v>
      </c>
      <c r="C56" s="35">
        <f ca="1"/>
        <v>50</v>
      </c>
      <c r="D56" s="34" t="str">
        <f ca="1"/>
        <v>Mujer</v>
      </c>
      <c r="E56" s="34" t="str">
        <f ca="1"/>
        <v>Mexico City, Mexico</v>
      </c>
      <c r="F56" s="34" t="str">
        <f ca="1"/>
        <v>novfeve@gmail.com</v>
      </c>
      <c r="G56" s="34">
        <f ca="1"/>
        <v>525516256146</v>
      </c>
      <c r="H56" s="34" t="str">
        <f ca="1"/>
        <v>Semana de niños y niñas (21-25) Julio</v>
      </c>
      <c r="I56" s="34" t="str">
        <f ca="1"/>
        <v>Pan diario</v>
      </c>
      <c r="J56" s="34" t="str">
        <f ca="1"/>
        <v>Iglesia Presbiteriana Ammi Shaddai</v>
      </c>
      <c r="K56" s="34" t="str">
        <f ca="1"/>
        <v>Hector Mendoza</v>
      </c>
      <c r="L56" s="34">
        <f ca="1"/>
        <v>525564831567</v>
      </c>
      <c r="M56" s="34" t="str">
        <f ca="1"/>
        <v>hmend68@gmail.com</v>
      </c>
      <c r="N56" s="34" t="str">
        <f ca="1"/>
        <v>Maestra de Escuela dominical</v>
      </c>
      <c r="O56" s="34" t="str">
        <f ca="1"/>
        <v>A los 12 años recibí a Jesús y como mi salvador y seguridad de salvacion y los 17 años consagre mi vida a Dios y a los 27 años fui a estudiar al Instituto Palabra de Vida por 3 años, y trabaje desde entonces en iglesias , discipulado y entrenando a chicas para ser maestras de escuela dominical</v>
      </c>
      <c r="P56" s="34" t="str">
        <f ca="1"/>
        <v>Por que quiero ser parte de la bendición de la vida de los niños  y como Dios toca sus corazones y servir a Dios que me ayudo y me salvo, ser de ayuda a otros</v>
      </c>
      <c r="Q56" s="34" t="str">
        <f ca="1"/>
        <v>Si</v>
      </c>
      <c r="R56" s="34" t="str">
        <f ca="1"/>
        <v>volibol, básquet</v>
      </c>
      <c r="S56" s="34" t="str">
        <f ca="1"/>
        <v>No</v>
      </c>
      <c r="T56" s="34">
        <v>0</v>
      </c>
      <c r="U56" s="34" t="str">
        <f ca="1"/>
        <v>Termine Maestra en Educación</v>
      </c>
      <c r="V56" s="34" t="str">
        <f ca="1"/>
        <v>Lic en Administración de Empresa, trabaje muchos años en un consultorio medico</v>
      </c>
      <c r="W56" s="36" t="str">
        <f ca="1"/>
        <v>A. Soy un discipulador activo, B. Me gusta animar a las personas, E. Me gusta el trabajo con niños, H. Soy organizado (a), J. Me gusta la atención a las personas, O. Puedo enseñar con facilidad</v>
      </c>
      <c r="X56" s="36" t="str">
        <f ca="1"/>
        <v>SI muchas años</v>
      </c>
      <c r="Y56" s="34">
        <v>0</v>
      </c>
      <c r="Z56" s="37" t="s">
        <v>28</v>
      </c>
      <c r="AA56" s="37"/>
      <c r="AB56" s="37"/>
      <c r="AC56" s="37"/>
      <c r="AD56" s="37"/>
      <c r="AE56" s="37"/>
      <c r="AF56" s="37"/>
      <c r="AG56" s="23"/>
      <c r="AH56" s="23"/>
      <c r="AI56" s="23"/>
      <c r="AJ56" s="16"/>
      <c r="AK56" s="16"/>
      <c r="AL56" s="17"/>
    </row>
    <row r="57" spans="1:38" ht="12.75" x14ac:dyDescent="0.35">
      <c r="A57" s="9">
        <v>56</v>
      </c>
      <c r="B57" s="34" t="str">
        <f ca="1"/>
        <v>Bruno, Guerrero Perez</v>
      </c>
      <c r="C57" s="35">
        <f ca="1"/>
        <v>18</v>
      </c>
      <c r="D57" s="34" t="str">
        <f ca="1"/>
        <v>Hombre</v>
      </c>
      <c r="E57" s="34" t="str">
        <f ca="1"/>
        <v>Puebla, Mexico</v>
      </c>
      <c r="F57" s="34" t="str">
        <f ca="1"/>
        <v>guerrerob06@gmail.com</v>
      </c>
      <c r="G57" s="34">
        <f ca="1"/>
        <v>522227357401</v>
      </c>
      <c r="H57" s="34" t="str">
        <f ca="1"/>
        <v>Toda la temporada (07 de Julio al 16 de agosto)</v>
      </c>
      <c r="I57" s="34" t="str">
        <f ca="1"/>
        <v>Una vida con propósito</v>
      </c>
      <c r="J57" s="34" t="str">
        <f ca="1"/>
        <v>Jesús Salvador del Mundo</v>
      </c>
      <c r="K57" s="34" t="str">
        <f ca="1"/>
        <v>René Herrera Ramiro</v>
      </c>
      <c r="L57" s="34">
        <f ca="1"/>
        <v>522223106178</v>
      </c>
      <c r="M57" s="34" t="str">
        <f ca="1"/>
        <v>herreramuebles@gmail.com</v>
      </c>
      <c r="N57" s="34" t="str">
        <f ca="1"/>
        <v>Ministerio de Alabanza</v>
      </c>
      <c r="O57" s="34" t="str">
        <f ca="1"/>
        <v>Como tal voy a la iglesia desde los 3 años 
Pero fue a los 8 que en un día del niño en mi iglesia entendí lo q Jesús hizo por mi y fue cuando lo acepté en mi corazón…</v>
      </c>
      <c r="P57" s="34" t="str">
        <f ca="1"/>
        <v>Deseo ser parte por q ya he ido como campero pero esta vez me gustaría servir con todos, y aportar lo q pueda a este campamento</v>
      </c>
      <c r="Q57" s="34" t="str">
        <f ca="1"/>
        <v>No</v>
      </c>
      <c r="R57" s="34">
        <v>0</v>
      </c>
      <c r="S57" s="34" t="str">
        <f ca="1"/>
        <v>Si</v>
      </c>
      <c r="T57" s="34" t="str">
        <f ca="1"/>
        <v>Guitarra acústica, eléctrica y Bajo</v>
      </c>
      <c r="U57" s="34" t="str">
        <f ca="1"/>
        <v>Estudio ingeniería en Audio</v>
      </c>
      <c r="V57" s="34" t="str">
        <f ca="1"/>
        <v>Tocar guitarra</v>
      </c>
      <c r="W57" s="36" t="str">
        <f ca="1"/>
        <v>B. Me gusta animar a las personas, E. Me gusta el trabajo con niños, J. Me gusta la atención a las personas, L. Soy bueno (a) en canto o algún instrumento, M. Soy bueno (a) con los números, N. Suelo llevar el liderazgo en un grupo</v>
      </c>
      <c r="X57" s="36">
        <f ca="1"/>
        <v>2023</v>
      </c>
      <c r="Y57" s="34">
        <v>0</v>
      </c>
      <c r="Z57" s="37" t="s">
        <v>28</v>
      </c>
      <c r="AA57" s="37"/>
      <c r="AB57" s="37"/>
      <c r="AC57" s="37"/>
      <c r="AD57" s="37"/>
      <c r="AE57" s="37"/>
      <c r="AF57" s="37"/>
      <c r="AG57" s="23"/>
      <c r="AH57" s="23"/>
      <c r="AI57" s="23"/>
      <c r="AJ57" s="38" t="s">
        <v>85</v>
      </c>
      <c r="AK57" s="16"/>
      <c r="AL57" s="17"/>
    </row>
    <row r="58" spans="1:38" ht="38.25" x14ac:dyDescent="0.35">
      <c r="A58" s="9">
        <v>57</v>
      </c>
      <c r="B58" s="30" t="str">
        <f ca="1"/>
        <v>Alistair, Stufflet</v>
      </c>
      <c r="C58" s="31">
        <f ca="1"/>
        <v>18</v>
      </c>
      <c r="D58" s="30" t="str">
        <f ca="1"/>
        <v>Hombre</v>
      </c>
      <c r="E58" s="30" t="str">
        <f ca="1"/>
        <v>North Carolina, United States</v>
      </c>
      <c r="F58" s="30" t="str">
        <f ca="1"/>
        <v>ajstuffy@gmail.com</v>
      </c>
      <c r="G58" s="30">
        <f ca="1"/>
        <v>17047964599</v>
      </c>
      <c r="H58" s="30" t="str">
        <f ca="1"/>
        <v>Semana de niños y niñas (21-25) Julio, Jóvenes de 13 – 17 años / SEM1/ (28 Julio a 02 de agosto)</v>
      </c>
      <c r="I58" s="30" t="str">
        <f ca="1"/>
        <v>Bible in a Year con the bible app</v>
      </c>
      <c r="J58" s="30" t="str">
        <f ca="1"/>
        <v>Iglesia Vida</v>
      </c>
      <c r="K58" s="30" t="str">
        <f ca="1"/>
        <v>Neftalí Rubio</v>
      </c>
      <c r="L58" s="30">
        <f ca="1"/>
        <v>524411036024</v>
      </c>
      <c r="M58" s="30" t="str">
        <f ca="1"/>
        <v>nefaly@gmail.com</v>
      </c>
      <c r="N58" s="30" t="str">
        <f ca="1"/>
        <v>Ministerio de estudiantes, lider de jovenes</v>
      </c>
      <c r="O58" s="30" t="str">
        <f ca="1"/>
        <v>Antes de conocer a Cristo, estaba tratando de encontrar propósito en muchas partes pero todas se sentían vasias. Pero después conocí una chica que me guío a la iglesia y empecé a considerar seriamente dar mi vida a Cristo. Después de ser aconsejado por un tiempo eventualmente decidí seguir a Cristo. Y ahora mi vida tiene un propósito y Dios me ha dado valor.</v>
      </c>
      <c r="P58" s="30" t="str">
        <f ca="1"/>
        <v>Para poder servir en otro país y crecer en mi relación con Cristo</v>
      </c>
      <c r="Q58" s="30" t="str">
        <f ca="1"/>
        <v>Si</v>
      </c>
      <c r="R58" s="30" t="str">
        <f ca="1"/>
        <v>Fútbol, fútbol americano, y otros</v>
      </c>
      <c r="S58" s="30" t="str">
        <f ca="1"/>
        <v>No</v>
      </c>
      <c r="T58" s="30">
        <v>0</v>
      </c>
      <c r="U58" s="30" t="str">
        <f ca="1"/>
        <v>Educación básica superior</v>
      </c>
      <c r="V58" s="30" t="str">
        <f ca="1"/>
        <v>Soy un maquinista, trabajo con machinas y caros</v>
      </c>
      <c r="W58" s="16" t="str">
        <f ca="1"/>
        <v>A. Soy un discipulador activo, B. Me gusta animar a las personas, C. Suelo buscar que el trabajo se realice en equipo, D. Me gustan los deportes, F. Soy eficiente en el trabajo con herramientas, equipos y maquinarias, J. Me gusta la atención a las personas, M. Soy bueno (a) con los números</v>
      </c>
      <c r="X58" s="16" t="str">
        <f ca="1"/>
        <v>No</v>
      </c>
      <c r="Y58" s="30">
        <v>0</v>
      </c>
      <c r="Z58" s="23" t="s">
        <v>50</v>
      </c>
      <c r="AA58" s="23"/>
      <c r="AB58" s="23"/>
      <c r="AC58" s="23"/>
      <c r="AD58" s="23"/>
      <c r="AE58" s="23"/>
      <c r="AF58" s="23"/>
      <c r="AG58" s="23"/>
      <c r="AH58" s="23"/>
      <c r="AI58" s="23"/>
      <c r="AJ58" s="16" t="s">
        <v>86</v>
      </c>
      <c r="AK58" s="16"/>
      <c r="AL58" s="17"/>
    </row>
    <row r="59" spans="1:38" ht="25.5" x14ac:dyDescent="0.35">
      <c r="A59" s="9">
        <v>58</v>
      </c>
      <c r="B59" s="30" t="str">
        <f ca="1"/>
        <v>Jovanna Zoar, Franco Lara</v>
      </c>
      <c r="C59" s="31">
        <f ca="1"/>
        <v>14</v>
      </c>
      <c r="D59" s="30" t="str">
        <f ca="1"/>
        <v>Mujer</v>
      </c>
      <c r="E59" s="30" t="str">
        <f ca="1"/>
        <v>Tamaulipas, Mexico</v>
      </c>
      <c r="F59" s="30" t="str">
        <f ca="1"/>
        <v>jovannazoar@gmail.com</v>
      </c>
      <c r="G59" s="30">
        <f ca="1"/>
        <v>47608</v>
      </c>
      <c r="H59" s="30" t="str">
        <f ca="1"/>
        <v>Semana de entrenamiento (07 - 13) Julio, Comunidad Jóvenes + 18 (14-19) Julio, Semana de niños y niñas (21-25) Julio, Jóvenes de 13 – 17 años / SEM1/ (28 Julio a 02 de agosto), Jóvenes de 13 – 17 años / SEM2/ (4 - 09 agosto)</v>
      </c>
      <c r="I59" s="30" t="str">
        <f ca="1"/>
        <v>Devocional en linea y leer la biblia en personal</v>
      </c>
      <c r="J59" s="30" t="str">
        <f ca="1"/>
        <v>Iglesia Biblica Gracia Sobre Gracia</v>
      </c>
      <c r="K59" s="30" t="str">
        <f ca="1"/>
        <v>Edgar Franco</v>
      </c>
      <c r="L59" s="30">
        <f ca="1"/>
        <v>528331768824</v>
      </c>
      <c r="M59" s="30" t="str">
        <f ca="1"/>
        <v>edgar.franco83@gmail.com</v>
      </c>
      <c r="N59" s="30" t="str">
        <f ca="1"/>
        <v>Maestra de niños, entrenadora de olimpicos, apoyo en el coub biblico, integrante del grupo de alabanza</v>
      </c>
      <c r="O59" s="30" t="str">
        <f ca="1"/>
        <v>Yo creci en cuna cristiana, y por lo tanto, iba siempre a la iglesia. Pero nunca me senti suficiente, aceptada, y siempre me excluian. Asi que empecé a depender de la aceptacion de la gente para "sentirme bien". Viví asi por lo menos 7 años. Hasta que un dia toda mi "vida perfecta" que yo aparentaba se derrumbo. mi mejor amigo de ese tiempo me traiciono y todos mis demas amigos se fueron con el. Perdi la confianza de mis padres y me quede sola, no tenia a nadie. Me sentia muy mal asi que le pedi al Señor que me ayudara porque yo no podia sola. El Señor envio a una persona muy especial que me recordo y afirmo el evangelio. Esa noche vine a los pies de Cristo y le solte toda mis cargas a el.</v>
      </c>
      <c r="P59" s="30" t="str">
        <f ca="1"/>
        <v>Quiero vivir la experiencia de servir al Señor a gente de todas partes de México,  junto con personas igual de apasionadas por Cristo que me impulse y guien a continuar trabajando en la obra de Cristo.</v>
      </c>
      <c r="Q59" s="30" t="str">
        <f ca="1"/>
        <v>Si</v>
      </c>
      <c r="R59" s="30" t="str">
        <f ca="1"/>
        <v>Basketball</v>
      </c>
      <c r="S59" s="30" t="str">
        <f ca="1"/>
        <v>Si</v>
      </c>
      <c r="T59" s="30" t="str">
        <f ca="1"/>
        <v>Piano y bajo</v>
      </c>
      <c r="U59" s="30" t="str">
        <f ca="1"/>
        <v>Estoy por salir de la Secundaria</v>
      </c>
      <c r="V59" s="30" t="str">
        <f ca="1"/>
        <v>Toco piano</v>
      </c>
      <c r="W59" s="16" t="str">
        <f ca="1"/>
        <v>D. Me gustan los deportes, E. Me gusta el trabajo con niños, G. Soy más eficiente en el trabajo individual, H. Soy organizado (a), K. Soy creativo (a), L. Soy bueno (a) en canto o algún instrumento</v>
      </c>
      <c r="X59" s="16" t="str">
        <f ca="1"/>
        <v>En los campamentos del 2022, 2023, y 2024</v>
      </c>
      <c r="Y59" s="30">
        <v>0</v>
      </c>
      <c r="Z59" s="23" t="s">
        <v>25</v>
      </c>
      <c r="AA59" s="23"/>
      <c r="AB59" s="23"/>
      <c r="AC59" s="23"/>
      <c r="AD59" s="23"/>
      <c r="AE59" s="23"/>
      <c r="AF59" s="23"/>
      <c r="AG59" s="23"/>
      <c r="AH59" s="23"/>
      <c r="AI59" s="23"/>
      <c r="AJ59" s="16" t="s">
        <v>87</v>
      </c>
      <c r="AK59" s="16"/>
      <c r="AL59" s="17" t="s">
        <v>88</v>
      </c>
    </row>
    <row r="60" spans="1:38" ht="63.75" x14ac:dyDescent="0.35">
      <c r="A60" s="9">
        <v>59</v>
      </c>
      <c r="B60" s="30" t="str">
        <f ca="1"/>
        <v>Aranzazu, Leonor Flores</v>
      </c>
      <c r="C60" s="31">
        <f ca="1"/>
        <v>17</v>
      </c>
      <c r="D60" s="30" t="str">
        <f ca="1"/>
        <v>Mujer</v>
      </c>
      <c r="E60" s="30" t="str">
        <f ca="1"/>
        <v>Jalisco, Mexico</v>
      </c>
      <c r="F60" s="30" t="str">
        <f ca="1"/>
        <v>aranzalf1102@gmail.com</v>
      </c>
      <c r="G60" s="30">
        <f ca="1"/>
        <v>523322214982</v>
      </c>
      <c r="H60" s="30" t="str">
        <f ca="1"/>
        <v>Toda la temporada (07 de Julio al 16 de agosto)</v>
      </c>
      <c r="I60" s="30" t="str">
        <f ca="1"/>
        <v>Hora silenciosa</v>
      </c>
      <c r="J60" s="30" t="str">
        <f ca="1"/>
        <v>Iglesia Vida</v>
      </c>
      <c r="K60" s="30" t="str">
        <f ca="1"/>
        <v>Neftali Rubio Bonilla</v>
      </c>
      <c r="L60" s="30">
        <f ca="1"/>
        <v>524411036024</v>
      </c>
      <c r="M60" s="30" t="str">
        <f ca="1"/>
        <v>neftaly@gmail.com</v>
      </c>
      <c r="N60" s="30" t="str">
        <f ca="1"/>
        <v>Maestra en el ministerio de niños</v>
      </c>
      <c r="O60" s="30" t="str">
        <f ca="1"/>
        <v>Llegue a la iglesia por primera vez a los 5 años , mis papás se hicieron creyentes y fui escuchando y comprendiendo el plan de salvación conforme crecia , vi cómo Dios tranformaba la vida de mi familia y comence a servir , a tener esa necesidad de conocerlo más, y tome la decisión por convicción de aceptarlo como mi salvador, hasta el día de hoy Dios sigue trabajando en mi vida.</v>
      </c>
      <c r="P60" s="30" t="str">
        <f ca="1"/>
        <v>Porque el año pasado fui por primera vez parte del equipo por toda la temporada y Dios hablo mucho a mi vida y toco temas los cuales me hicieron regresar a mi iglesias con muchos retos de sanar y fortalecer aún más mi fé , además fue una de las experiencias más bonitas , que me permitio conocer amigos de la misma fé y aprender mas cosas sobre Dios y me gustaría volver a ser parte de nuevo está nueva temporada de campamento.</v>
      </c>
      <c r="Q60" s="30" t="str">
        <f ca="1"/>
        <v>No</v>
      </c>
      <c r="R60" s="30">
        <v>0</v>
      </c>
      <c r="S60" s="30" t="str">
        <f ca="1"/>
        <v>No</v>
      </c>
      <c r="T60" s="30">
        <v>0</v>
      </c>
      <c r="U60" s="30" t="str">
        <f ca="1"/>
        <v>Estoy en mi último semestre de preparatoria</v>
      </c>
      <c r="V60" s="30" t="str">
        <f ca="1"/>
        <v>En mi iglesia estuve sirviendo en cafetería y el año pasado fui parte del area de cafetería y considero que tengo habilidad en el tema de cafetería,  ademas es algo que disfruto hacer  y también me encanta trabajar en el area  con niños</v>
      </c>
      <c r="W60" s="16" t="str">
        <f ca="1"/>
        <v>A. Soy un discipulador activo, B. Me gusta animar a las personas, C. Suelo buscar que el trabajo se realice en equipo, E. Me gusta el trabajo con niños, G. Soy más eficiente en el trabajo individual, H. Soy organizado (a), J. Me gusta la atención a las personas, N. Suelo llevar el liderazgo en un grupo, O. Puedo enseñar con facilidad</v>
      </c>
      <c r="X60" s="16" t="str">
        <f ca="1"/>
        <v>Si , Authentic</v>
      </c>
      <c r="Y60" s="30">
        <v>0</v>
      </c>
      <c r="Z60" s="23" t="s">
        <v>25</v>
      </c>
      <c r="AA60" s="23"/>
      <c r="AB60" s="23"/>
      <c r="AC60" s="23"/>
      <c r="AD60" s="23"/>
      <c r="AE60" s="23"/>
      <c r="AF60" s="23"/>
      <c r="AG60" s="23"/>
      <c r="AH60" s="23"/>
      <c r="AI60" s="23"/>
      <c r="AJ60" s="16" t="s">
        <v>89</v>
      </c>
      <c r="AK60" s="16"/>
      <c r="AL60" s="17"/>
    </row>
    <row r="61" spans="1:38" ht="12.75" x14ac:dyDescent="0.35">
      <c r="A61" s="9">
        <v>60</v>
      </c>
      <c r="B61" s="30" t="str">
        <f ca="1"/>
        <v>Luis Fernando, García Mendoza</v>
      </c>
      <c r="C61" s="31">
        <f ca="1"/>
        <v>21</v>
      </c>
      <c r="D61" s="30" t="str">
        <f ca="1"/>
        <v>Hombre</v>
      </c>
      <c r="E61" s="30" t="str">
        <f ca="1"/>
        <v>Queretaro, Mexico</v>
      </c>
      <c r="F61" s="30" t="str">
        <f ca="1"/>
        <v>luisgarciayo.lg@gmail.com</v>
      </c>
      <c r="G61" s="30">
        <f ca="1"/>
        <v>524423198762</v>
      </c>
      <c r="H61" s="30" t="str">
        <f ca="1"/>
        <v>Toda la temporada (07 de Julio al 16 de agosto)</v>
      </c>
      <c r="I61" s="30" t="str">
        <f ca="1"/>
        <v>Por libro de la biblia</v>
      </c>
      <c r="J61" s="30" t="str">
        <f ca="1"/>
        <v>Iglesia cristiana Vid Central</v>
      </c>
      <c r="K61" s="30" t="str">
        <f ca="1"/>
        <v>Nahum Álvarez</v>
      </c>
      <c r="L61" s="30">
        <f ca="1"/>
        <v>524426198741</v>
      </c>
      <c r="M61" s="30" t="str">
        <f ca="1"/>
        <v>Admonvidcentral10@gmail.com</v>
      </c>
      <c r="N61" s="30" t="str">
        <f ca="1"/>
        <v>Multimedia en luces, con jóvenes en un estudio</v>
      </c>
      <c r="O61" s="30" t="str">
        <f ca="1"/>
        <v>Soy cristiano casi de cuna, mi mamá nos llevó a la iglesia desde mis 4 años y por toda mi niñez crecí dentro del entorno cristiano.
Cuando reconocí a Dios como mi salvador fue a los 11 años cuando yo estudiaba en primaria, en mi salón estaba pasando por momentos difíciles los cuales les conté a mis padres, fue ahí donde ellos me guiaron en como buscar a cristo y en aceptar que él guía mi camino y me guarda del mal de este mundo.
Entonces pude aceptarlo como mi salvador y señor y vi el cambio en mi vida.
He tenido recaídas y momentos de debilidad pero junto a Cristo siempre me guía de regreso a su camino y me acompaña en mi diario caminar.</v>
      </c>
      <c r="P61" s="30" t="str">
        <f ca="1"/>
        <v>Tener la oportunidad de brindar mi servicio a Dios durante la temporada de campamento es mi forma de mostrarle mi gratitud por todo lo que él ha hecho por mi, por la salud y buena vida que él me provee</v>
      </c>
      <c r="Q61" s="30" t="str">
        <f ca="1"/>
        <v>Si</v>
      </c>
      <c r="R61" s="30" t="str">
        <f ca="1"/>
        <v>Voleibol</v>
      </c>
      <c r="S61" s="30" t="str">
        <f ca="1"/>
        <v>No</v>
      </c>
      <c r="T61" s="30">
        <v>0</v>
      </c>
      <c r="U61" s="30" t="str">
        <f ca="1"/>
        <v>Estudié ingeniería Química</v>
      </c>
      <c r="V61" s="30" t="str">
        <f ca="1"/>
        <v>Sé un poco de electrica, un poco de herramientas manuales, mi trabajo es un trabajo de oficina, entreno voli</v>
      </c>
      <c r="W61" s="16" t="str">
        <f ca="1"/>
        <v>C. Suelo buscar que el trabajo se realice en equipo, D. Me gustan los deportes, F. Soy eficiente en el trabajo con herramientas, equipos y maquinarias, I. Se me facilita el trabajo físico, J. Me gusta la atención a las personas, M. Soy bueno (a) con los números, O. Puedo enseñar con facilidad</v>
      </c>
      <c r="X61" s="16" t="str">
        <f ca="1"/>
        <v>2022, 2021, y años anteriores</v>
      </c>
      <c r="Y61" s="30">
        <v>0</v>
      </c>
      <c r="Z61" s="23" t="s">
        <v>50</v>
      </c>
      <c r="AA61" s="23"/>
      <c r="AB61" s="23" t="s">
        <v>45</v>
      </c>
      <c r="AC61" s="23"/>
      <c r="AD61" s="23"/>
      <c r="AE61" s="23"/>
      <c r="AF61" s="23"/>
      <c r="AG61" s="23"/>
      <c r="AH61" s="23"/>
      <c r="AI61" s="23"/>
      <c r="AJ61" s="16"/>
      <c r="AK61" s="16"/>
      <c r="AL61" s="17"/>
    </row>
    <row r="62" spans="1:38" ht="12.75" x14ac:dyDescent="0.35">
      <c r="A62" s="9">
        <v>61</v>
      </c>
      <c r="B62" s="30" t="str">
        <f ca="1"/>
        <v>Sofía, Aguilar</v>
      </c>
      <c r="C62" s="31">
        <f ca="1"/>
        <v>18</v>
      </c>
      <c r="D62" s="30" t="str">
        <f ca="1"/>
        <v>Mujer</v>
      </c>
      <c r="E62" s="30" t="str">
        <f ca="1"/>
        <v>Jalisco, Mexico</v>
      </c>
      <c r="F62" s="30" t="str">
        <f ca="1"/>
        <v>sofiacobos0202@gmail.com</v>
      </c>
      <c r="G62" s="30">
        <f ca="1"/>
        <v>523325434094</v>
      </c>
      <c r="H62" s="30" t="str">
        <f ca="1"/>
        <v>Toda la temporada (07 de Julio al 16 de agosto)</v>
      </c>
      <c r="I62" s="30" t="str">
        <f ca="1"/>
        <v>Hs pv</v>
      </c>
      <c r="J62" s="30" t="str">
        <f ca="1"/>
        <v>Vida</v>
      </c>
      <c r="K62" s="30" t="str">
        <f ca="1"/>
        <v>Neftalí</v>
      </c>
      <c r="L62" s="30">
        <f ca="1"/>
        <v>524411036024</v>
      </c>
      <c r="M62" s="30" t="str">
        <f ca="1"/>
        <v>nefaly@gmail.com</v>
      </c>
      <c r="N62" s="30" t="str">
        <f ca="1"/>
        <v>Multimedia</v>
      </c>
      <c r="O62" s="30" t="str">
        <f ca="1"/>
        <v>Acepte al señor en mi corazón a los 4 años y soy de cuna cristiana</v>
      </c>
      <c r="P62" s="30" t="str">
        <f ca="1"/>
        <v>Para ayudar y servir</v>
      </c>
      <c r="Q62" s="30" t="str">
        <f ca="1"/>
        <v>Si</v>
      </c>
      <c r="R62" s="30" t="str">
        <f ca="1"/>
        <v>Volleyball</v>
      </c>
      <c r="S62" s="30" t="str">
        <f ca="1"/>
        <v>No</v>
      </c>
      <c r="T62" s="30">
        <v>0</v>
      </c>
      <c r="U62" s="30" t="str">
        <f ca="1"/>
        <v>Prepa</v>
      </c>
      <c r="V62" s="30" t="str">
        <f ca="1"/>
        <v>Flexible, captación rápida me gusta aprender</v>
      </c>
      <c r="W62" s="16" t="str">
        <f ca="1"/>
        <v>B. Me gusta animar a las personas, C. Suelo buscar que el trabajo se realice en equipo, D. Me gustan los deportes, E. Me gusta el trabajo con niños, F. Soy eficiente en el trabajo con herramientas, equipos y maquinarias, G. Soy más eficiente en el trabajo individual, H. Soy organizado (a), I. Se me facilita el trabajo físico, J. Me gusta la atención a las personas, K. Soy creativo (a), O. Puedo enseñar con facilidad</v>
      </c>
      <c r="X62" s="16">
        <f ca="1"/>
        <v>2023</v>
      </c>
      <c r="Y62" s="30">
        <v>0</v>
      </c>
      <c r="Z62" s="23" t="s">
        <v>25</v>
      </c>
      <c r="AA62" s="23"/>
      <c r="AB62" s="23"/>
      <c r="AC62" s="23"/>
      <c r="AD62" s="23"/>
      <c r="AE62" s="23"/>
      <c r="AF62" s="23"/>
      <c r="AG62" s="23"/>
      <c r="AH62" s="23"/>
      <c r="AI62" s="23"/>
      <c r="AJ62" s="16"/>
      <c r="AK62" s="16"/>
      <c r="AL62" s="17"/>
    </row>
    <row r="63" spans="1:38" ht="25.5" x14ac:dyDescent="0.35">
      <c r="A63" s="9">
        <v>62</v>
      </c>
      <c r="B63" s="30" t="str">
        <f ca="1"/>
        <v>Alejandro, Nava Montemayor</v>
      </c>
      <c r="C63" s="31">
        <f ca="1"/>
        <v>23</v>
      </c>
      <c r="D63" s="30" t="str">
        <f ca="1"/>
        <v>Hombre</v>
      </c>
      <c r="E63" s="30" t="str">
        <f ca="1"/>
        <v>Queretaro, Mexico</v>
      </c>
      <c r="F63" s="30" t="str">
        <f ca="1"/>
        <v>realejandronava@gmail.com</v>
      </c>
      <c r="G63" s="30">
        <f ca="1"/>
        <v>524427818902</v>
      </c>
      <c r="H63" s="30" t="str">
        <f ca="1"/>
        <v>Semana de entrenamiento (07 - 13) Julio, Comunidad Jóvenes + 18 (14-19) Julio, Semana de niños y niñas (21-25) Julio, Jóvenes de 13 – 17 años / SEM1/ (28 Julio a 02 de agosto), Jóvenes de 13 – 17 años / SEM2/ (4 - 09 agosto), Jóvenes de 13 – 17 años / SEM3/ (11 - 16 agosto), Toda la temporada (07 de Julio al 16 de agosto)</v>
      </c>
      <c r="I63" s="30" t="str">
        <f ca="1"/>
        <v>Hs o devocional personal</v>
      </c>
      <c r="J63" s="30" t="str">
        <f ca="1"/>
        <v>Iglesia Bíblica Juriquilla</v>
      </c>
      <c r="K63" s="30" t="str">
        <f ca="1"/>
        <v>Pablo Ferrari</v>
      </c>
      <c r="L63" s="30">
        <f ca="1"/>
        <v>524423303874</v>
      </c>
      <c r="M63" s="30" t="str">
        <f ca="1"/>
        <v>pabloyfrine@gmail.com</v>
      </c>
      <c r="N63" s="30" t="str">
        <f ca="1"/>
        <v>Ayuda con jóvenes y adolescentes</v>
      </c>
      <c r="O63" s="30" t="str">
        <f ca="1"/>
        <v>Nací en familia creyente, conocí a Cristo desde pequeño en la iglesia en la que me congregaba en Saltillo Coahuila, a la edad de 10 años nos mudamos de ciudad a Querétaro, donde tambien conocí Palabra de vida por medio del pastor y la relación con el ministerio, en mi segundo campamento fue que tuve seguridad de salvación, gracias a una charla con mi consejero.</v>
      </c>
      <c r="P63" s="30" t="str">
        <f ca="1"/>
        <v>Estuve estudiando en Pdv Argentina, serví como consejero los años que estuve allá, el campamento me parece una oportunidad muy grande para poder juntar a muchas personas y poder predicarles el evangelio a través de las charlas y el tiempo personal con cada uno.</v>
      </c>
      <c r="Q63" s="30" t="str">
        <f ca="1"/>
        <v>Si</v>
      </c>
      <c r="R63" s="30" t="str">
        <f ca="1"/>
        <v>Volley</v>
      </c>
      <c r="S63" s="30" t="str">
        <f ca="1"/>
        <v>No</v>
      </c>
      <c r="T63" s="30">
        <v>0</v>
      </c>
      <c r="U63" s="30" t="str">
        <f ca="1"/>
        <v>Diseño y comunicación gráfica</v>
      </c>
      <c r="V63" s="30" t="str">
        <f ca="1"/>
        <v>Trabajo con generadores eléctricos y aún no termino de estudiar diseño</v>
      </c>
      <c r="W63" s="16" t="str">
        <f ca="1"/>
        <v>B. Me gusta animar a las personas, C. Suelo buscar que el trabajo se realice en equipo, D. Me gustan los deportes, E. Me gusta el trabajo con niños, J. Me gusta la atención a las personas, K. Soy creativo (a), N. Suelo llevar el liderazgo en un grupo</v>
      </c>
      <c r="X63" s="16" t="str">
        <f ca="1"/>
        <v>Sí, entre el 2013-2017</v>
      </c>
      <c r="Y63" s="30">
        <v>0</v>
      </c>
      <c r="Z63" s="23" t="s">
        <v>47</v>
      </c>
      <c r="AA63" s="23" t="s">
        <v>50</v>
      </c>
      <c r="AB63" s="23" t="s">
        <v>45</v>
      </c>
      <c r="AC63" s="23"/>
      <c r="AD63" s="23"/>
      <c r="AE63" s="23"/>
      <c r="AF63" s="23"/>
      <c r="AG63" s="23"/>
      <c r="AH63" s="23"/>
      <c r="AI63" s="23"/>
      <c r="AJ63" s="16" t="s">
        <v>90</v>
      </c>
      <c r="AK63" s="16"/>
      <c r="AL63" s="17" t="s">
        <v>91</v>
      </c>
    </row>
    <row r="64" spans="1:38" ht="76.5" x14ac:dyDescent="0.35">
      <c r="A64" s="9">
        <v>63</v>
      </c>
      <c r="B64" s="30" t="str">
        <f ca="1"/>
        <v>Andres, Nava Montemayor</v>
      </c>
      <c r="C64" s="31">
        <f ca="1"/>
        <v>15</v>
      </c>
      <c r="D64" s="30" t="str">
        <f ca="1"/>
        <v>Hombre</v>
      </c>
      <c r="E64" s="30" t="str">
        <f ca="1"/>
        <v>Queretaro, Mexico</v>
      </c>
      <c r="F64" s="30" t="str">
        <f ca="1"/>
        <v>jezra123na@gmail.com</v>
      </c>
      <c r="G64" s="30">
        <f ca="1"/>
        <v>528441003653</v>
      </c>
      <c r="H64" s="30" t="str">
        <f ca="1"/>
        <v>Semana de entrenamiento (07 - 13) Julio, Comunidad Jóvenes + 18 (14-19) Julio, Semana de niños y niñas (21-25) Julio</v>
      </c>
      <c r="I64" s="30" t="str">
        <f ca="1"/>
        <v>No uso</v>
      </c>
      <c r="J64" s="30" t="str">
        <f ca="1"/>
        <v>Iglesia biblica juriquilla</v>
      </c>
      <c r="K64" s="30" t="str">
        <f ca="1"/>
        <v>Pablo ferrari</v>
      </c>
      <c r="L64" s="30">
        <f ca="1"/>
        <v>524423303874</v>
      </c>
      <c r="M64" s="30" t="str">
        <f ca="1"/>
        <v>pabloyfrine@gmail.com</v>
      </c>
      <c r="N64" s="30" t="str">
        <f ca="1"/>
        <v>Limpieza</v>
      </c>
      <c r="O64" s="30" t="str">
        <f ca="1"/>
        <v>Tenia 13 el 19 de febrero Mi hermano me hablo de el y yo lo acepte</v>
      </c>
      <c r="P64" s="30" t="str">
        <f ca="1"/>
        <v>Quiero ver el campamento desde otra perspectiva</v>
      </c>
      <c r="Q64" s="30" t="str">
        <f ca="1"/>
        <v>No</v>
      </c>
      <c r="R64" s="30">
        <v>0</v>
      </c>
      <c r="S64" s="30" t="str">
        <f ca="1"/>
        <v>No</v>
      </c>
      <c r="T64" s="30">
        <v>0</v>
      </c>
      <c r="U64" s="30" t="str">
        <f ca="1"/>
        <v>Prepa</v>
      </c>
      <c r="V64" s="30" t="str">
        <f ca="1"/>
        <v>Se pavar autos</v>
      </c>
      <c r="W64" s="16" t="str">
        <f ca="1"/>
        <v>B. Me gusta animar a las personas, D. Me gustan los deportes, H. Soy organizado (a), J. Me gusta la atención a las personas, K. Soy creativo (a), O. Puedo enseñar con facilidad</v>
      </c>
      <c r="X64" s="16" t="str">
        <f ca="1"/>
        <v>Si, 2023-2024</v>
      </c>
      <c r="Y64" s="30">
        <v>0</v>
      </c>
      <c r="Z64" s="23" t="s">
        <v>50</v>
      </c>
      <c r="AA64" s="23"/>
      <c r="AB64" s="23"/>
      <c r="AC64" s="23"/>
      <c r="AD64" s="23"/>
      <c r="AE64" s="23"/>
      <c r="AF64" s="23"/>
      <c r="AG64" s="23"/>
      <c r="AH64" s="23"/>
      <c r="AI64" s="23"/>
      <c r="AJ64" s="16" t="s">
        <v>92</v>
      </c>
      <c r="AK64" s="16"/>
      <c r="AL64" s="17"/>
    </row>
    <row r="65" spans="1:38" ht="12.75" x14ac:dyDescent="0.35">
      <c r="A65" s="9">
        <v>64</v>
      </c>
      <c r="B65" s="30" t="str">
        <f ca="1"/>
        <v>Hugo Lemuel, Sánchez Rubio</v>
      </c>
      <c r="C65" s="31">
        <f ca="1"/>
        <v>16</v>
      </c>
      <c r="D65" s="30" t="str">
        <f ca="1"/>
        <v>Hombre</v>
      </c>
      <c r="E65" s="30" t="str">
        <f ca="1"/>
        <v>Jalisco, Mexico</v>
      </c>
      <c r="F65" s="30" t="str">
        <f ca="1"/>
        <v>lemuel.sanchez11@icloud.com</v>
      </c>
      <c r="G65" s="30">
        <f ca="1"/>
        <v>523318797065</v>
      </c>
      <c r="H65" s="30" t="str">
        <f ca="1"/>
        <v>Toda la temporada (07 de Julio al 16 de agosto)</v>
      </c>
      <c r="I65" s="30" t="str">
        <f ca="1"/>
        <v>You Version</v>
      </c>
      <c r="J65" s="30" t="str">
        <f ca="1"/>
        <v>Vida</v>
      </c>
      <c r="K65" s="30" t="str">
        <f ca="1"/>
        <v>Neftalí</v>
      </c>
      <c r="L65" s="30">
        <f ca="1"/>
        <v>524411036024</v>
      </c>
      <c r="M65" s="30" t="str">
        <f ca="1"/>
        <v>nefaly07@gmail.com</v>
      </c>
      <c r="N65" s="30" t="str">
        <f ca="1"/>
        <v>Multimedia y cafetería</v>
      </c>
      <c r="O65" s="30" t="str">
        <f ca="1"/>
        <v>Crecí desde pequeño con una idea errónea de lo que era una vida cristiana dependiendo de que las acciones que yo hacía me podría dar la salvación.
Al llegar a iglesia vida pude notar que crecí con una idea errónea pero costándome comprender que era la salvación hasta el 2022.</v>
      </c>
      <c r="P65" s="30" t="str">
        <f ca="1"/>
        <v>Me gusta la idea de utilizar la diversión/ actividades físicas para tener oportunidad de marcar la vida de alguien ya que son experiencias únicas que suele ayudar a marcar una diferencia. Un campamento marcó un antes y un después, me gustaría ir a apoyar.</v>
      </c>
      <c r="Q65" s="30" t="str">
        <f ca="1"/>
        <v>Si</v>
      </c>
      <c r="R65" s="30" t="str">
        <f ca="1"/>
        <v>Gimnasio</v>
      </c>
      <c r="S65" s="30" t="str">
        <f ca="1"/>
        <v>No</v>
      </c>
      <c r="T65" s="30">
        <v>0</v>
      </c>
      <c r="U65" s="30" t="str">
        <f ca="1"/>
        <v>Preparatoria</v>
      </c>
      <c r="V65" s="30" t="str">
        <f ca="1"/>
        <v>Deportes matemáticas</v>
      </c>
      <c r="W65" s="16" t="str">
        <f ca="1"/>
        <v>C. Suelo buscar que el trabajo se realice en equipo, D. Me gustan los deportes, I. Se me facilita el trabajo físico, M. Soy bueno (a) con los números</v>
      </c>
      <c r="X65" s="16" t="str">
        <f ca="1"/>
        <v>Si, 22,23,24</v>
      </c>
      <c r="Y65" s="30">
        <v>0</v>
      </c>
      <c r="Z65" s="23" t="s">
        <v>50</v>
      </c>
      <c r="AA65" s="23"/>
      <c r="AB65" s="23"/>
      <c r="AC65" s="23"/>
      <c r="AD65" s="23"/>
      <c r="AE65" s="23"/>
      <c r="AF65" s="23"/>
      <c r="AG65" s="23"/>
      <c r="AH65" s="23"/>
      <c r="AI65" s="23"/>
      <c r="AJ65" s="16"/>
      <c r="AK65" s="16"/>
      <c r="AL65" s="17"/>
    </row>
    <row r="66" spans="1:38" ht="38.25" x14ac:dyDescent="0.35">
      <c r="A66" s="9">
        <v>65</v>
      </c>
      <c r="B66" s="30" t="str">
        <f ca="1"/>
        <v>Athenas Jocabed, Hernandez Gomez</v>
      </c>
      <c r="C66" s="31">
        <f ca="1"/>
        <v>24</v>
      </c>
      <c r="D66" s="30" t="str">
        <f ca="1"/>
        <v>Mujer</v>
      </c>
      <c r="E66" s="30" t="str">
        <f ca="1"/>
        <v>Guanajuato, Mexico</v>
      </c>
      <c r="F66" s="30" t="str">
        <f ca="1"/>
        <v>athenas.jo01@gmail.com</v>
      </c>
      <c r="G66" s="30">
        <f ca="1"/>
        <v>524151511152</v>
      </c>
      <c r="H66" s="30" t="str">
        <f ca="1"/>
        <v>Semana de entrenamiento (07 - 13) Julio, Comunidad Jóvenes + 18 (14-19) Julio, Jóvenes de 13 – 17 años / SEM1/ (28 Julio a 02 de agosto), Jóvenes de 13 – 17 años / SEM2/ (4 - 09 agosto), Jóvenes de 13 – 17 años / SEM3/ (11 - 16 agosto)</v>
      </c>
      <c r="I66" s="30" t="str">
        <f ca="1"/>
        <v>Hora silenciosa</v>
      </c>
      <c r="J66" s="30" t="str">
        <f ca="1"/>
        <v>Primera Iglesia Bautista de San Miguel de Allende</v>
      </c>
      <c r="K66" s="30" t="str">
        <f ca="1"/>
        <v>Adolfo Salazar Saldaña</v>
      </c>
      <c r="L66" s="30">
        <f ca="1"/>
        <v>524151140056</v>
      </c>
      <c r="M66" s="30" t="str">
        <f ca="1"/>
        <v>salcerd1@hotmail.com</v>
      </c>
      <c r="N66" s="30" t="str">
        <f ca="1"/>
        <v>Jóvenes/adolescentes/alabanza</v>
      </c>
      <c r="O66" s="30" t="str">
        <f ca="1"/>
        <v>Desde pequeña mi familia asistía a una iglesia cristiana, y yo “practicaba” el cristianismo de una manera religiosa. El Señor permitió que en el 2021 entrara a Instituto Bíblico y fue ahí que a través de las primeras clases pude entender el evangelio, mi condición de pecadora y mi necesidad de un salvador.</v>
      </c>
      <c r="P66" s="30" t="str">
        <f ca="1"/>
        <v>Primeramente para tener la oportunidad de servir en donde se que muchos son alcanzados por el evangelio y también por invitación de Kevin Dávila a participar en la alabanza de esta temporada.</v>
      </c>
      <c r="Q66" s="30" t="str">
        <f ca="1"/>
        <v>No</v>
      </c>
      <c r="R66" s="30">
        <v>0</v>
      </c>
      <c r="S66" s="30" t="str">
        <f ca="1"/>
        <v>Si</v>
      </c>
      <c r="T66" s="30" t="str">
        <f ca="1"/>
        <v>Violoncello</v>
      </c>
      <c r="U66" s="30" t="str">
        <f ca="1"/>
        <v>No estudio.</v>
      </c>
      <c r="V66" s="30" t="str">
        <f ca="1"/>
        <v>Canto, creatividad.</v>
      </c>
      <c r="W66" s="16" t="str">
        <f ca="1"/>
        <v>H. Soy organizado (a), K. Soy creativo (a), L. Soy bueno (a) en canto o algún instrumento, O. Puedo enseñar con facilidad</v>
      </c>
      <c r="X66" s="16" t="str">
        <f ca="1"/>
        <v>Si, 2017 y otros años que no recuerdo bien.</v>
      </c>
      <c r="Y66" s="30">
        <v>0</v>
      </c>
      <c r="Z66" s="23" t="s">
        <v>25</v>
      </c>
      <c r="AA66" s="23"/>
      <c r="AB66" s="23"/>
      <c r="AC66" s="23"/>
      <c r="AD66" s="23"/>
      <c r="AE66" s="23"/>
      <c r="AF66" s="23"/>
      <c r="AG66" s="23"/>
      <c r="AH66" s="23"/>
      <c r="AI66" s="23"/>
      <c r="AJ66" s="16" t="s">
        <v>93</v>
      </c>
      <c r="AK66" s="16"/>
      <c r="AL66" s="17"/>
    </row>
    <row r="67" spans="1:38" ht="38.25" x14ac:dyDescent="0.35">
      <c r="A67" s="9">
        <v>66</v>
      </c>
      <c r="B67" s="30" t="str">
        <f ca="1"/>
        <v>Alejandro, Amador García</v>
      </c>
      <c r="C67" s="31">
        <f ca="1"/>
        <v>25</v>
      </c>
      <c r="D67" s="30" t="str">
        <f ca="1"/>
        <v>Hombre</v>
      </c>
      <c r="E67" s="30" t="str">
        <f ca="1"/>
        <v>Puebla, Mexico</v>
      </c>
      <c r="F67" s="30" t="str">
        <f ca="1"/>
        <v>aleamagar2000@gmail.com</v>
      </c>
      <c r="G67" s="30">
        <f ca="1"/>
        <v>522451039018</v>
      </c>
      <c r="H67" s="30" t="str">
        <f ca="1"/>
        <v>Comunidad Jóvenes + 18 (14-19) Julio, Semana de niños y niñas (21-25) Julio</v>
      </c>
      <c r="I67" s="30" t="str">
        <f ca="1"/>
        <v>Glorify</v>
      </c>
      <c r="J67" s="30" t="str">
        <f ca="1"/>
        <v>Iglesia Bíblica Roca Fuerte</v>
      </c>
      <c r="K67" s="30" t="str">
        <f ca="1"/>
        <v>Alejandro Amador González</v>
      </c>
      <c r="L67" s="30">
        <f ca="1"/>
        <v>522454509929</v>
      </c>
      <c r="M67" s="30" t="str">
        <f ca="1"/>
        <v>amadorgon@gmail.com</v>
      </c>
      <c r="N67" s="30" t="str">
        <f ca="1"/>
        <v>Estoy en el ministerio de club biblico, alabanza y doy lecciones</v>
      </c>
      <c r="O67" s="30" t="str">
        <f ca="1"/>
        <v>Fue a los 7 años, gracias a Dios crecí en una iglesia, pero fue hasta ese entonces que entendí el evangelio y lo que Jesús había hecho por mi.</v>
      </c>
      <c r="P67" s="30" t="str">
        <f ca="1"/>
        <v>Por amor primero a Dios y que mejor que aprovechar mi tiempo y fuerzas en servir</v>
      </c>
      <c r="Q67" s="30" t="str">
        <f ca="1"/>
        <v>Si</v>
      </c>
      <c r="R67" s="30" t="str">
        <f ca="1"/>
        <v>volly basket etc</v>
      </c>
      <c r="S67" s="30" t="str">
        <f ca="1"/>
        <v>Si</v>
      </c>
      <c r="T67" s="30" t="str">
        <f ca="1"/>
        <v>guitarra, bajo</v>
      </c>
      <c r="U67" s="30" t="str">
        <f ca="1"/>
        <v>termine la licenciatura de arquitectura</v>
      </c>
      <c r="V67" s="30" t="str">
        <f ca="1"/>
        <v>soy barista y arquitecto</v>
      </c>
      <c r="W67" s="16" t="str">
        <f ca="1"/>
        <v>A. Soy un discipulador activo, B. Me gusta animar a las personas, C. Suelo buscar que el trabajo se realice en equipo, D. Me gustan los deportes, E. Me gusta el trabajo con niños, F. Soy eficiente en el trabajo con herramientas, equipos y maquinarias, H. Soy organizado (a), J. Me gusta la atención a las personas, K. Soy creativo (a), L. Soy bueno (a) en canto o algún instrumento, N. Suelo llevar el liderazgo en un grupo, O. Puedo enseñar con facilidad</v>
      </c>
      <c r="X67" s="16" t="str">
        <f ca="1"/>
        <v>si, desde el 2012, y e asistido a 2 campamentos +18</v>
      </c>
      <c r="Y67" s="30">
        <v>0</v>
      </c>
      <c r="Z67" s="23" t="s">
        <v>45</v>
      </c>
      <c r="AA67" s="23"/>
      <c r="AB67" s="23"/>
      <c r="AC67" s="23"/>
      <c r="AD67" s="23"/>
      <c r="AE67" s="23"/>
      <c r="AF67" s="23"/>
      <c r="AG67" s="23"/>
      <c r="AH67" s="23"/>
      <c r="AI67" s="23"/>
      <c r="AJ67" s="16" t="s">
        <v>94</v>
      </c>
      <c r="AK67" s="16"/>
      <c r="AL67" s="17"/>
    </row>
    <row r="68" spans="1:38" ht="25.5" x14ac:dyDescent="0.35">
      <c r="A68" s="9">
        <v>67</v>
      </c>
      <c r="B68" s="30" t="str">
        <f ca="1"/>
        <v>Brisa, Velazquez Medina</v>
      </c>
      <c r="C68" s="31">
        <f ca="1"/>
        <v>24</v>
      </c>
      <c r="D68" s="30" t="str">
        <f ca="1"/>
        <v>Mujer</v>
      </c>
      <c r="E68" s="30" t="str">
        <f ca="1"/>
        <v>Puebla, Mexico</v>
      </c>
      <c r="F68" s="30" t="str">
        <f ca="1"/>
        <v>brisamedina0708@gmail.com</v>
      </c>
      <c r="G68" s="30">
        <f ca="1"/>
        <v>522451037785</v>
      </c>
      <c r="H68" s="30" t="str">
        <f ca="1"/>
        <v>Comunidad Jóvenes + 18 (14-19) Julio, Semana de niños y niñas (21-25) Julio</v>
      </c>
      <c r="I68" s="30" t="str">
        <f ca="1"/>
        <v>Glorify</v>
      </c>
      <c r="J68" s="30" t="str">
        <f ca="1"/>
        <v>Iglesia Bíblica Roca Fuerte</v>
      </c>
      <c r="K68" s="30" t="str">
        <f ca="1"/>
        <v>Alejandro Amador González</v>
      </c>
      <c r="L68" s="30">
        <f ca="1"/>
        <v>522454509929</v>
      </c>
      <c r="M68" s="30" t="str">
        <f ca="1"/>
        <v>amadorgon@gmail.com</v>
      </c>
      <c r="N68" s="30" t="str">
        <f ca="1"/>
        <v>Alabanza, enseñanza</v>
      </c>
      <c r="O68" s="30" t="str">
        <f ca="1"/>
        <v>Chica de 13 años que se aferró a Dios en una familia no creyente, a la actualidad somos una familia cristiana</v>
      </c>
      <c r="P68" s="30" t="str">
        <f ca="1"/>
        <v>Por querer aprender, poder compartir y en algún caso enseñar también</v>
      </c>
      <c r="Q68" s="30" t="str">
        <f ca="1"/>
        <v>Si</v>
      </c>
      <c r="R68" s="30" t="str">
        <f ca="1"/>
        <v>Vóleibol, basquetbol</v>
      </c>
      <c r="S68" s="30" t="str">
        <f ca="1"/>
        <v>No</v>
      </c>
      <c r="T68" s="30">
        <v>0</v>
      </c>
      <c r="U68" s="30" t="str">
        <f ca="1"/>
        <v>Administración de empresas</v>
      </c>
      <c r="V68" s="30" t="str">
        <f ca="1"/>
        <v>Sé administrar, dirigir, organizar, animar</v>
      </c>
      <c r="W68" s="16" t="str">
        <f ca="1"/>
        <v>B. Me gusta animar a las personas, C. Suelo buscar que el trabajo se realice en equipo, D. Me gustan los deportes, E. Me gusta el trabajo con niños, G. Soy más eficiente en el trabajo individual, H. Soy organizado (a), J. Me gusta la atención a las personas, L. Soy bueno (a) en canto o algún instrumento, M. Soy bueno (a) con los números</v>
      </c>
      <c r="X68" s="16" t="str">
        <f ca="1"/>
        <v>Si una vez en 2023</v>
      </c>
      <c r="Y68" s="30">
        <v>0</v>
      </c>
      <c r="Z68" s="23" t="s">
        <v>25</v>
      </c>
      <c r="AA68" s="23"/>
      <c r="AB68" s="23"/>
      <c r="AC68" s="23"/>
      <c r="AD68" s="23"/>
      <c r="AE68" s="23"/>
      <c r="AF68" s="23"/>
      <c r="AG68" s="23"/>
      <c r="AH68" s="23"/>
      <c r="AI68" s="23"/>
      <c r="AJ68" s="16" t="s">
        <v>95</v>
      </c>
      <c r="AK68" s="16"/>
      <c r="AL68" s="17"/>
    </row>
    <row r="69" spans="1:38" ht="12.75" x14ac:dyDescent="0.35">
      <c r="A69" s="9">
        <v>68</v>
      </c>
      <c r="B69" s="34" t="str">
        <f ca="1"/>
        <v>Abdiel, Guzmán Miròn</v>
      </c>
      <c r="C69" s="35">
        <f ca="1"/>
        <v>19</v>
      </c>
      <c r="D69" s="34" t="str">
        <f ca="1"/>
        <v>Hombre</v>
      </c>
      <c r="E69" s="34" t="str">
        <f ca="1"/>
        <v>Puebla, Mexico</v>
      </c>
      <c r="F69" s="34" t="str">
        <f ca="1"/>
        <v>Abdiel45guzman@gmail.com</v>
      </c>
      <c r="G69" s="34">
        <f ca="1"/>
        <v>522451127765</v>
      </c>
      <c r="H69" s="34" t="str">
        <f ca="1"/>
        <v>Comunidad Jóvenes + 18 (14-19) Julio, Semana de niños y niñas (21-25) Julio</v>
      </c>
      <c r="I69" s="34" t="str">
        <f ca="1"/>
        <v>Hora silenciosa o Glorify</v>
      </c>
      <c r="J69" s="34" t="str">
        <f ca="1"/>
        <v>Roca fuerte</v>
      </c>
      <c r="K69" s="34" t="str">
        <f ca="1"/>
        <v>Alejandro Amador</v>
      </c>
      <c r="L69" s="34">
        <f ca="1"/>
        <v>522454509929</v>
      </c>
      <c r="M69" s="34" t="str">
        <f ca="1"/>
        <v>amadorgon@gmail.com</v>
      </c>
      <c r="N69" s="34" t="str">
        <f ca="1"/>
        <v>Jóvenes de club bíblico</v>
      </c>
      <c r="O69" s="34" t="str">
        <f ca="1"/>
        <v>Acepte a Cristo en mi corazón desde los 13 años pero conozco de él desde pequeño</v>
      </c>
      <c r="P69" s="34" t="str">
        <f ca="1"/>
        <v>Me gustaría ir a servir, a escuchar la palabra de Dios y conocer experiencias</v>
      </c>
      <c r="Q69" s="34" t="str">
        <f ca="1"/>
        <v>Si</v>
      </c>
      <c r="R69" s="34" t="str">
        <f ca="1"/>
        <v>Fuerza</v>
      </c>
      <c r="S69" s="34" t="str">
        <f ca="1"/>
        <v>No</v>
      </c>
      <c r="T69" s="34">
        <v>0</v>
      </c>
      <c r="U69" s="34" t="str">
        <f ca="1"/>
        <v>Ya no estudio</v>
      </c>
      <c r="V69" s="34" t="str">
        <f ca="1"/>
        <v>Por el momento oficios y profesión no tengo</v>
      </c>
      <c r="W69" s="36" t="str">
        <f ca="1"/>
        <v>E. Me gusta el trabajo con niños, H. Soy organizado (a), O. Puedo enseñar con facilidad</v>
      </c>
      <c r="X69" s="36" t="str">
        <f ca="1"/>
        <v>La última vez que visité PV fue hace dos años</v>
      </c>
      <c r="Y69" s="34">
        <v>0</v>
      </c>
      <c r="Z69" s="37" t="s">
        <v>28</v>
      </c>
      <c r="AA69" s="37"/>
      <c r="AB69" s="37"/>
      <c r="AC69" s="37"/>
      <c r="AD69" s="23"/>
      <c r="AE69" s="23"/>
      <c r="AF69" s="23"/>
      <c r="AG69" s="23"/>
      <c r="AH69" s="23"/>
      <c r="AI69" s="23"/>
      <c r="AJ69" s="38" t="s">
        <v>96</v>
      </c>
      <c r="AK69" s="16"/>
      <c r="AL69" s="17"/>
    </row>
    <row r="70" spans="1:38" ht="12.75" x14ac:dyDescent="0.35">
      <c r="A70" s="9">
        <v>69</v>
      </c>
      <c r="B70" s="30" t="str">
        <f ca="1"/>
        <v>Alonso Dan, Saucedo Vázquez</v>
      </c>
      <c r="C70" s="31">
        <f ca="1"/>
        <v>19</v>
      </c>
      <c r="D70" s="30" t="str">
        <f ca="1"/>
        <v>Hombre</v>
      </c>
      <c r="E70" s="30" t="str">
        <f ca="1"/>
        <v>Queretaro, Mexico</v>
      </c>
      <c r="F70" s="30" t="str">
        <f ca="1"/>
        <v>saucedodan44@gmail.com</v>
      </c>
      <c r="G70" s="30">
        <f ca="1"/>
        <v>524423670699</v>
      </c>
      <c r="H70" s="30" t="str">
        <f ca="1"/>
        <v>Semana de entrenamiento (07 - 13) Julio, Comunidad Jóvenes + 18 (14-19) Julio, Semana de niños y niñas (21-25) Julio, Jóvenes de 13 – 17 años / SEM1/ (28 Julio a 02 de agosto), Jóvenes de 13 – 17 años / SEM2/ (4 - 09 agosto), Jóvenes de 13 – 17 años / SEM3/ (11 - 16 agosto), Toda la temporada (07 de Julio al 16 de agosto)</v>
      </c>
      <c r="I70" s="30" t="str">
        <f ca="1"/>
        <v>La Biblia y HS (Hora Silenciosa)</v>
      </c>
      <c r="J70" s="30" t="str">
        <f ca="1"/>
        <v>UNIFAM Querétaro (United Families In Christ)</v>
      </c>
      <c r="K70" s="30" t="str">
        <f ca="1"/>
        <v>Porfirio Alexis Saucedo Durán</v>
      </c>
      <c r="L70" s="30">
        <f ca="1"/>
        <v>525510455718</v>
      </c>
      <c r="M70" s="30" t="str">
        <f ca="1"/>
        <v>alexissaucedoduran@gmail.com</v>
      </c>
      <c r="N70" s="30" t="str">
        <f ca="1"/>
        <v>Líder de adoloscentes en Club Bíblico (13-17 años)</v>
      </c>
      <c r="O70" s="30" t="str">
        <f ca="1"/>
        <v>Nací en cuna cristiana, así que desde que tengo uso de razón voy a la iglesia cristiana, conociendo de Dios, valores cristianos, historias bíblicas y la salvación que hay en Jesús porque somos pecadores. 
La verdad, después de estar toda mi niñez en la iglesia, en mi adolescencia se me hizo algo simplemente como de costumbre y cotidiano en mi vida. Gracias a eso me enfríe espiritualmente sin tener una buena identidad en Dios como su hijo. 
Fue a mi edad de 15 años que pude entender realmente el evangelio y aceptar a Cristo en mi corazón como mi Señor y Salvador. A partir de ahí pude empezar a tener una relación personal con Dios y a la edad de 16 años me bauticé. 
Claro después de eso también vinieron pruebas en mi fe, con altos y bajos, pero Dios es grade y amoroso, y siempre me haces recordar que Él es lo mejor que tengo en mi vida.</v>
      </c>
      <c r="P70" s="30" t="str">
        <f ca="1"/>
        <v>No hay mejor trabajo que invertir en el reino y servir al Señor. Siempre es un gusto y un privilegio poder servir a Dios junto con todo el equipo de PV y los Estudiantes del Instituto. La verdad esta temporada no iba a poder ir por temas académicos y personales, pero estuve orando y sabía que si era voluntad de Dios todo se iba a acomodar, y literalmente en estos días todo se ha acomodado para poder ir a servir un año más por su gracia. 
Y ya más personalmente, también quiero servir esta temporada porque va a ser la primera vez  donde voy a poder servir junto con mi hermano mayor (que estudia allá) y mi hermana  que también se va toda la temporada (si la aceptan, claro JAJAJA).</v>
      </c>
      <c r="Q70" s="30" t="str">
        <f ca="1"/>
        <v>Si</v>
      </c>
      <c r="R70" s="30" t="str">
        <f ca="1"/>
        <v>Natación, básquetbol y GYM</v>
      </c>
      <c r="S70" s="30" t="str">
        <f ca="1"/>
        <v>Si</v>
      </c>
      <c r="T70" s="30" t="str">
        <f ca="1"/>
        <v>Guitarra, ukelele, flauta dulce, cajón y muuuy poco de piano</v>
      </c>
      <c r="U70" s="30" t="str">
        <f ca="1"/>
        <v>Psicología, Cadeta de Paramédicos (me graduaría primero Dios el 5 de julio) y Curso de Consejería Bíblica</v>
      </c>
      <c r="V70" s="30" t="str">
        <f ca="1"/>
        <v>Futuramente (Dios Plan) TEM/TAMP.  Pensamiento analítico y crítico, liderazgo, solución de conflictos, escucha activa, colaboración, comunicación asertiva, empatía y memoria retentiva.</v>
      </c>
      <c r="W70" s="16" t="str">
        <f ca="1"/>
        <v>A. Soy un discipulador activo, B. Me gusta animar a las personas, C. Suelo buscar que el trabajo se realice en equipo, D. Me gustan los deportes, E. Me gusta el trabajo con niños, H. Soy organizado (a), I. Se me facilita el trabajo físico, J. Me gusta la atención a las personas, K. Soy creativo (a), L. Soy bueno (a) en canto o algún instrumento, N. Suelo llevar el liderazgo en un grupo, O. Puedo enseñar con facilidad</v>
      </c>
      <c r="X70" s="16" t="str">
        <f ca="1"/>
        <v>Sí, en temporada Vuelve 2022</v>
      </c>
      <c r="Y70" s="30">
        <v>0</v>
      </c>
      <c r="Z70" s="23" t="s">
        <v>45</v>
      </c>
      <c r="AA70" s="23"/>
      <c r="AB70" s="23"/>
      <c r="AC70" s="23"/>
      <c r="AD70" s="23"/>
      <c r="AE70" s="23"/>
      <c r="AF70" s="23"/>
      <c r="AG70" s="23"/>
      <c r="AH70" s="23"/>
      <c r="AI70" s="23"/>
      <c r="AJ70" s="16"/>
      <c r="AK70" s="16"/>
      <c r="AL70" s="17"/>
    </row>
    <row r="71" spans="1:38" ht="25.5" x14ac:dyDescent="0.35">
      <c r="A71" s="9">
        <v>70</v>
      </c>
      <c r="B71" s="30" t="str">
        <f ca="1"/>
        <v>Sharon Daniela, Velazquez Sánchez</v>
      </c>
      <c r="C71" s="31">
        <f ca="1"/>
        <v>19</v>
      </c>
      <c r="D71" s="30" t="str">
        <f ca="1"/>
        <v>Mujer</v>
      </c>
      <c r="E71" s="30" t="str">
        <f ca="1"/>
        <v>Queretaro, Mexico</v>
      </c>
      <c r="F71" s="30" t="str">
        <f ca="1"/>
        <v>sharondaniela.velazquez@gmail.com</v>
      </c>
      <c r="G71" s="30">
        <f ca="1"/>
        <v>525520165962</v>
      </c>
      <c r="H71" s="30" t="str">
        <f ca="1"/>
        <v>Toda la temporada (07 de Julio al 16 de agosto)</v>
      </c>
      <c r="I71" s="30" t="str">
        <f ca="1"/>
        <v>Tribu Jóvenes</v>
      </c>
      <c r="J71" s="30" t="str">
        <f ca="1"/>
        <v>Vida Nueva para el Mundo</v>
      </c>
      <c r="K71" s="30" t="str">
        <f ca="1"/>
        <v>David Alducin</v>
      </c>
      <c r="L71" s="30">
        <f ca="1"/>
        <v>527229808024</v>
      </c>
      <c r="M71" s="30" t="str">
        <f ca="1"/>
        <v>iti_@live.com.mx</v>
      </c>
      <c r="N71" s="30" t="str">
        <f ca="1"/>
        <v>Adolescentes y Jovenes</v>
      </c>
      <c r="O71" s="30" t="str">
        <f ca="1"/>
        <v>Recibí a Cristo cuando cumplí 14 años 
Nací en una familia cristiana pero no comprendí el evangelio hasta esa edad</v>
      </c>
      <c r="P71" s="30" t="str">
        <f ca="1"/>
        <v>Quiero servir y también alimentarme del evangelio estas semanas</v>
      </c>
      <c r="Q71" s="30" t="str">
        <f ca="1"/>
        <v>Si</v>
      </c>
      <c r="R71" s="30" t="str">
        <f ca="1"/>
        <v>Natación</v>
      </c>
      <c r="S71" s="30" t="str">
        <f ca="1"/>
        <v>No</v>
      </c>
      <c r="T71" s="30">
        <v>0</v>
      </c>
      <c r="U71" s="30" t="str">
        <f ca="1"/>
        <v>Ingeniería Industrial</v>
      </c>
      <c r="V71" s="30" t="str">
        <f ca="1"/>
        <v>N/A</v>
      </c>
      <c r="W71" s="16" t="str">
        <f ca="1"/>
        <v>B. Me gusta animar a las personas, C. Suelo buscar que el trabajo se realice en equipo, D. Me gustan los deportes, E. Me gusta el trabajo con niños, K. Soy creativo (a), M. Soy bueno (a) con los números, N. Suelo llevar el liderazgo en un grupo, O. Puedo enseñar con facilidad</v>
      </c>
      <c r="X71" s="16" t="str">
        <f ca="1"/>
        <v>Si, en el 2024</v>
      </c>
      <c r="Y71" s="30">
        <v>0</v>
      </c>
      <c r="Z71" s="23" t="s">
        <v>26</v>
      </c>
      <c r="AA71" s="23"/>
      <c r="AB71" s="23" t="s">
        <v>25</v>
      </c>
      <c r="AC71" s="23"/>
      <c r="AD71" s="23"/>
      <c r="AE71" s="23"/>
      <c r="AF71" s="23"/>
      <c r="AG71" s="23"/>
      <c r="AH71" s="23"/>
      <c r="AI71" s="23"/>
      <c r="AJ71" s="16" t="s">
        <v>97</v>
      </c>
      <c r="AK71" s="16"/>
      <c r="AL71" s="17"/>
    </row>
    <row r="72" spans="1:38" ht="25.5" x14ac:dyDescent="0.35">
      <c r="A72" s="9">
        <v>71</v>
      </c>
      <c r="B72" s="30" t="str">
        <f ca="1"/>
        <v>Adrian Antonio, Salazar Sanchez</v>
      </c>
      <c r="C72" s="31">
        <f ca="1"/>
        <v>22</v>
      </c>
      <c r="D72" s="30" t="str">
        <f ca="1"/>
        <v>Hombre</v>
      </c>
      <c r="E72" s="30" t="str">
        <f ca="1"/>
        <v>Mexico, Mexico</v>
      </c>
      <c r="F72" s="30" t="str">
        <f ca="1"/>
        <v>salazar.adrian.1gmatutino@gmail.com</v>
      </c>
      <c r="G72" s="30">
        <f ca="1"/>
        <v>525583728009</v>
      </c>
      <c r="H72" s="30" t="str">
        <f ca="1"/>
        <v>Semana de entrenamiento (07 - 13) Julio, Comunidad Jóvenes + 18 (14-19) Julio, Semana de niños y niñas (21-25) Julio</v>
      </c>
      <c r="I72" s="30" t="str">
        <f ca="1"/>
        <v>El de mi iglesia/Sin nombre</v>
      </c>
      <c r="J72" s="30" t="str">
        <f ca="1"/>
        <v>Comunidad Cristiana Vida Abundante</v>
      </c>
      <c r="K72" s="30" t="str">
        <f ca="1"/>
        <v>Benjamín Avilés Chaparro</v>
      </c>
      <c r="L72" s="30">
        <f ca="1"/>
        <v>525535889519</v>
      </c>
      <c r="M72" s="30" t="str">
        <f ca="1"/>
        <v>wwjdben@hotmail.com</v>
      </c>
      <c r="N72" s="30" t="str">
        <f ca="1"/>
        <v>Ministerio de Alabanza</v>
      </c>
      <c r="O72" s="30" t="str">
        <f ca="1"/>
        <v>Mi vida fue apartada para el servicio de Dios desde antes que yo naciese y aún sin saberlo siempre cuidó de mi, me protegió y me preparó para afrontar una de las noticias más fuertes a los 12 años. Jesús me sacó de la depresión, no solo dió sanidad a mi cuerpo sino también a mi espíritu además que me dió un motivo para vivir.</v>
      </c>
      <c r="P72" s="30" t="str">
        <f ca="1"/>
        <v>Es mi deseo prepararme en el camino del Señor, ser imitador de Cristo y se bien que no lo haré únicamente asistiendo al campamento pero si es parte de mi crecimiento el servir tal y como Jesús lo hizo, sirviendo a su iglesia, aprendiendo y compartiendo a su vez todo lo que pueda.</v>
      </c>
      <c r="Q72" s="30" t="str">
        <f ca="1"/>
        <v>Si</v>
      </c>
      <c r="R72" s="30" t="str">
        <f ca="1"/>
        <v>Fútbol y Boxeo</v>
      </c>
      <c r="S72" s="30" t="str">
        <f ca="1"/>
        <v>Si</v>
      </c>
      <c r="T72" s="30" t="str">
        <f ca="1"/>
        <v>Guitarra Acústica</v>
      </c>
      <c r="U72" s="30" t="str">
        <f ca="1"/>
        <v>Ingeniería en Sistemas y Comunicaciones</v>
      </c>
      <c r="V72" s="30" t="str">
        <f ca="1"/>
        <v>Habilidades musicales</v>
      </c>
      <c r="W72" s="16" t="str">
        <f ca="1"/>
        <v>C. Suelo buscar que el trabajo se realice en equipo, D. Me gustan los deportes, H. Soy organizado (a), I. Se me facilita el trabajo físico, K. Soy creativo (a), L. Soy bueno (a) en canto o algún instrumento, N. Suelo llevar el liderazgo en un grupo</v>
      </c>
      <c r="X72" s="16" t="str">
        <f ca="1"/>
        <v>Campero hace 3 años en el campamento “Vuelve 2022”</v>
      </c>
      <c r="Y72" s="30">
        <v>0</v>
      </c>
      <c r="Z72" s="23" t="s">
        <v>50</v>
      </c>
      <c r="AA72" s="23"/>
      <c r="AB72" s="23"/>
      <c r="AC72" s="23"/>
      <c r="AD72" s="23"/>
      <c r="AE72" s="23"/>
      <c r="AF72" s="23"/>
      <c r="AG72" s="23"/>
      <c r="AH72" s="23"/>
      <c r="AI72" s="23"/>
      <c r="AJ72" s="16" t="s">
        <v>98</v>
      </c>
      <c r="AK72" s="16"/>
      <c r="AL72" s="17"/>
    </row>
    <row r="73" spans="1:38" ht="12.75" x14ac:dyDescent="0.35">
      <c r="A73" s="9">
        <v>72</v>
      </c>
      <c r="B73" s="30" t="str">
        <f ca="1"/>
        <v>Yamile Berenice, Carbajal Miranda</v>
      </c>
      <c r="C73" s="31">
        <f ca="1"/>
        <v>20</v>
      </c>
      <c r="D73" s="30" t="str">
        <f ca="1"/>
        <v>Mujer</v>
      </c>
      <c r="E73" s="30" t="str">
        <f ca="1"/>
        <v>Jalisco, Mexico</v>
      </c>
      <c r="F73" s="30" t="str">
        <f ca="1"/>
        <v>yamilemen1@gmail.com</v>
      </c>
      <c r="G73" s="30">
        <f ca="1"/>
        <v>523327186652</v>
      </c>
      <c r="H73" s="30" t="str">
        <f ca="1"/>
        <v>Semana de niños y niñas (21-25) Julio, Jóvenes de 13 – 17 años / SEM1/ (28 Julio a 02 de agosto), Jóvenes de 13 – 17 años / SEM2/ (4 - 09 agosto), Jóvenes de 13 – 17 años / SEM3/ (11 - 16 agosto)</v>
      </c>
      <c r="I73" s="30" t="str">
        <f ca="1"/>
        <v>Biblia y hora silenciosa</v>
      </c>
      <c r="J73" s="30" t="str">
        <f ca="1"/>
        <v>Iglesia Vida</v>
      </c>
      <c r="K73" s="30" t="str">
        <f ca="1"/>
        <v>Neftalí Rubio Bonilla</v>
      </c>
      <c r="L73" s="30">
        <f ca="1"/>
        <v>524411036024</v>
      </c>
      <c r="M73" s="30" t="str">
        <f ca="1"/>
        <v>Nefaly@gmail.con</v>
      </c>
      <c r="N73" s="30" t="str">
        <f ca="1"/>
        <v>Adolescentes</v>
      </c>
      <c r="O73" s="30" t="str">
        <f ca="1"/>
        <v>Desde niña mi familia me ha inculcado la fe pero a los 8 años decidí aceptar a Cristo en mi corazón y bautizarme pero llegando a la adolescencia fue un momento complicado ya que mi papá murió a mis 9 y mi madre trabajaba todo el día para mantenernos a mi y a mi familia. Me sentía en una soledad tremenda donde no encontraba salida, hasta que Dios obró en mi vida y me llevó a debilitarme tanto que lo busque. Ahora soy una mujer limpia y Dios me rescato de una vida de perdición</v>
      </c>
      <c r="P73" s="30" t="str">
        <f ca="1"/>
        <v>El año pasado fui por primera vez a ser equipante en campamento como consejera y fue una experiencia maravillosa, donde Dios me hablo a través de las amistades que me dio y de las niñas que llegaban cada semana con experiencia dolorosas pero siempre confiando en Dios.</v>
      </c>
      <c r="Q73" s="30" t="str">
        <f ca="1"/>
        <v>No</v>
      </c>
      <c r="R73" s="30">
        <v>0</v>
      </c>
      <c r="S73" s="30" t="str">
        <f ca="1"/>
        <v>No</v>
      </c>
      <c r="T73" s="30">
        <v>0</v>
      </c>
      <c r="U73" s="30" t="str">
        <f ca="1"/>
        <v>Estudio teología en Cristo Para las Naciones</v>
      </c>
      <c r="V73" s="30" t="str">
        <f ca="1"/>
        <v>Soy buena aconsejando y me encanta tener una relación con las personas</v>
      </c>
      <c r="W73" s="16" t="str">
        <f ca="1"/>
        <v>A. Soy un discipulador activo, B. Me gusta animar a las personas, H. Soy organizado (a), J. Me gusta la atención a las personas, O. Puedo enseñar con facilidad</v>
      </c>
      <c r="X73" s="16" t="str">
        <f ca="1"/>
        <v>Si. Desde el 2019</v>
      </c>
      <c r="Y73" s="30">
        <v>0</v>
      </c>
      <c r="Z73" s="23" t="s">
        <v>26</v>
      </c>
      <c r="AA73" s="23"/>
      <c r="AB73" s="23"/>
      <c r="AC73" s="23"/>
      <c r="AD73" s="23"/>
      <c r="AE73" s="23"/>
      <c r="AF73" s="23"/>
      <c r="AG73" s="23"/>
      <c r="AH73" s="23"/>
      <c r="AI73" s="23" t="s">
        <v>25</v>
      </c>
      <c r="AJ73" s="16" t="s">
        <v>99</v>
      </c>
      <c r="AK73" s="16"/>
      <c r="AL73" s="17"/>
    </row>
    <row r="74" spans="1:38" ht="12.75" x14ac:dyDescent="0.35">
      <c r="A74" s="9">
        <v>73</v>
      </c>
      <c r="B74" s="30" t="str">
        <f ca="1"/>
        <v>Britney, Mares Gonzalez</v>
      </c>
      <c r="C74" s="31">
        <f ca="1"/>
        <v>18</v>
      </c>
      <c r="D74" s="30" t="str">
        <f ca="1"/>
        <v>Mujer</v>
      </c>
      <c r="E74" s="30" t="str">
        <f ca="1"/>
        <v>Queretaro, Mexico</v>
      </c>
      <c r="F74" s="30" t="str">
        <f ca="1"/>
        <v>britneymares11@gmail.com</v>
      </c>
      <c r="G74" s="30">
        <f ca="1"/>
        <v>526771038847</v>
      </c>
      <c r="H74" s="30" t="str">
        <f ca="1"/>
        <v>Semana de entrenamiento (07 - 13) Julio, Comunidad Jóvenes + 18 (14-19) Julio, Semana de niños y niñas (21-25) Julio, Jóvenes de 13 – 17 años / SEM1/ (28 Julio a 02 de agosto)</v>
      </c>
      <c r="I74" s="30" t="str">
        <f ca="1"/>
        <v>Faith that works</v>
      </c>
      <c r="J74" s="30" t="str">
        <f ca="1"/>
        <v>Iglesia conexión vertical</v>
      </c>
      <c r="K74" s="30" t="str">
        <f ca="1"/>
        <v>Marcelo Jorquera</v>
      </c>
      <c r="L74" s="30">
        <f ca="1"/>
        <v>524411000876</v>
      </c>
      <c r="M74" s="30" t="str">
        <f ca="1"/>
        <v>mdjorquerap@gmail.com</v>
      </c>
      <c r="N74" s="30" t="str">
        <f ca="1"/>
        <v>Por el momento ninguno</v>
      </c>
      <c r="O74" s="30" t="str">
        <f ca="1"/>
        <v>Mi mamá fue quien me presentó el evangelio y de niña acepté a Cristo en mi corazón. Fui creciendo y aprendiendo más sobre la palabra de Dios y hasta el dia de hoy sigo buscando aprender y acercarme más y más a Dios!</v>
      </c>
      <c r="P74" s="30" t="str">
        <f ca="1"/>
        <v>Ya he ido a servir al campamento y cada vez ha sido una experiencia maravillosa servirle a Dios en éste campamento! Éste año Dios ha puesto en mi corazón nuevamente el deseo de asistir como equipante</v>
      </c>
      <c r="Q74" s="30" t="str">
        <f ca="1"/>
        <v>No</v>
      </c>
      <c r="R74" s="30">
        <v>0</v>
      </c>
      <c r="S74" s="30" t="str">
        <f ca="1"/>
        <v>No</v>
      </c>
      <c r="T74" s="30">
        <v>0</v>
      </c>
      <c r="U74" s="30" t="str">
        <f ca="1"/>
        <v>Sobrecargo</v>
      </c>
      <c r="V74" s="30" t="str">
        <f ca="1"/>
        <v>Se tocar el piano</v>
      </c>
      <c r="W74" s="16" t="str">
        <f ca="1"/>
        <v>B. Me gusta animar a las personas, C. Suelo buscar que el trabajo se realice en equipo, D. Me gustan los deportes, H. Soy organizado (a), I. Se me facilita el trabajo físico</v>
      </c>
      <c r="X74" s="16" t="str">
        <f ca="1"/>
        <v>Si, adolescentes</v>
      </c>
      <c r="Y74" s="30">
        <v>0</v>
      </c>
      <c r="Z74" s="23" t="s">
        <v>25</v>
      </c>
      <c r="AA74" s="23"/>
      <c r="AB74" s="23"/>
      <c r="AC74" s="23"/>
      <c r="AD74" s="23"/>
      <c r="AE74" s="23"/>
      <c r="AF74" s="23"/>
      <c r="AG74" s="23"/>
      <c r="AH74" s="23"/>
      <c r="AI74" s="23"/>
      <c r="AJ74" s="16"/>
      <c r="AK74" s="16"/>
      <c r="AL74" s="17"/>
    </row>
    <row r="75" spans="1:38" ht="12.75" x14ac:dyDescent="0.35">
      <c r="A75" s="9">
        <v>74</v>
      </c>
      <c r="B75" s="30" t="str">
        <f ca="1"/>
        <v>Sharon, Nava montemayor</v>
      </c>
      <c r="C75" s="31">
        <f ca="1"/>
        <v>21</v>
      </c>
      <c r="D75" s="30" t="str">
        <f ca="1"/>
        <v>Mujer</v>
      </c>
      <c r="E75" s="30" t="str">
        <f ca="1"/>
        <v>Queretaro, Mexico</v>
      </c>
      <c r="F75" s="30" t="str">
        <f ca="1"/>
        <v>snava8942@gmail.com</v>
      </c>
      <c r="G75" s="30">
        <f ca="1"/>
        <v>524461442044</v>
      </c>
      <c r="H75" s="30" t="str">
        <f ca="1"/>
        <v>Semana de entrenamiento (07 - 13) Julio, Comunidad Jóvenes + 18 (14-19) Julio, Semana de niños y niñas (21-25) Julio, Jóvenes de 13 – 17 años / SEM1/ (28 Julio a 02 de agosto), Jóvenes de 13 – 17 años / SEM2/ (4 - 09 agosto)</v>
      </c>
      <c r="I75" s="30" t="str">
        <f ca="1"/>
        <v>Estudio hechos y salmos por ahora</v>
      </c>
      <c r="J75" s="30" t="str">
        <f ca="1"/>
        <v>Iglesia biblica juriquilla</v>
      </c>
      <c r="K75" s="30" t="str">
        <f ca="1"/>
        <v>Pablo Ferrari</v>
      </c>
      <c r="L75" s="30">
        <f ca="1"/>
        <v>52524423303874</v>
      </c>
      <c r="M75" s="30" t="str">
        <f ca="1"/>
        <v>pabloyfine@gmail.com</v>
      </c>
      <c r="N75" s="30" t="str">
        <f ca="1"/>
        <v>Limpieza, cafetería bienvenida</v>
      </c>
      <c r="O75" s="30" t="str">
        <f ca="1"/>
        <v>Nací en Saltillo, por problemas de amenazas y seguridad,nos mudamos a quéretaro aquí conocí a mi abuela que fue un gran testimonio en mi vida ella era una hija de Dios tan servicial y activa , cuando llegué aquí me metí a nado sincronizado y mis amigas eran loquillas, del mundo y me vi en ese contraste, donde quería estar, mi iglesia (que iba porque me obligaban) jaja yo la veía y me encantaba eran tan lindos cantaban servían etc y me vi y dije quiero conocer a Dios entonces decidí ir a una escuela a estudiar teológia y ahí fue donde realmente conocí a Dios un Dios amoroso perdonador, creador de todo, conocí a mi Dios</v>
      </c>
      <c r="P75" s="30" t="str">
        <f ca="1"/>
        <v>Ya estaba en mi corazón servir en un campamento donde puedan conocer gente de Dios, el año pasado fui y me encantó quisiera ir de nuevo</v>
      </c>
      <c r="Q75" s="30" t="str">
        <f ca="1"/>
        <v>No</v>
      </c>
      <c r="R75" s="30">
        <v>0</v>
      </c>
      <c r="S75" s="30" t="str">
        <f ca="1"/>
        <v>No</v>
      </c>
      <c r="T75" s="30">
        <v>0</v>
      </c>
      <c r="U75" s="30" t="str">
        <f ca="1"/>
        <v>Estoy trabajando</v>
      </c>
      <c r="V75" s="30" t="str">
        <f ca="1"/>
        <v>Soy buena en las actividades deportivas, responsable, creativa,</v>
      </c>
      <c r="W75" s="16" t="str">
        <f ca="1"/>
        <v>B. Me gusta animar a las personas, C. Suelo buscar que el trabajo se realice en equipo, D. Me gustan los deportes, E. Me gusta el trabajo con niños, H. Soy organizado (a), I. Se me facilita el trabajo físico, J. Me gusta la atención a las personas, K. Soy creativo (a), M. Soy bueno (a) con los números</v>
      </c>
      <c r="X75" s="16" t="str">
        <f ca="1"/>
        <v>Si el año pasado</v>
      </c>
      <c r="Y75" s="30">
        <v>0</v>
      </c>
      <c r="Z75" s="23" t="s">
        <v>26</v>
      </c>
      <c r="AA75" s="23"/>
      <c r="AB75" s="23"/>
      <c r="AC75" s="23"/>
      <c r="AD75" s="23"/>
      <c r="AE75" s="23"/>
      <c r="AF75" s="23"/>
      <c r="AG75" s="23"/>
      <c r="AH75" s="23"/>
      <c r="AI75" s="23"/>
      <c r="AJ75" s="16" t="s">
        <v>100</v>
      </c>
      <c r="AK75" s="16"/>
      <c r="AL75" s="17"/>
    </row>
    <row r="76" spans="1:38" ht="12.75" x14ac:dyDescent="0.35">
      <c r="A76" s="9">
        <v>75</v>
      </c>
      <c r="B76" s="34" t="str">
        <f ca="1"/>
        <v>Nubia dalila, Franco González</v>
      </c>
      <c r="C76" s="35">
        <f ca="1"/>
        <v>36</v>
      </c>
      <c r="D76" s="34" t="str">
        <f ca="1"/>
        <v>Mujer</v>
      </c>
      <c r="E76" s="34" t="str">
        <f ca="1"/>
        <v>Hidalgo, Mexico</v>
      </c>
      <c r="F76" s="34" t="str">
        <f ca="1"/>
        <v>liv4j@hotmail.com</v>
      </c>
      <c r="G76" s="34">
        <f ca="1"/>
        <v>527713232425</v>
      </c>
      <c r="H76" s="34" t="str">
        <f ca="1"/>
        <v>Comunidad Jóvenes + 18 (14-19) Julio</v>
      </c>
      <c r="I76" s="34" t="str">
        <f ca="1"/>
        <v>Verso a verso</v>
      </c>
      <c r="J76" s="34" t="str">
        <f ca="1"/>
        <v>Semilla de Mostaza</v>
      </c>
      <c r="K76" s="34" t="str">
        <f ca="1"/>
        <v>Eduardo Varela</v>
      </c>
      <c r="L76" s="34">
        <f ca="1"/>
        <v>527712020549</v>
      </c>
      <c r="M76" s="34" t="str">
        <f ca="1"/>
        <v>varelaeduardo75@gmail.com</v>
      </c>
      <c r="N76" s="34" t="str">
        <f ca="1"/>
        <v>Sirvo en clases a niños y apoyo en ministerio de jóvenes</v>
      </c>
      <c r="O76" s="34" t="str">
        <f ca="1"/>
        <v>Desde pequeña fui a la.iglesia, reconocí a mi Jesús como mi Señor y Salvador a los diez años en una clase de escuela dominical,</v>
      </c>
      <c r="P76" s="34" t="str">
        <f ca="1"/>
        <v>El año pasado fui a apoyar en el área de cocina, me gusta servir, y si pudiera hacerlo este verano me encantaría poder ayudar</v>
      </c>
      <c r="Q76" s="34" t="str">
        <f ca="1"/>
        <v>No</v>
      </c>
      <c r="R76" s="34">
        <v>0</v>
      </c>
      <c r="S76" s="34" t="str">
        <f ca="1"/>
        <v>No</v>
      </c>
      <c r="T76" s="34">
        <v>0</v>
      </c>
      <c r="U76" s="34" t="str">
        <f ca="1"/>
        <v>Maestra</v>
      </c>
      <c r="V76" s="34" t="str">
        <f ca="1"/>
        <v>Lic. En educación</v>
      </c>
      <c r="W76" s="36" t="str">
        <f ca="1"/>
        <v>E. Me gusta el trabajo con niños, H. Soy organizado (a), J. Me gusta la atención a las personas</v>
      </c>
      <c r="X76" s="36" t="str">
        <f ca="1"/>
        <v>No</v>
      </c>
      <c r="Y76" s="34">
        <v>0</v>
      </c>
      <c r="Z76" s="37" t="s">
        <v>28</v>
      </c>
      <c r="AA76" s="37"/>
      <c r="AB76" s="37"/>
      <c r="AC76" s="37"/>
      <c r="AD76" s="23"/>
      <c r="AE76" s="23"/>
      <c r="AF76" s="23"/>
      <c r="AG76" s="23"/>
      <c r="AH76" s="23"/>
      <c r="AI76" s="23"/>
      <c r="AJ76" s="16"/>
      <c r="AK76" s="16"/>
      <c r="AL76" s="17"/>
    </row>
    <row r="77" spans="1:38" ht="12.75" x14ac:dyDescent="0.35">
      <c r="A77" s="9">
        <v>76</v>
      </c>
      <c r="B77" s="30" t="str">
        <f ca="1"/>
        <v>Cecilia, Trujillo Vasquez</v>
      </c>
      <c r="C77" s="31">
        <f ca="1"/>
        <v>21</v>
      </c>
      <c r="D77" s="30" t="str">
        <f ca="1"/>
        <v>Mujer</v>
      </c>
      <c r="E77" s="30" t="str">
        <f ca="1"/>
        <v>Veracruz, Mexico</v>
      </c>
      <c r="F77" s="30" t="str">
        <f ca="1"/>
        <v>ceciliatv576@gmail.com</v>
      </c>
      <c r="G77" s="30">
        <f ca="1"/>
        <v>522721837809</v>
      </c>
      <c r="H77" s="30" t="str">
        <f ca="1"/>
        <v>Semana de entrenamiento (07 - 13) Julio, Comunidad Jóvenes + 18 (14-19) Julio, Semana de niños y niñas (21-25) Julio, Jóvenes de 13 – 17 años / SEM1/ (28 Julio a 02 de agosto)</v>
      </c>
      <c r="I77" s="30" t="str">
        <f ca="1"/>
        <v>Hora silenciosa</v>
      </c>
      <c r="J77" s="30" t="str">
        <f ca="1"/>
        <v>CEOP (Centro Evangélico Orizaba Poniente)</v>
      </c>
      <c r="K77" s="30" t="str">
        <f ca="1"/>
        <v>David Alvarez Reyna</v>
      </c>
      <c r="L77" s="30">
        <f ca="1"/>
        <v>522721389477</v>
      </c>
      <c r="M77" s="30" t="str">
        <f ca="1"/>
        <v>davealrey@hotmail.com</v>
      </c>
      <c r="N77" s="30" t="str">
        <f ca="1"/>
        <v>Jovenes y escuela Dominical (niños)</v>
      </c>
      <c r="O77" s="30" t="str">
        <f ca="1"/>
        <v>Acepto a Jesús en mi vida cuando tenia 15 años, un amigo me invito a su iglesia y al ver como las vidas de la personas eran diferentes a las demás me llamo la atención ver el por que y al ir conociendo de la palabra comprendí que Jesús me ama y que murió por mi en la cruz, y que gracias a su sangre mis pecados fueron limpiados y que mi vida tuvo cambios para bien al aceptarlo</v>
      </c>
      <c r="P77" s="30" t="str">
        <f ca="1"/>
        <v>porque quiero poder servir al Señor y ser de bendición para las personas, que pueda ayudar a que las personas conozcan mas de Cristo</v>
      </c>
      <c r="Q77" s="30" t="str">
        <f ca="1"/>
        <v>Si</v>
      </c>
      <c r="R77" s="30" t="str">
        <f ca="1"/>
        <v>Voleibol, Correr y Basquetbol</v>
      </c>
      <c r="S77" s="30" t="str">
        <f ca="1"/>
        <v>No</v>
      </c>
      <c r="T77" s="30">
        <v>0</v>
      </c>
      <c r="U77" s="30" t="str">
        <f ca="1"/>
        <v>Ingeniería Ambiental, a grandes rasgos habla de como mitigar los daños ocasionados al ambiente por contaminantes</v>
      </c>
      <c r="V77" s="30" t="str">
        <f ca="1"/>
        <v>se trabajar en equipo, tengo creatividad, se adaptarme al entorno en donde este, soy organizada, se comunicarme, tengo buen trato con las personas y soy sociable</v>
      </c>
      <c r="W77" s="16" t="str">
        <f ca="1"/>
        <v>B. Me gusta animar a las personas, C. Suelo buscar que el trabajo se realice en equipo, D. Me gustan los deportes, E. Me gusta el trabajo con niños, H. Soy organizado (a), K. Soy creativo (a), O. Puedo enseñar con facilidad</v>
      </c>
      <c r="X77" s="16" t="str">
        <f ca="1"/>
        <v>Sí, en la temporada 2024</v>
      </c>
      <c r="Y77" s="30">
        <v>0</v>
      </c>
      <c r="Z77" s="23" t="s">
        <v>26</v>
      </c>
      <c r="AA77" s="23"/>
      <c r="AB77" s="23"/>
      <c r="AC77" s="23"/>
      <c r="AD77" s="23"/>
      <c r="AE77" s="23"/>
      <c r="AF77" s="23"/>
      <c r="AG77" s="23"/>
      <c r="AH77" s="23"/>
      <c r="AI77" s="23"/>
      <c r="AJ77" s="16" t="s">
        <v>101</v>
      </c>
      <c r="AK77" s="16"/>
      <c r="AL77" s="17"/>
    </row>
    <row r="78" spans="1:38" ht="25.5" x14ac:dyDescent="0.35">
      <c r="A78" s="9">
        <v>77</v>
      </c>
      <c r="B78" s="30" t="str">
        <f ca="1"/>
        <v>Abi Elisabet, Dominguez castro</v>
      </c>
      <c r="C78" s="31">
        <f ca="1"/>
        <v>25</v>
      </c>
      <c r="D78" s="30" t="str">
        <f ca="1"/>
        <v>Mujer</v>
      </c>
      <c r="E78" s="30" t="str">
        <f ca="1"/>
        <v>Durango, Mexico</v>
      </c>
      <c r="F78" s="30" t="str">
        <f ca="1"/>
        <v>abielisabetdominguezcastro@gmail.com</v>
      </c>
      <c r="G78" s="30">
        <f ca="1"/>
        <v>528714537720</v>
      </c>
      <c r="H78" s="30" t="str">
        <f ca="1"/>
        <v>Semana de entrenamiento (07 - 13) Julio, Semana de niños y niñas (21-25) Julio</v>
      </c>
      <c r="I78" s="30" t="str">
        <f ca="1"/>
        <v>Pan diario</v>
      </c>
      <c r="J78" s="30" t="str">
        <f ca="1"/>
        <v>Gomez norteee</v>
      </c>
      <c r="K78" s="30" t="str">
        <f ca="1"/>
        <v>Raúl Saenz</v>
      </c>
      <c r="L78" s="30">
        <f ca="1"/>
        <v>52526251304896</v>
      </c>
      <c r="M78" s="30" t="str">
        <f ca="1"/>
        <v>isacraul_48@hotmail.com</v>
      </c>
      <c r="N78" s="30" t="str">
        <f ca="1"/>
        <v>Con los jóvenes</v>
      </c>
      <c r="O78" s="30" t="str">
        <f ca="1"/>
        <v>Dios me dio la bendición de haber nacido en  una familia cristiana y tener el privilegio que muchos no tienen, no fue hasta los 13 años que Dios toco mi corazón en un campamento y me di cuenta de lo que era realmente Dios y la gran necesidad que tenía de él y de la salvación que nos dio</v>
      </c>
      <c r="P78" s="30" t="str">
        <f ca="1"/>
        <v>Después de haber experimentado la experiencia de estar de campero y la gran bendición que fue para mi ver Las personas que fueron parte de todo el trabajo me gustaría ser de bendición como otras personas fueron para mi, y servir al señor y conocer amistades que puedan ser ánimo para mí y yo para ellos</v>
      </c>
      <c r="Q78" s="30" t="str">
        <f ca="1"/>
        <v>Si</v>
      </c>
      <c r="R78" s="30" t="str">
        <f ca="1"/>
        <v>Atletismo</v>
      </c>
      <c r="S78" s="30" t="str">
        <f ca="1"/>
        <v>No</v>
      </c>
      <c r="T78" s="30">
        <v>0</v>
      </c>
      <c r="U78" s="30" t="str">
        <f ca="1"/>
        <v>Este año entre a fisioterapia</v>
      </c>
      <c r="V78" s="30" t="str">
        <f ca="1"/>
        <v>Soy maestra de inglés en un kinder</v>
      </c>
      <c r="W78" s="16" t="str">
        <f ca="1"/>
        <v>A. Soy un discipulador activo, B. Me gusta animar a las personas, D. Me gustan los deportes, E. Me gusta el trabajo con niños, G. Soy más eficiente en el trabajo individual, H. Soy organizado (a), I. Se me facilita el trabajo físico, K. Soy creativo (a), M. Soy bueno (a) con los números, O. Puedo enseñar con facilidad</v>
      </c>
      <c r="X78" s="16" t="str">
        <f ca="1"/>
        <v>Sii, en 18+</v>
      </c>
      <c r="Y78" s="30">
        <v>0</v>
      </c>
      <c r="Z78" s="23" t="s">
        <v>47</v>
      </c>
      <c r="AA78" s="23" t="s">
        <v>25</v>
      </c>
      <c r="AB78" s="23"/>
      <c r="AC78" s="23"/>
      <c r="AD78" s="23"/>
      <c r="AE78" s="23"/>
      <c r="AF78" s="23"/>
      <c r="AG78" s="23"/>
      <c r="AH78" s="23"/>
      <c r="AI78" s="23"/>
      <c r="AJ78" s="16" t="s">
        <v>102</v>
      </c>
      <c r="AK78" s="16"/>
      <c r="AL78" s="17"/>
    </row>
    <row r="79" spans="1:38" ht="25.5" x14ac:dyDescent="0.35">
      <c r="A79" s="9">
        <v>78</v>
      </c>
      <c r="B79" s="30" t="str">
        <f ca="1"/>
        <v>Gabriel, Hernández López</v>
      </c>
      <c r="C79" s="31">
        <f ca="1"/>
        <v>18</v>
      </c>
      <c r="D79" s="30" t="str">
        <f ca="1"/>
        <v>Hombre</v>
      </c>
      <c r="E79" s="30" t="str">
        <f ca="1"/>
        <v>Tamaulipas, Mexico</v>
      </c>
      <c r="F79" s="30" t="str">
        <f ca="1"/>
        <v>gabriel.helo.26@gmail.com</v>
      </c>
      <c r="G79" s="30">
        <f ca="1"/>
        <v>528331052818</v>
      </c>
      <c r="H79" s="30" t="str">
        <f ca="1"/>
        <v>Jóvenes de 13 – 17 años / SEM1/ (28 Julio a 02 de agosto)</v>
      </c>
      <c r="I79" s="30" t="str">
        <f ca="1"/>
        <v>Hora silenciosa</v>
      </c>
      <c r="J79" s="30" t="str">
        <f ca="1"/>
        <v>Iglesia Bautista Calvario</v>
      </c>
      <c r="K79" s="30" t="str">
        <f ca="1"/>
        <v>Marco Antonio García Montoya</v>
      </c>
      <c r="L79" s="30">
        <f ca="1"/>
        <v>528333504123</v>
      </c>
      <c r="M79" s="30" t="str">
        <f ca="1"/>
        <v>marcoantoniopastor75@gmail.com</v>
      </c>
      <c r="N79" s="30" t="str">
        <f ca="1"/>
        <v>Multimedia</v>
      </c>
      <c r="O79" s="30" t="str">
        <f ca="1"/>
        <v>Hace tres años, mi vida estaba marcada por muchas malas decisiones. Me dejé llevar por lo que sentía en el momento, sin pensar en las consecuencias. Había cosas en mí que sabía que estaban mal, pero aun así las hacía. Estaba atrapado en el pecado, en cosas que poco a poco me alejaban más de Dios, y aunque por fuera sonreía, por dentro me sentía vacío, sucio y perdido. En ese tiempo, todo parecía ir en bajada. Me sentía confundido, con dolor en el corazón, con miedo de no ser suficiente para nadie… ni siquiera para mí mismo. Pero fue justo ahí, en medio del desastre, que Jesús me encontró. No me juzgó, no me rechazó, no me condenó. Al contrario, me mostró su amor, su perdón, y su deseo de levantarme. Ese día entendí lo que es la verdadera salvación. No se trata de ser perfecto, sino de reconocer que necesito a Jesús. Le pedí perdón por todo, y decidí dejar atrás mi viejo yo. Él limpió mi corazón, sanó mis heridas y me dio una nueva identidad. Desde ese momento, mi vida cambió. Aún caigo, sí, pero ahora tengo a alguien que me levanta. Jesús me dio propósito, esperanza y paz. Hoy sé que no importa cuán oscuro haya sido mi pasado, porque su luz siempre es más fuerte.
Hace tres años, mi vida estaba marcada por muchas malas decisiones. Me dejé llevar por lo que sentía en el momento, sin pensar en las consecuencias. Había cosas en mí que sabía que estaban mal, pero aun así las hacía. Estaba atrapado en el pecado, en cosas que poco a poco me alejaban más de Dios, y aunque por fuera sonreía, por dentro me sentía vacío, sucio y perdido. En ese tiempo, todo parecía ir en bajada. Me sentía confundido, con dolor en el corazón, con miedo de no ser suficiente para nadie… ni siquiera para mí mismo. Pero fue justo ahí, en medio del desastre, que Jesús me encontró. No me juzgó, no me rechazó, no me condenó. Al contrario, me mostró su amor, su perdón, y su deseo de levantarme. Ese día entendí lo que es la verdadera salvación. No se trata de ser perfecto, sino de reconocer que necesito a Jesús. Le pedí perdón por todo, y decidí dejar atrás mi viejo yo. Él limpió mi corazón, sanó mis heridas y me dio una nueva identidad. Desde ese momento, mi vida cambió. Aún caigo, sí, pero ahora tengo a alguien que me levanta. Jesús me dio propósito, esperanza y paz. Hoy sé que no importa cuán oscuro haya sido mi pasado, porque su luz siempre es más fuerte.</v>
      </c>
      <c r="P79" s="30" t="str">
        <f ca="1"/>
        <v>Quiero ser parte del equipo de verano porque me gustaría adquirir nuevas experiencias, aprender trabajando en equipo y desarrollar habilidades que me ayuden en mi crecimiento personal y aprender mas de la palabra de DIOS</v>
      </c>
      <c r="Q79" s="30" t="str">
        <f ca="1"/>
        <v>Si</v>
      </c>
      <c r="R79" s="30" t="str">
        <f ca="1"/>
        <v>Vóleibol</v>
      </c>
      <c r="S79" s="30" t="str">
        <f ca="1"/>
        <v>Si</v>
      </c>
      <c r="T79" s="30" t="str">
        <f ca="1"/>
        <v>Guitarra acústica</v>
      </c>
      <c r="U79" s="30" t="str">
        <f ca="1"/>
        <v>Universidad</v>
      </c>
      <c r="V79" s="30" t="str">
        <f ca="1"/>
        <v>fotografía</v>
      </c>
      <c r="W79" s="16" t="str">
        <f ca="1"/>
        <v>B. Me gusta animar a las personas, D. Me gustan los deportes, K. Soy creativo (a), L. Soy bueno (a) en canto o algún instrumento</v>
      </c>
      <c r="X79" s="16" t="str">
        <f ca="1"/>
        <v>Si, 2018-2024</v>
      </c>
      <c r="Y79" s="30">
        <v>0</v>
      </c>
      <c r="Z79" s="23" t="s">
        <v>50</v>
      </c>
      <c r="AA79" s="23"/>
      <c r="AB79" s="23"/>
      <c r="AC79" s="23"/>
      <c r="AD79" s="23"/>
      <c r="AE79" s="23"/>
      <c r="AF79" s="23"/>
      <c r="AG79" s="23"/>
      <c r="AH79" s="23"/>
      <c r="AI79" s="23"/>
      <c r="AJ79" s="16" t="s">
        <v>103</v>
      </c>
      <c r="AK79" s="16"/>
      <c r="AL79" s="17"/>
    </row>
    <row r="80" spans="1:38" ht="12.75" x14ac:dyDescent="0.35">
      <c r="A80" s="9">
        <v>79</v>
      </c>
      <c r="B80" s="30" t="str">
        <f ca="1"/>
        <v>Azeneth, Reyes Moncayo</v>
      </c>
      <c r="C80" s="31">
        <f ca="1"/>
        <v>22</v>
      </c>
      <c r="D80" s="30" t="str">
        <f ca="1"/>
        <v>Mujer</v>
      </c>
      <c r="E80" s="30" t="str">
        <f ca="1"/>
        <v>Mexico, Mexico</v>
      </c>
      <c r="F80" s="30" t="str">
        <f ca="1"/>
        <v>azereyesmon@gmail.com</v>
      </c>
      <c r="G80" s="30">
        <f ca="1"/>
        <v>525539294913</v>
      </c>
      <c r="H80" s="30" t="str">
        <f ca="1"/>
        <v>Toda la temporada (07 de Julio al 16 de agosto)</v>
      </c>
      <c r="I80" s="30" t="str">
        <f ca="1"/>
        <v>Nuevas misericordias cada mañana</v>
      </c>
      <c r="J80" s="30" t="str">
        <f ca="1"/>
        <v>Iglesia bíblica Dios es mi esperanza</v>
      </c>
      <c r="K80" s="30" t="str">
        <f ca="1"/>
        <v>Joel Rodriguez Solis</v>
      </c>
      <c r="L80" s="30">
        <f ca="1"/>
        <v>527774896552</v>
      </c>
      <c r="M80" s="30" t="str">
        <f ca="1"/>
        <v>JOE.1368@outlook.com</v>
      </c>
      <c r="N80" s="30" t="str">
        <f ca="1"/>
        <v>Ninguno</v>
      </c>
      <c r="O80" s="30" t="str">
        <f ca="1"/>
        <v>Yo vivi en la iglesia desde pequeña y a los 12 años acepte a Cristo en mi corazón, sin embargo por mucho tiempo me alejé de Dios y probé de muchas cosas y al estar alejada de Dios siempre estaba buscando con que llenar el vacío espiritual que tenía, hasta que un día Dios me dijo que volviera y escuche y fui necia por un tiempo hasta que Dios probó conmigo con mi familia y regresé a Cristo, y amo servirle con todo mi corazón</v>
      </c>
      <c r="P80" s="30" t="str">
        <f ca="1"/>
        <v>Por qué creo fielmente que Dios nos usa para su obra, y que cada pequeño granito de arena que podamos ser y apoyar para que tan solo uno escuche del evangelio basta en mi corazón, el saber que puedo dar de mi tiempo para servirle e a mi Dios</v>
      </c>
      <c r="Q80" s="30" t="str">
        <f ca="1"/>
        <v>Si</v>
      </c>
      <c r="R80" s="30" t="str">
        <f ca="1"/>
        <v>Sóftbol y correr</v>
      </c>
      <c r="S80" s="30" t="str">
        <f ca="1"/>
        <v>No</v>
      </c>
      <c r="T80" s="30">
        <v>0</v>
      </c>
      <c r="U80" s="30" t="str">
        <f ca="1"/>
        <v>Medicina</v>
      </c>
      <c r="V80" s="30" t="str">
        <f ca="1"/>
        <v>Soy paciente con los niños, trabajé en un mercado, soy ordenada</v>
      </c>
      <c r="W80" s="16" t="str">
        <f ca="1"/>
        <v>B. Me gusta animar a las personas, D. Me gustan los deportes, E. Me gusta el trabajo con niños, I. Se me facilita el trabajo físico, K. Soy creativo (a), N. Suelo llevar el liderazgo en un grupo, O. Puedo enseñar con facilidad</v>
      </c>
      <c r="X80" s="16" t="str">
        <f ca="1"/>
        <v>Si, desde 2017 hasta 2023</v>
      </c>
      <c r="Y80" s="30">
        <v>0</v>
      </c>
      <c r="Z80" s="23" t="s">
        <v>51</v>
      </c>
      <c r="AA80" s="23" t="s">
        <v>25</v>
      </c>
      <c r="AB80" s="23"/>
      <c r="AC80" s="23"/>
      <c r="AD80" s="23"/>
      <c r="AE80" s="23"/>
      <c r="AF80" s="23"/>
      <c r="AG80" s="23"/>
      <c r="AH80" s="23"/>
      <c r="AI80" s="23" t="s">
        <v>26</v>
      </c>
      <c r="AJ80" s="16"/>
      <c r="AK80" s="16"/>
      <c r="AL80" s="17"/>
    </row>
    <row r="81" spans="1:38" ht="12.75" x14ac:dyDescent="0.35">
      <c r="A81" s="9">
        <v>80</v>
      </c>
      <c r="B81" s="30" t="str">
        <f ca="1"/>
        <v>Sara, Barbaro</v>
      </c>
      <c r="C81" s="31">
        <f ca="1"/>
        <v>18</v>
      </c>
      <c r="D81" s="30" t="str">
        <f ca="1"/>
        <v>Mujer</v>
      </c>
      <c r="E81" s="30" t="str">
        <f ca="1"/>
        <v>Wisconsin, United States</v>
      </c>
      <c r="F81" s="30" t="str">
        <f ca="1"/>
        <v>sarabarbaro26@gmail.com</v>
      </c>
      <c r="G81" s="30">
        <f ca="1"/>
        <v>12627718396</v>
      </c>
      <c r="H81" s="30" t="str">
        <f ca="1"/>
        <v>Semana de niños y niñas (21-25) Julio, Jóvenes de 13 – 17 años / SEM1/ (28 Julio a 02 de agosto)</v>
      </c>
      <c r="I81" s="30" t="str">
        <f ca="1"/>
        <v>N/A</v>
      </c>
      <c r="J81" s="30" t="str">
        <f ca="1"/>
        <v>Journey Church</v>
      </c>
      <c r="K81" s="30" t="str">
        <f ca="1"/>
        <v>Alyssa &amp; Nef Rubio</v>
      </c>
      <c r="L81" s="30">
        <f ca="1"/>
        <v>524411155539</v>
      </c>
      <c r="M81" s="30" t="str">
        <f ca="1"/>
        <v>Nefaly@gmail.com</v>
      </c>
      <c r="N81" s="30" t="str">
        <f ca="1"/>
        <v>Kids &amp; Tech</v>
      </c>
      <c r="O81" s="30" t="str">
        <f ca="1"/>
        <v>I've always grown up in a Christian home and hadn't really been in an environment where something really tested my faith up until November of 2023 where I tore my acl and meniscus playing basketball. Sports had always been a big part of my life and soccer was my favorite. Because of this I would miss varsity basketball and soccer for my junior year. This was heartbreaking but I immediately felt a peace over me that God was gonna use me and had a plan with all of it. However, after recovering, the following November, I tore my other acl. This was my senior year and hurt me so badly emotionally as I would never play varsity basketball and soccer at my school again. However, through this time, it really grew me closer to God and made me trust Him more. I think I've been able to inspire people too with how I've handled my injuries these past two years and kept going through it all.</v>
      </c>
      <c r="P81" s="30" t="str">
        <f ca="1"/>
        <v>My family and I used to do foster care and I've been to Mexico 4 times on the Soccer &amp; Salvation missions trip with my school. Through this, I have grown a heart for kids in Mexico and kids without a home as well. For my capstone project, I was able to raise money for a girls orphanage in Guadalajara, Mexico to send some of the girls to this camp. I am super excited for them and all the kids there to have an amazing week at camp and I am looking forward to being able to spend time with them and support them.</v>
      </c>
      <c r="Q81" s="30" t="str">
        <f ca="1"/>
        <v>Si</v>
      </c>
      <c r="R81" s="30" t="str">
        <f ca="1"/>
        <v>soccer, basketball, volleyball</v>
      </c>
      <c r="S81" s="30" t="str">
        <f ca="1"/>
        <v>No</v>
      </c>
      <c r="T81" s="30">
        <v>0</v>
      </c>
      <c r="U81" s="30" t="str">
        <f ca="1"/>
        <v>Sports Media &amp; Communication: next fall at the University of Nebraska-Lincoln</v>
      </c>
      <c r="V81" s="30" t="str">
        <f ca="1"/>
        <v>sports, working with kids</v>
      </c>
      <c r="W81" s="16" t="str">
        <f ca="1"/>
        <v>A. Soy un discipulador activo, B. Me gusta animar a las personas, C. Suelo buscar que el trabajo se realice en equipo, D. Me gustan los deportes, E. Me gusta el trabajo con niños, H. Soy organizado (a), I. Se me facilita el trabajo físico, K. Soy creativo (a), L. Soy bueno (a) en canto o algún instrumento, O. Puedo enseñar con facilidad</v>
      </c>
      <c r="X81" s="16" t="str">
        <f ca="1"/>
        <v>no</v>
      </c>
      <c r="Y81" s="30">
        <v>0</v>
      </c>
      <c r="Z81" s="23" t="s">
        <v>25</v>
      </c>
      <c r="AA81" s="23"/>
      <c r="AB81" s="23"/>
      <c r="AC81" s="23"/>
      <c r="AD81" s="23"/>
      <c r="AE81" s="23"/>
      <c r="AF81" s="23"/>
      <c r="AG81" s="23"/>
      <c r="AH81" s="23"/>
      <c r="AI81" s="23"/>
      <c r="AJ81" s="16" t="s">
        <v>104</v>
      </c>
      <c r="AK81" s="16"/>
      <c r="AL81" s="17"/>
    </row>
    <row r="82" spans="1:38" ht="25.5" x14ac:dyDescent="0.35">
      <c r="A82" s="9">
        <v>81</v>
      </c>
      <c r="B82" s="30" t="str">
        <f ca="1"/>
        <v>Kaleb Ivan, Mateos Pérez</v>
      </c>
      <c r="C82" s="31">
        <f ca="1"/>
        <v>20</v>
      </c>
      <c r="D82" s="30" t="str">
        <f ca="1"/>
        <v>Hombre</v>
      </c>
      <c r="E82" s="30" t="str">
        <f ca="1"/>
        <v>Veracruz, Mexico</v>
      </c>
      <c r="F82" s="30" t="str">
        <f ca="1"/>
        <v>Kalebivanm@gmail.com</v>
      </c>
      <c r="G82" s="30">
        <f ca="1"/>
        <v>522722658322</v>
      </c>
      <c r="H82" s="30" t="str">
        <f ca="1"/>
        <v>Semana de entrenamiento (07 - 13) Julio, Comunidad Jóvenes + 18 (14-19) Julio, Semana de niños y niñas (21-25) Julio, Jóvenes de 13 – 17 años / SEM1/ (28 Julio a 02 de agosto)</v>
      </c>
      <c r="I82" s="30" t="str">
        <f ca="1"/>
        <v>Glorify</v>
      </c>
      <c r="J82" s="30" t="str">
        <f ca="1"/>
        <v>Casa del Rey</v>
      </c>
      <c r="K82" s="30" t="str">
        <f ca="1"/>
        <v>Adrián Viveros / Marta Luquez</v>
      </c>
      <c r="L82" s="30">
        <f ca="1"/>
        <v>522721008946</v>
      </c>
      <c r="M82" s="30" t="str">
        <f ca="1"/>
        <v>marthaluques21@me.com</v>
      </c>
      <c r="N82" s="30" t="str">
        <f ca="1"/>
        <v>Ministerio de alabanza</v>
      </c>
      <c r="O82" s="30" t="str">
        <f ca="1"/>
        <v>Cómo se dice comúnmente, nací en cuna cristiana, sin embargo cuando realmente conocí a nuestro Señor fue después de un intento de suicidio que tuvo mi hermano, el cual le dejó estragos físicos enormes, dicha situación afectó a mi familia y a mi en gran manera emocional e incluso espiritual; pasé por una etapa de rebeldía a causa de lo que pasó con mi hermano, de la cual Papá me confrontó y me enseñó que el nunca me dejó solo a pesar de la circunstancias, que Él permitió todo para enseñarnos como familia muchas cosas y que  a pesar de lo mal que se veía todo me mostró que Él estuvo ahí para protegerme de todo lo que yo hacía contra mi vida, me enseñó su amor y sobre todo su perdón, ahí fue cuando lo abracé como mi Padre y realmente lo conocí, ahora solo quiero servirle y entregar mi vida a Papá</v>
      </c>
      <c r="P82" s="30" t="str">
        <f ca="1"/>
        <v>Anteriormente ya he asistido como campero y como equipante, realmente anhelo seguir sirviendo a nuestro Señor y poder por medio de la voluntad y amor de Dios, sembrar una semilla en los corazones de estos jóvenes y niños que asistan.</v>
      </c>
      <c r="Q82" s="30" t="str">
        <f ca="1"/>
        <v>Si</v>
      </c>
      <c r="R82" s="30" t="str">
        <f ca="1"/>
        <v>Gym, futbol americano</v>
      </c>
      <c r="S82" s="30" t="str">
        <f ca="1"/>
        <v>Si</v>
      </c>
      <c r="T82" s="30" t="str">
        <f ca="1"/>
        <v>Canto y batería</v>
      </c>
      <c r="U82" s="30" t="str">
        <f ca="1"/>
        <v>Licenciatura en mercadotecnia estratégica</v>
      </c>
      <c r="V82" s="30" t="str">
        <f ca="1"/>
        <v>Músico académico, inglés B2, habilidades en mercadotecnia digital y estratégica, un corazón con muchas ganas de servir.</v>
      </c>
      <c r="W82" s="16" t="str">
        <f ca="1"/>
        <v>A. Soy un discipulador activo, B. Me gusta animar a las personas, D. Me gustan los deportes, E. Me gusta el trabajo con niños, G. Soy más eficiente en el trabajo individual, I. Se me facilita el trabajo físico, J. Me gusta la atención a las personas, K. Soy creativo (a), L. Soy bueno (a) en canto o algún instrumento, N. Suelo llevar el liderazgo en un grupo, O. Puedo enseñar con facilidad</v>
      </c>
      <c r="X82" s="16" t="str">
        <f ca="1"/>
        <v>2016 campero/ equipante 2017, 2018</v>
      </c>
      <c r="Y82" s="30">
        <v>0</v>
      </c>
      <c r="Z82" s="23" t="s">
        <v>50</v>
      </c>
      <c r="AA82" s="23"/>
      <c r="AB82" s="23"/>
      <c r="AC82" s="23"/>
      <c r="AD82" s="23"/>
      <c r="AE82" s="23"/>
      <c r="AF82" s="23"/>
      <c r="AG82" s="23"/>
      <c r="AH82" s="23"/>
      <c r="AI82" s="23"/>
      <c r="AJ82" s="16" t="s">
        <v>105</v>
      </c>
      <c r="AK82" s="16"/>
      <c r="AL82" s="17"/>
    </row>
    <row r="83" spans="1:38" ht="12.75" x14ac:dyDescent="0.35">
      <c r="A83" s="9">
        <v>82</v>
      </c>
      <c r="B83" s="30" t="str">
        <f ca="1"/>
        <v>Andrea, Muñoz Mendoza</v>
      </c>
      <c r="C83" s="31">
        <f ca="1"/>
        <v>19</v>
      </c>
      <c r="D83" s="30" t="str">
        <f ca="1"/>
        <v>Mujer</v>
      </c>
      <c r="E83" s="30" t="str">
        <f ca="1"/>
        <v>Veracruz, Mexico</v>
      </c>
      <c r="F83" s="30" t="str">
        <f ca="1"/>
        <v>1324andymunoz@gmail.com</v>
      </c>
      <c r="G83" s="30">
        <f ca="1"/>
        <v>522721999702</v>
      </c>
      <c r="H83" s="30" t="str">
        <f ca="1"/>
        <v>Semana de entrenamiento (07 - 13) Julio, Comunidad Jóvenes + 18 (14-19) Julio, Semana de niños y niñas (21-25) Julio</v>
      </c>
      <c r="I83" s="30" t="str">
        <f ca="1"/>
        <v>YouVersion</v>
      </c>
      <c r="J83" s="30" t="str">
        <f ca="1"/>
        <v>CEOP</v>
      </c>
      <c r="K83" s="30" t="str">
        <f ca="1"/>
        <v>Ricardo Barrientos Ceron</v>
      </c>
      <c r="L83" s="30">
        <f ca="1"/>
        <v>522721392220</v>
      </c>
      <c r="M83" s="30" t="str">
        <f ca="1"/>
        <v>rianbac@hotmail.com</v>
      </c>
      <c r="N83" s="30" t="str">
        <f ca="1"/>
        <v>Ministerio juvenil e infantil</v>
      </c>
      <c r="O83" s="30" t="str">
        <f ca="1"/>
        <v>A mis 5 años, mi madre me compartió el evangelio y desde ese momento decidí seguir a Cristo, entendí que era pecadora, me arrepentí y creí en el sacrificio que hizo Jesús en la cruz venciendo la muerte y resucitando al 3 día</v>
      </c>
      <c r="P83" s="30" t="str">
        <f ca="1"/>
        <v>Deseo ser parte del equipo de verano porque quiero servir a Dios invirtiendo mi tiempo, energía, dones y talentos en impactar la vida de otros jóvenes con el evangelio así como el campa lo ha echo conmigo en años pasados. También anhelo crecer espiritualmente y ser parte de lo que Dios esta haciendo a través del campamento.</v>
      </c>
      <c r="Q83" s="30" t="str">
        <f ca="1"/>
        <v>No</v>
      </c>
      <c r="R83" s="30">
        <v>0</v>
      </c>
      <c r="S83" s="30" t="str">
        <f ca="1"/>
        <v>No</v>
      </c>
      <c r="T83" s="30">
        <v>0</v>
      </c>
      <c r="U83" s="30" t="str">
        <f ca="1"/>
        <v>En septiembre voy a iniciar mi carrera en diseño gráfico</v>
      </c>
      <c r="V83" s="30" t="str">
        <f ca="1"/>
        <v>creatividad, adaptación, liderazgo, trabajo en equipo, servicio, amabilidad, etc</v>
      </c>
      <c r="W83" s="16" t="str">
        <f ca="1"/>
        <v>B. Me gusta animar a las personas, C. Suelo buscar que el trabajo se realice en equipo, F. Soy eficiente en el trabajo con herramientas, equipos y maquinarias, I. Se me facilita el trabajo físico, J. Me gusta la atención a las personas, K. Soy creativo (a), L. Soy bueno (a) en canto o algún instrumento, N. Suelo llevar el liderazgo en un grupo</v>
      </c>
      <c r="X83" s="16" t="str">
        <f ca="1"/>
        <v>si, en el 2016, 2017, 2019, 2020, 2022</v>
      </c>
      <c r="Y83" s="30">
        <v>0</v>
      </c>
      <c r="Z83" s="23" t="s">
        <v>26</v>
      </c>
      <c r="AA83" s="23"/>
      <c r="AB83" s="23"/>
      <c r="AC83" s="23"/>
      <c r="AD83" s="23"/>
      <c r="AE83" s="23"/>
      <c r="AF83" s="23"/>
      <c r="AG83" s="23"/>
      <c r="AH83" s="23"/>
      <c r="AI83" s="23"/>
      <c r="AJ83" s="16" t="s">
        <v>101</v>
      </c>
      <c r="AK83" s="16"/>
      <c r="AL83" s="17"/>
    </row>
    <row r="84" spans="1:38" ht="12.75" x14ac:dyDescent="0.35">
      <c r="A84" s="9">
        <v>83</v>
      </c>
      <c r="B84" s="34" t="str">
        <f ca="1"/>
        <v>Valeria, Gonzalez Islas</v>
      </c>
      <c r="C84" s="35">
        <f ca="1"/>
        <v>22</v>
      </c>
      <c r="D84" s="34" t="str">
        <f ca="1"/>
        <v>Mujer</v>
      </c>
      <c r="E84" s="34" t="str">
        <f ca="1"/>
        <v>Mexico City, Mexico</v>
      </c>
      <c r="F84" s="34" t="str">
        <f ca="1"/>
        <v>valeglezz02@gmail.com</v>
      </c>
      <c r="G84" s="34">
        <f ca="1"/>
        <v>525647892628</v>
      </c>
      <c r="H84" s="34" t="str">
        <f ca="1"/>
        <v>Semana de entrenamiento (07 - 13) Julio, Comunidad Jóvenes + 18 (14-19) Julio, Semana de niños y niñas (21-25) Julio, Jóvenes de 13 – 17 años / SEM1/ (28 Julio a 02 de agosto), Jóvenes de 13 – 17 años / SEM2/ (4 - 09 agosto), Jóvenes de 13 – 17 años / SEM3/ (11 - 16 agosto), Toda la temporada (07 de Julio al 16 de agosto)</v>
      </c>
      <c r="I84" s="34" t="str">
        <f ca="1"/>
        <v>El que viene con la biblia</v>
      </c>
      <c r="J84" s="34" t="str">
        <f ca="1"/>
        <v>La forestal (del bosque)</v>
      </c>
      <c r="K84" s="34" t="str">
        <f ca="1"/>
        <v>Ciro Pérez</v>
      </c>
      <c r="L84" s="34">
        <f ca="1"/>
        <v>525534091509</v>
      </c>
      <c r="M84" s="34" t="str">
        <f ca="1"/>
        <v>perezrojasciro7@gmail.com</v>
      </c>
      <c r="N84" s="34" t="str">
        <f ca="1"/>
        <v>Ayudante en general</v>
      </c>
      <c r="O84" s="34" t="str">
        <f ca="1"/>
        <v>A la edad de 7 años asistí a una obra por el día del niño que la iglesia presentaba en el deportivo, mi familia también asistí y desde ahí nos invitaron a la iglesia mi familia accedió a ir y a la edad de 12 años acepte a cristo como mi único salvador y hasta la fecha asisto a la iglesia</v>
      </c>
      <c r="P84" s="34" t="str">
        <f ca="1"/>
        <v>Siempre he querido ir a servir de equipantes e ido a campamento desde los mismos años, pero por una u otra cosa no he podido ir</v>
      </c>
      <c r="Q84" s="34" t="str">
        <f ca="1"/>
        <v>No</v>
      </c>
      <c r="R84" s="34">
        <v>0</v>
      </c>
      <c r="S84" s="34" t="str">
        <f ca="1"/>
        <v>No</v>
      </c>
      <c r="T84" s="34">
        <v>0</v>
      </c>
      <c r="U84" s="34" t="str">
        <f ca="1"/>
        <v>Me especialice en belleza, maquillo, hago micropigmentación de cejas labios y delineado de ojos</v>
      </c>
      <c r="V84" s="34" t="str">
        <f ca="1"/>
        <v>Profesión en belleza</v>
      </c>
      <c r="W84" s="36" t="str">
        <f ca="1"/>
        <v>C. Suelo buscar que el trabajo se realice en equipo, E. Me gusta el trabajo con niños, I. Se me facilita el trabajo físico, M. Soy bueno (a) con los números, O. Puedo enseñar con facilidad</v>
      </c>
      <c r="X84" s="36" t="str">
        <f ca="1"/>
        <v>Desde mis 8 años hasta el campamento de + mayores que hubo en pandemia</v>
      </c>
      <c r="Y84" s="34">
        <v>0</v>
      </c>
      <c r="Z84" s="37" t="s">
        <v>47</v>
      </c>
      <c r="AA84" s="37" t="s">
        <v>28</v>
      </c>
      <c r="AB84" s="37"/>
      <c r="AC84" s="37"/>
      <c r="AD84" s="23"/>
      <c r="AE84" s="23"/>
      <c r="AF84" s="23"/>
      <c r="AG84" s="23"/>
      <c r="AH84" s="23"/>
      <c r="AI84" s="23"/>
      <c r="AJ84" s="16" t="s">
        <v>106</v>
      </c>
      <c r="AK84" s="16"/>
      <c r="AL84" s="17"/>
    </row>
    <row r="85" spans="1:38" ht="12.75" x14ac:dyDescent="0.35">
      <c r="A85" s="9">
        <v>84</v>
      </c>
      <c r="B85" s="30" t="str">
        <f ca="1"/>
        <v>Grace Yrene, Wolff Aguilar</v>
      </c>
      <c r="C85" s="31">
        <f ca="1"/>
        <v>21</v>
      </c>
      <c r="D85" s="30" t="str">
        <f ca="1"/>
        <v>Mujer</v>
      </c>
      <c r="E85" s="30" t="str">
        <f ca="1"/>
        <v>Sinaloa, Mexico</v>
      </c>
      <c r="F85" s="30" t="str">
        <f ca="1"/>
        <v>gwolffpetit54@gmail.com</v>
      </c>
      <c r="G85" s="30">
        <f ca="1"/>
        <v>524461159595</v>
      </c>
      <c r="H85" s="30" t="str">
        <f ca="1"/>
        <v>Semana de niños y niñas (21-25) Julio, Jóvenes de 13 – 17 años / SEM1/ (28 Julio a 02 de agosto)</v>
      </c>
      <c r="I85" s="30" t="str">
        <f ca="1"/>
        <v>Ebenezer (devocional de Dunamis en Youversion)</v>
      </c>
      <c r="J85" s="30" t="str">
        <f ca="1"/>
        <v>Iglesia Vida</v>
      </c>
      <c r="K85" s="30" t="str">
        <f ca="1"/>
        <v>Neftali Rubio</v>
      </c>
      <c r="L85" s="30">
        <f ca="1"/>
        <v>5214411036024</v>
      </c>
      <c r="M85" s="30" t="str">
        <f ca="1"/>
        <v>nefaly@gmail.com</v>
      </c>
      <c r="N85" s="30" t="str">
        <f ca="1"/>
        <v>Estoy en el grupo de alabanza y en apoyo como líder de jóvenes</v>
      </c>
      <c r="O85" s="30" t="str">
        <f ca="1"/>
        <v>Creo que puedo contar con la mano las veces que he faltado un domingo a la iglesia. Así crecí, como una especie de hija de misioneros. Mudándonos de lugar en lugar cada ciertos años. ¿Mi contexto? Cristiano. ¿Yo? Pues culturalmente cristiana, aprendí a adaptarme fácilmente en esos espacios, pero por dentro no había una conexión cercana con el tal Jesús, lo veía más como un cuento bonito para hacer sentir bien a las personas y hacer que se porten bien. 
No es que siempre pensaba eso, llegaban momentos donde se me quitaba la venda de los ojos y lograba ver que esto de Dios y Jesús era más real que cualquier cosa, pero con el tiempo ese sentimiento desvanecía. 
Con una de mis mudanzas a los 15 años entré en depresión y posteriormente entré en una crisis existencial donde empecé a recuestionarme todo. Aquí me encontré con la apologética y me di cuenta de que era razonable creer en Dios. Estuve una temporada apasionada por Dios, mi sed racional fue satisfecha, pero faltaba la emocional y mi "pasión" desapareció. 
Un tiempo después entré a la universidad y me encontraba confrontada constantemente con teorías humanistas, filosóficas, ateas y volví a entrar en crisis. En este tiempo estuve en un contexto donde no tenía apoyo espiritual externo, dicho torpemente, en la iglesia yo era de las más "espirituales", siempre dando y no tenía nadie quien me diera a mí, en conclusión, no tenía una comunidad y me afectó fuertemente. 
Entre soledad, ansiedad y desesperanza, un día fui a una mañana de alabanza en JUCUM Mazatlán y tuve un encuentro sobrenatural con Dios, donde alguien vino y oró por mí, hablando en lenguas y diciendo todo acerca de mi pasado. Aquí supe que no podía negar a Dios y que tenía que seguir buscándolo y conociéndolo, encontré la verdad. 
Quisiera poder decir que de ahí todo ha sido perfecto, pero la verdad es que he vuelto a tener crisis de fe, aun a pesar de mi experiencia sobrenatural. He tenido crisis de duda y fuertes "bajones" emocionales. Aun así, yo sé que Jesús es la realidad última y voy a seguir persiguiéndolo, al mismo tiempo que deseo ser un letrero de "por aquí es" ⬆ para otros :))</v>
      </c>
      <c r="P85" s="30" t="str">
        <f ca="1"/>
        <v>Yo sé que pudiera escribir algo super espiritual como "Ohh simplemente quiero servir a mi Dios!", pero quiero ser sincera con quien esté leyendo esto... la verdad no he estado bien espiritualmente últimamente, todavía no estoy en un lugar con una comunidad fija y siento mi fe muy seca. Por lo que mis intenciones para esto son más del lado egoísta.
He experimentado la comunidad que se forma entre los equipantes el año pasado y la verdad me hizo mucho mucho bien. Tuve conversaciones profundas, transformadoras, encontré amigos que me acercan a Dios y la verdad creo necesitar eso en este momento, quiero reexperimentar todo eso, recibir ese boost de motivación en mi fe y ser ese boost para otros y si puedo hacer eso a través de hacer cosas útiles como el servicio en campa, entonces lo considero un ganar/ganar</v>
      </c>
      <c r="Q85" s="30" t="str">
        <f ca="1"/>
        <v>No</v>
      </c>
      <c r="R85" s="30">
        <v>0</v>
      </c>
      <c r="S85" s="30" t="str">
        <f ca="1"/>
        <v>Si</v>
      </c>
      <c r="T85" s="30" t="str">
        <f ca="1"/>
        <v>Piano</v>
      </c>
      <c r="U85" s="30" t="str">
        <f ca="1"/>
        <v>Estoy por concluir mi 3er año en psicología</v>
      </c>
      <c r="V85" s="30" t="str">
        <f ca="1"/>
        <v>Soy buena escuchando a los demás, validando sus sentimientos. Soy buena organizando materiales, limpiando...cualquier cosa, hasta que quede brilloso. Soy creativa en cuestiones visuales, artísticas. Soy empática</v>
      </c>
      <c r="W85" s="16" t="str">
        <f ca="1"/>
        <v>B. Me gusta animar a las personas, E. Me gusta el trabajo con niños, G. Soy más eficiente en el trabajo individual, H. Soy organizado (a), J. Me gusta la atención a las personas, K. Soy creativo (a)</v>
      </c>
      <c r="X85" s="16" t="str">
        <f ca="1"/>
        <v>Sí! Han sido varios años, no recuerdo exactamente, pero 2022 fue la última como campera</v>
      </c>
      <c r="Y85" s="30">
        <v>0</v>
      </c>
      <c r="Z85" s="23" t="s">
        <v>26</v>
      </c>
      <c r="AA85" s="23"/>
      <c r="AB85" s="23"/>
      <c r="AC85" s="23"/>
      <c r="AD85" s="23"/>
      <c r="AE85" s="23"/>
      <c r="AF85" s="23"/>
      <c r="AG85" s="23"/>
      <c r="AH85" s="23" t="s">
        <v>25</v>
      </c>
      <c r="AI85" s="23"/>
      <c r="AJ85" s="16"/>
      <c r="AK85" s="16"/>
      <c r="AL85" s="17"/>
    </row>
    <row r="86" spans="1:38" ht="12.75" x14ac:dyDescent="0.35">
      <c r="A86" s="9">
        <v>85</v>
      </c>
      <c r="B86" s="34" t="str">
        <f ca="1"/>
        <v>Mia, Mendoza Trujillo</v>
      </c>
      <c r="C86" s="35">
        <f ca="1"/>
        <v>19</v>
      </c>
      <c r="D86" s="34" t="str">
        <f ca="1"/>
        <v>Mujer</v>
      </c>
      <c r="E86" s="34" t="str">
        <f ca="1"/>
        <v>Veracruz, Mexico</v>
      </c>
      <c r="F86" s="34" t="str">
        <f ca="1"/>
        <v>trujilomia@gmail.com</v>
      </c>
      <c r="G86" s="34">
        <f ca="1"/>
        <v>522721539731</v>
      </c>
      <c r="H86" s="34" t="str">
        <f ca="1"/>
        <v>Semana de entrenamiento (07 - 13) Julio, Comunidad Jóvenes + 18 (14-19) Julio, Semana de niños y niñas (21-25) Julio, Jóvenes de 13 – 17 años / SEM1/ (28 Julio a 02 de agosto)</v>
      </c>
      <c r="I86" s="34" t="str">
        <f ca="1"/>
        <v>Glorify</v>
      </c>
      <c r="J86" s="34" t="str">
        <f ca="1"/>
        <v>Casa del rey</v>
      </c>
      <c r="K86" s="34" t="str">
        <f ca="1"/>
        <v>Martha luquez</v>
      </c>
      <c r="L86" s="34">
        <f ca="1"/>
        <v>522721008946</v>
      </c>
      <c r="M86" s="34" t="str">
        <f ca="1"/>
        <v>marthaluques21@me.com</v>
      </c>
      <c r="N86" s="34" t="str">
        <f ca="1"/>
        <v>No tengo</v>
      </c>
      <c r="O86" s="34" t="str">
        <f ca="1"/>
        <v>Cuando era pequeña empecé a ir a la iglesia con mis abuelitos, conforme fui creciendo me di cuenta de cuánto lo necesitaba y que sin él no puedo seguir, he tenido una vida de antibajos como todo hijo de Dios pero sin duda siempre ha estado ahí conmigo mostrándome su amor y fortaleciéndome</v>
      </c>
      <c r="P86" s="34" t="str">
        <f ca="1"/>
        <v>Porque quiero servirle a Dios y aprender más de él, me hace mucha ilusión y se que Dios ocupará mi vida</v>
      </c>
      <c r="Q86" s="34" t="str">
        <f ca="1"/>
        <v>Si</v>
      </c>
      <c r="R86" s="34" t="str">
        <f ca="1"/>
        <v>Gym y crossfit</v>
      </c>
      <c r="S86" s="34" t="str">
        <f ca="1"/>
        <v>No</v>
      </c>
      <c r="T86" s="34">
        <v>0</v>
      </c>
      <c r="U86" s="34" t="str">
        <f ca="1"/>
        <v>Estoy en año sabático, pero en espera de resultados del examen de admisión</v>
      </c>
      <c r="V86" s="34" t="str">
        <f ca="1"/>
        <v>Me gusta jugar con niños, tocar hukelele</v>
      </c>
      <c r="W86" s="36" t="str">
        <f ca="1"/>
        <v>B. Me gusta animar a las personas, C. Suelo buscar que el trabajo se realice en equipo, D. Me gustan los deportes, E. Me gusta el trabajo con niños, H. Soy organizado (a), I. Se me facilita el trabajo físico, J. Me gusta la atención a las personas, K. Soy creativo (a)</v>
      </c>
      <c r="X86" s="36" t="str">
        <f ca="1"/>
        <v>2016-2017-2018-2020</v>
      </c>
      <c r="Y86" s="34">
        <v>0</v>
      </c>
      <c r="Z86" s="37" t="s">
        <v>28</v>
      </c>
      <c r="AA86" s="37"/>
      <c r="AB86" s="37"/>
      <c r="AC86" s="37"/>
      <c r="AD86" s="23"/>
      <c r="AE86" s="23"/>
      <c r="AF86" s="23"/>
      <c r="AG86" s="23"/>
      <c r="AH86" s="23"/>
      <c r="AI86" s="23"/>
      <c r="AJ86" s="16" t="s">
        <v>107</v>
      </c>
      <c r="AK86" s="16"/>
      <c r="AL86" s="17"/>
    </row>
    <row r="87" spans="1:38" ht="12.75" x14ac:dyDescent="0.35">
      <c r="A87" s="9">
        <v>86</v>
      </c>
      <c r="B87" s="34" t="str">
        <f ca="1"/>
        <v>Ana Jazmin, Mendez Barojas</v>
      </c>
      <c r="C87" s="35">
        <f ca="1"/>
        <v>18</v>
      </c>
      <c r="D87" s="34" t="str">
        <f ca="1"/>
        <v>Mujer</v>
      </c>
      <c r="E87" s="34" t="str">
        <f ca="1"/>
        <v>Puebla, Mexico</v>
      </c>
      <c r="F87" s="34" t="str">
        <f ca="1"/>
        <v>anamendezb23@gmail.com</v>
      </c>
      <c r="G87" s="34">
        <f ca="1"/>
        <v>522212561368</v>
      </c>
      <c r="H87" s="34" t="str">
        <f ca="1"/>
        <v>Jóvenes de 13 – 17 años / SEM2/ (4 - 09 agosto), Jóvenes de 13 – 17 años / SEM3/ (11 - 16 agosto)</v>
      </c>
      <c r="I87" s="34" t="str">
        <f ca="1"/>
        <v>En esto pensad - Edyah Ramos</v>
      </c>
      <c r="J87" s="34" t="str">
        <f ca="1"/>
        <v>Iglesia Biblica Torre Fuerte</v>
      </c>
      <c r="K87" s="34" t="str">
        <f ca="1"/>
        <v>Edgar Serés</v>
      </c>
      <c r="L87" s="34">
        <f ca="1"/>
        <v>522225646406</v>
      </c>
      <c r="M87" s="34" t="str">
        <f ca="1"/>
        <v>anamendezb23@gmail.com</v>
      </c>
      <c r="N87" s="34" t="str">
        <f ca="1"/>
        <v>Maestra de Niños (OANSA), Ministerio de misiones y Ministerio de Evangelismo en Hospitales</v>
      </c>
      <c r="O87" s="34" t="str">
        <f ca="1"/>
        <v>A los 15 años comencé a asistir en la iglesia después de atravesar una etapa muy oscura en mi vida, poco a poco fui comprendiendo y creyendo gracias a la obra del Espiritu Santo todo lo que significa el Evangelio.</v>
      </c>
      <c r="P87" s="34" t="str">
        <f ca="1"/>
        <v>He escuchado halar mucho de este campamento y creo que seria una gran experiencia poder ir a servir un tiempo allá, conocer nuevas personas y nuevos lugares.</v>
      </c>
      <c r="Q87" s="34" t="str">
        <f ca="1"/>
        <v>No</v>
      </c>
      <c r="R87" s="34">
        <v>0</v>
      </c>
      <c r="S87" s="34" t="str">
        <f ca="1"/>
        <v>No</v>
      </c>
      <c r="T87" s="34">
        <v>0</v>
      </c>
      <c r="U87" s="34" t="str">
        <f ca="1"/>
        <v>Estudio Ingeniería en Gestión Empresarial</v>
      </c>
      <c r="V87" s="34" t="str">
        <f ca="1"/>
        <v>Soy buena con los niños y organizada. Aprendo rápido tambien.</v>
      </c>
      <c r="W87" s="36" t="str">
        <f ca="1"/>
        <v>A. Soy un discipulador activo, E. Me gusta el trabajo con niños, G. Soy más eficiente en el trabajo individual, H. Soy organizado (a), J. Me gusta la atención a las personas, M. Soy bueno (a) con los números, N. Suelo llevar el liderazgo en un grupo, O. Puedo enseñar con facilidad</v>
      </c>
      <c r="X87" s="36" t="str">
        <f ca="1"/>
        <v>No, nunca</v>
      </c>
      <c r="Y87" s="34">
        <v>0</v>
      </c>
      <c r="Z87" s="37" t="s">
        <v>28</v>
      </c>
      <c r="AA87" s="37"/>
      <c r="AB87" s="37"/>
      <c r="AC87" s="37"/>
      <c r="AD87" s="23"/>
      <c r="AE87" s="23"/>
      <c r="AF87" s="23"/>
      <c r="AG87" s="23"/>
      <c r="AH87" s="23"/>
      <c r="AI87" s="23"/>
      <c r="AJ87" s="16" t="s">
        <v>108</v>
      </c>
      <c r="AK87" s="16"/>
      <c r="AL87" s="17"/>
    </row>
    <row r="88" spans="1:38" ht="51" x14ac:dyDescent="0.35">
      <c r="A88" s="9">
        <v>87</v>
      </c>
      <c r="B88" s="34" t="str">
        <f ca="1"/>
        <v>Raúl Emiliano, Gómez Olvera</v>
      </c>
      <c r="C88" s="35">
        <f ca="1"/>
        <v>18</v>
      </c>
      <c r="D88" s="34" t="str">
        <f ca="1"/>
        <v>Hombre</v>
      </c>
      <c r="E88" s="34" t="str">
        <f ca="1"/>
        <v>Mexico City, Mexico</v>
      </c>
      <c r="F88" s="34" t="str">
        <f ca="1"/>
        <v>raulemilianogomezolvera@gmail.com</v>
      </c>
      <c r="G88" s="34">
        <f ca="1"/>
        <v>525619848129</v>
      </c>
      <c r="H88" s="34" t="str">
        <f ca="1"/>
        <v>Comunidad Jóvenes + 18 (14-19) Julio, Semana de niños y niñas (21-25) Julio, Jóvenes de 13 – 17 años / SEM1/ (28 Julio a 02 de agosto)</v>
      </c>
      <c r="I88" s="34" t="str">
        <f ca="1"/>
        <v>Glorify</v>
      </c>
      <c r="J88" s="34" t="str">
        <f ca="1"/>
        <v>Anastasis</v>
      </c>
      <c r="K88" s="34" t="str">
        <f ca="1"/>
        <v>Ricardo Almazán</v>
      </c>
      <c r="L88" s="34">
        <f ca="1"/>
        <v>525548177680</v>
      </c>
      <c r="M88" s="34" t="str">
        <f ca="1"/>
        <v>icbanastasis@gmail.com</v>
      </c>
      <c r="N88" s="34" t="str">
        <f ca="1"/>
        <v>Aún ninguno</v>
      </c>
      <c r="O88" s="34" t="str">
        <f ca="1"/>
        <v>He ido a una iglesia, casi desde que tengo memoria, pero tome una decisión por Cristo en un campamento en Bernal, cuando entendí que no solo conocer bastaba, si no que tenía que ser algo de todos los días, que El fuera mi señor y salvador</v>
      </c>
      <c r="P88" s="34" t="str">
        <f ca="1"/>
        <v>Durante mucho tiempo he ido al Campamento y creo que es momento de servir a Dios a través del servicio en este campamento</v>
      </c>
      <c r="Q88" s="34" t="str">
        <f ca="1"/>
        <v>Si</v>
      </c>
      <c r="R88" s="34" t="str">
        <f ca="1"/>
        <v>Fútbol</v>
      </c>
      <c r="S88" s="34" t="str">
        <f ca="1"/>
        <v>No</v>
      </c>
      <c r="T88" s="34">
        <v>0</v>
      </c>
      <c r="U88" s="34" t="str">
        <f ca="1"/>
        <v>Biología</v>
      </c>
      <c r="V88" s="34" t="str">
        <f ca="1"/>
        <v>Me puedo desenvolver rápidamente con la gente, ño me da pena hablar en público, solo me dedico a mis estudios</v>
      </c>
      <c r="W88" s="36" t="str">
        <f ca="1"/>
        <v>B. Me gusta animar a las personas, D. Me gustan los deportes, F. Soy eficiente en el trabajo con herramientas, equipos y maquinarias, I. Se me facilita el trabajo físico, J. Me gusta la atención a las personas</v>
      </c>
      <c r="X88" s="36" t="str">
        <f ca="1"/>
        <v>Si, de la 2015-2024</v>
      </c>
      <c r="Y88" s="34">
        <v>0</v>
      </c>
      <c r="Z88" s="37" t="s">
        <v>47</v>
      </c>
      <c r="AA88" s="37" t="s">
        <v>28</v>
      </c>
      <c r="AB88" s="37"/>
      <c r="AC88" s="37"/>
      <c r="AD88" s="23"/>
      <c r="AE88" s="23"/>
      <c r="AF88" s="23"/>
      <c r="AG88" s="23"/>
      <c r="AH88" s="23"/>
      <c r="AI88" s="23"/>
      <c r="AJ88" s="16" t="s">
        <v>109</v>
      </c>
      <c r="AK88" s="16" t="s">
        <v>110</v>
      </c>
      <c r="AL88" s="17"/>
    </row>
    <row r="89" spans="1:38" ht="12.75" x14ac:dyDescent="0.35">
      <c r="A89" s="9">
        <v>88</v>
      </c>
      <c r="B89" s="30" t="str">
        <f ca="1"/>
        <v>Moisés, Pérez Corona</v>
      </c>
      <c r="C89" s="31">
        <f ca="1"/>
        <v>15</v>
      </c>
      <c r="D89" s="30" t="str">
        <f ca="1"/>
        <v>Hombre</v>
      </c>
      <c r="E89" s="30" t="str">
        <f ca="1"/>
        <v>Puebla, Mexico</v>
      </c>
      <c r="F89" s="30" t="str">
        <f ca="1"/>
        <v>moisesperezcorona77@gmail.com</v>
      </c>
      <c r="G89" s="30">
        <f ca="1"/>
        <v>522481955183</v>
      </c>
      <c r="H89" s="30" t="str">
        <f ca="1"/>
        <v>Semana de entrenamiento (07 - 13) Julio, Comunidad Jóvenes + 18 (14-19) Julio, Semana de niños y niñas (21-25) Julio, Jóvenes de 13 – 17 años / SEM2/ (4 - 09 agosto), Jóvenes de 13 – 17 años / SEM3/ (11 - 16 agosto)</v>
      </c>
      <c r="I89" s="30" t="str">
        <f ca="1"/>
        <v>Quiet time</v>
      </c>
      <c r="J89" s="30" t="str">
        <f ca="1"/>
        <v>La Biblia</v>
      </c>
      <c r="K89" s="30" t="str">
        <f ca="1"/>
        <v>Moisés Hernández Fuentes</v>
      </c>
      <c r="L89" s="30">
        <f ca="1"/>
        <v>522221643661</v>
      </c>
      <c r="M89" s="30" t="str">
        <f ca="1"/>
        <v>moy_hernandez09@hotmail.com</v>
      </c>
      <c r="N89" s="30" t="str">
        <f ca="1"/>
        <v>Ninguno</v>
      </c>
      <c r="O89" s="30" t="str">
        <f ca="1"/>
        <v>Mi familia y yo experimentamos la salida de una iglesia donde no se predica el evangelio correctamente. Al asistir a La Biblia hemos escuchado el verdadero evangelio, y así gracias a Dios hemos comprendido el verdadero evangelio.</v>
      </c>
      <c r="P89" s="30" t="str">
        <f ca="1"/>
        <v>Mi deseo es ver cómo adolescentes como yo experimenten lo que yo viví cuando fui campero, y dar el mismo apoyo que yo recibí.</v>
      </c>
      <c r="Q89" s="30" t="str">
        <f ca="1"/>
        <v>Si</v>
      </c>
      <c r="R89" s="30" t="str">
        <f ca="1"/>
        <v>Voleibol</v>
      </c>
      <c r="S89" s="30" t="str">
        <f ca="1"/>
        <v>Si</v>
      </c>
      <c r="T89" s="30" t="str">
        <f ca="1"/>
        <v>Piano</v>
      </c>
      <c r="U89" s="30" t="str">
        <f ca="1"/>
        <v>Homeschool</v>
      </c>
      <c r="V89" s="30" t="str">
        <f ca="1"/>
        <v>Creatividad, liderazgo, ser sociable</v>
      </c>
      <c r="W89" s="16" t="str">
        <f ca="1"/>
        <v>B. Me gusta animar a las personas, C. Suelo buscar que el trabajo se realice en equipo, D. Me gustan los deportes, E. Me gusta el trabajo con niños, K. Soy creativo (a), N. Suelo llevar el liderazgo en un grupo</v>
      </c>
      <c r="X89" s="16" t="str">
        <f ca="1"/>
        <v>Si, en el 2023 y 2024</v>
      </c>
      <c r="Y89" s="30">
        <v>0</v>
      </c>
      <c r="Z89" s="23" t="s">
        <v>50</v>
      </c>
      <c r="AA89" s="23"/>
      <c r="AB89" s="23"/>
      <c r="AC89" s="23"/>
      <c r="AD89" s="23"/>
      <c r="AE89" s="23"/>
      <c r="AF89" s="23"/>
      <c r="AG89" s="23"/>
      <c r="AH89" s="23"/>
      <c r="AI89" s="23"/>
      <c r="AJ89" s="16"/>
      <c r="AK89" s="16"/>
      <c r="AL89" s="17"/>
    </row>
    <row r="90" spans="1:38" ht="25.5" x14ac:dyDescent="0.35">
      <c r="A90" s="9">
        <v>89</v>
      </c>
      <c r="B90" s="30" t="str">
        <f ca="1"/>
        <v>ISRAEL NAHUM, SILVESTRE VALERO</v>
      </c>
      <c r="C90" s="31">
        <f ca="1"/>
        <v>31</v>
      </c>
      <c r="D90" s="30" t="str">
        <f ca="1"/>
        <v>Hombre</v>
      </c>
      <c r="E90" s="30" t="str">
        <f ca="1"/>
        <v>Veracruz, Mexico</v>
      </c>
      <c r="F90" s="30" t="str">
        <f ca="1"/>
        <v>muh_silval_9@hotmail.com</v>
      </c>
      <c r="G90" s="30">
        <f ca="1"/>
        <v>522721799686</v>
      </c>
      <c r="H90" s="30" t="str">
        <f ca="1"/>
        <v>Comunidad Jóvenes + 18 (14-19) Julio, Semana de niños y niñas (21-25) Julio, Jóvenes de 13 – 17 años / SEM1/ (28 Julio a 02 de agosto), Jóvenes de 13 – 17 años / SEM2/ (4 - 09 agosto), Jóvenes de 13 – 17 años / SEM3/ (11 - 16 agosto)</v>
      </c>
      <c r="I90" s="30" t="str">
        <f ca="1"/>
        <v>HORA SILENCIOSA, NUEVAS MISERICORDIAS CADA MAÑANA, UN AÑO EN LOS SALMOS.</v>
      </c>
      <c r="J90" s="30" t="str">
        <f ca="1"/>
        <v>TEMPLO EVANGÉLICO PONIENTE 18</v>
      </c>
      <c r="K90" s="30" t="str">
        <f ca="1"/>
        <v>JAVIER RAFAEL SILVESTRE ROSAS</v>
      </c>
      <c r="L90" s="30">
        <f ca="1"/>
        <v>522721547310</v>
      </c>
      <c r="M90" s="30" t="str">
        <f ca="1"/>
        <v>rafael.sil.ro@hotmail.com</v>
      </c>
      <c r="N90" s="30" t="str">
        <f ca="1"/>
        <v>LIDER JÓVENES, LÍDER ALABANZA Y PREDICADOR EN LOS MARTES DE ESTUDIO BÍBLICO.</v>
      </c>
      <c r="O90" s="30" t="str">
        <f ca="1"/>
        <v>NACÍ EN UNA FAMILIA CRISTIANA, Y DESDE MUY CHICO SE ME INCULCARON LAS ENSEÑANZAS BÍBLICAS Y TEMOR DE DIOS, A LA EDAD DE 6 AÑOS VI UNA PELÍCULA Y MÁS QUE NADA, POR MIEDO TOME SEGÚN YO UNA DECISIÓN POR CRISTO, PERO PASARON LOS AÑOS Y YO CONOCIENDO DE LA PALABRA, TEMÍA POR QUEDARME EN LA TIERRA CUANDO EL SEÑOR REGRESARA POR SU IGLESIA; CUANDO MIS PAPÁS HABLABAN CONMIGO DE MI SEGURIDAD DE SALVACIÓN, YO RESPONDÍA QUE SI ESTABA SEGURO DE SER SALVO, PERO SOLO DECÍA ESTO PARA QUE ME DEJARAN DE MOLESTAR CON LO MISMO, AUNQUE YO SABÍA QUE REALMENTE NO ERA SALVO, YA QUE DIOS NO MORABA EN MI CORAZÓN.
ASÍ FUE HASTA QUE A LA EDAD DE 15 AÑOS TOQUÉ FONDO, QUE REALMENTE ENTENDÍ EL VACÍO QUE TENÍA, Y QUE NADA PODÍA LLENARLO, NADA EXCEPTO DIOS, Y FUE QUE EL 3 DE JULIO DEL 2009, TOME DECISIÓN POR CRISTO, Y AHORA AQUEL VACÍO QUE ANTES SENTÍA, YA NO ESTÁ, PORQUE DIOS MORA EN MI CORAZÓN, Y SOY HIJO SUYO.</v>
      </c>
      <c r="P90" s="30" t="str">
        <f ca="1"/>
        <v>PORQUE ME GUSTA SER PARTE AUNQUE SEA POR UN TIEMPO BREVE DE UN MINISTERIO QUE SIRVE/TRABAJA PARA Y CON LA JUVENTUD/NIÑEZ COMO LO ES PDV MÉXICO, VER COMO SEMANA TRAS SEMANA VIDAS SON TRANSFORMADAS POR PARTE DE DIOS.
ASÍ COMO FORMAR PARTE DIRECTA O INDIRECTA EN EL TRABAJO DE LOS JÓVENES QUE PASAN DE MUERTE A VIDA; LAS AMISTADES Y HERMANDAD QUE UNO HACE, EL APRENDIZAJE QUE AÑO CON AÑO SE OBTIENE Y LAS MEJORAS QUE TAMBIEN UNO NECESITA EN SU VIDA.
ADEMÁS EL PODER DISFRUTAR Y GOZAR DE ESTE TIEMPO, QUE HA SIDO UNA BENDICIÓN PARA MÍ DESDE EL PRIMER CAMPAMENTO QUE PUDE VENIR COMO CAMPERO Y EQUIPANTE ALLÁ POR EL AÑO 2009, Y REGRESAR A CASA BENDECIDO, MOTIVADO, RECARGADO DE ENERGÍA PARA SEGUIR ADELANTE.
HE VIVIDO LA EXPERIENCIA DE SERVIR EN ESTAS ÁREAS DURANTE ESTOS AÑOS QUE HE IDO AL CAMPAMENTO EN BERNAL.
2009 (CAMPERO); 2009 (MAYORDOMÍA Y LAVAPLATOS), 2010 (PROGRAMA), 2011 (PROGRAMA Y MAYORDOMÍA), 2012 (PROGRAMA), 2013 (LAVAPLATOS), 2014 (MAYORDOMÍA Y CONSEJEROS), 2015 (CONSEJEROS), 2016 (CONSEJEROS), 2017 (CONSEJEROS), 2018 (CONSEJEROS), 2020 (CONSEJEROS - CAMPA VIRTUAL), 2021 (CONSEJEROS - CAMPA ZONA PUEBLA), 2022 (CONSEJEROS), 2024 (APOYO COCINA).</v>
      </c>
      <c r="Q90" s="30" t="str">
        <f ca="1"/>
        <v>Si</v>
      </c>
      <c r="R90" s="30" t="str">
        <f ca="1"/>
        <v>BASKETBALL, SENDERISMO, VOLEYBALL.</v>
      </c>
      <c r="S90" s="30" t="str">
        <f ca="1"/>
        <v>Si</v>
      </c>
      <c r="T90" s="30" t="str">
        <f ca="1"/>
        <v>GUITARRA.</v>
      </c>
      <c r="U90" s="30" t="str">
        <f ca="1"/>
        <v>TERMINÉ MI CARRERA EN EL 2021, Y ACTUALMENTE EJERZO.</v>
      </c>
      <c r="V90" s="30" t="str">
        <f ca="1"/>
        <v>MÉDICO GENERAL, BILÍNGÜE.</v>
      </c>
      <c r="W90" s="16" t="str">
        <f ca="1"/>
        <v>B. Me gusta animar a las personas, C. Suelo buscar que el trabajo se realice en equipo, D. Me gustan los deportes, E. Me gusta el trabajo con niños, F. Soy eficiente en el trabajo con herramientas, equipos y maquinarias, I. Se me facilita el trabajo físico, J. Me gusta la atención a las personas, M. Soy bueno (a) con los números, N. Suelo llevar el liderazgo en un grupo, O. Puedo enseñar con facilidad</v>
      </c>
      <c r="X90" s="16">
        <f ca="1"/>
        <v>2009</v>
      </c>
      <c r="Y90" s="30">
        <v>0</v>
      </c>
      <c r="Z90" s="23" t="s">
        <v>45</v>
      </c>
      <c r="AA90" s="23"/>
      <c r="AB90" s="23"/>
      <c r="AC90" s="23"/>
      <c r="AD90" s="23"/>
      <c r="AE90" s="23"/>
      <c r="AF90" s="23"/>
      <c r="AG90" s="23"/>
      <c r="AH90" s="23"/>
      <c r="AI90" s="23"/>
      <c r="AJ90" s="16" t="s">
        <v>111</v>
      </c>
      <c r="AK90" s="16"/>
      <c r="AL90" s="17"/>
    </row>
    <row r="91" spans="1:38" ht="12.75" x14ac:dyDescent="0.35">
      <c r="A91" s="9">
        <v>90</v>
      </c>
      <c r="B91" s="30" t="str">
        <f ca="1"/>
        <v>Elinna Jaqueline, Franco Lara</v>
      </c>
      <c r="C91" s="31">
        <f ca="1"/>
        <v>17</v>
      </c>
      <c r="D91" s="30" t="str">
        <f ca="1"/>
        <v>Mujer</v>
      </c>
      <c r="E91" s="30" t="str">
        <f ca="1"/>
        <v>Tamaulipas, Mexico</v>
      </c>
      <c r="F91" s="30" t="str">
        <f ca="1"/>
        <v>elinna.franco07@gmail.com</v>
      </c>
      <c r="G91" s="30">
        <f ca="1"/>
        <v>528332901970</v>
      </c>
      <c r="H91" s="30" t="str">
        <f ca="1"/>
        <v>Semana de niños y niñas (21-25) Julio, Jóvenes de 13 – 17 años / SEM1/ (28 Julio a 02 de agosto), Jóvenes de 13 – 17 años / SEM2/ (4 - 09 agosto)</v>
      </c>
      <c r="I91" s="30" t="str">
        <f ca="1"/>
        <v>Hora Silenciosa</v>
      </c>
      <c r="J91" s="30" t="str">
        <f ca="1"/>
        <v>Iglesia Bíblica Gracia sobre Gracia</v>
      </c>
      <c r="K91" s="30" t="str">
        <f ca="1"/>
        <v>Edgar Franco González</v>
      </c>
      <c r="L91" s="30">
        <f ca="1"/>
        <v>528331768824</v>
      </c>
      <c r="M91" s="30" t="str">
        <f ca="1"/>
        <v>edgar.franco83@gmail.com</v>
      </c>
      <c r="N91" s="30" t="str">
        <f ca="1"/>
        <v>Lider de Jovenes, Maestra de Niños y entrenadora de Olimpicos, miembro de el grupo de alabanza</v>
      </c>
      <c r="O91" s="30" t="str">
        <f ca="1"/>
        <v>Nací enunafamiliacristiana, crecí siemprerodeadadepersonasqueensumayoríasoncristianas, a los6añosyotomealgoquenomepertenecíaqueyoqueríadeunsupermercado, mispapasal pocotiemposedieroncuentadequeme lohabía llevadosinpagar, entoncesprimerodevolvimos loquehabíatomadoa latiendaydespuésdeesomispapásmesentaronyhablaronconmigo;ellosmemostraronel PlandeSalvacióny loqueDioshabíahechoenesacruzsoloporquemeamoprimero. Esedíayoentendí el Evangelio, mearrepentí demispecadosyaceptéal Cristocomomi SeñorySalvador. Desde ese entonces el Señor me ha llamadoaserviren lasmisiones, desde los7añosheservidoconungrupodemisionerosrusosquevienea lazonaparacompartirel Evangelio y apoyar a las diferentes iglesias de la ciudad, aproximadamente llevo sirviendo en este ministerio 11 años y me gustaría seguir sirviendo, también como familia hemos estado sirviendo al Señor como familia pastoral. En mi Iglesia local he servido en diferentes ministerios, como la alabanza, maestra de niños y líder de jóvenes, también el Señor me ha permitido servir en el campamento de Palabra de Vida</v>
      </c>
      <c r="P91" s="30" t="str">
        <f ca="1"/>
        <v>Quiero seguir sirviendo al Señor aprender cosas nuevas sobre el y sobre como darle la gloria atraves de mi servicio al Señor y compartir el Evangelio</v>
      </c>
      <c r="Q91" s="30" t="str">
        <f ca="1"/>
        <v>Si</v>
      </c>
      <c r="R91" s="30" t="str">
        <f ca="1"/>
        <v>Volleyball y Atletismo</v>
      </c>
      <c r="S91" s="30" t="str">
        <f ca="1"/>
        <v>Si</v>
      </c>
      <c r="T91" s="30" t="str">
        <f ca="1"/>
        <v>Cello</v>
      </c>
      <c r="U91" s="30" t="str">
        <f ca="1"/>
        <v>Estoy por entrar a la Carrera de Música</v>
      </c>
      <c r="V91" s="30" t="str">
        <f ca="1"/>
        <v>Educación, Músico</v>
      </c>
      <c r="W91" s="16" t="str">
        <f ca="1"/>
        <v>A. Soy un discipulador activo, B. Me gusta animar a las personas, C. Suelo buscar que el trabajo se realice en equipo, D. Me gustan los deportes, E. Me gusta el trabajo con niños, I. Se me facilita el trabajo físico, K. Soy creativo (a), L. Soy bueno (a) en canto o algún instrumento, O. Puedo enseñar con facilidad</v>
      </c>
      <c r="X91" s="16">
        <f ca="1"/>
        <v>2022</v>
      </c>
      <c r="Y91" s="30">
        <v>0</v>
      </c>
      <c r="Z91" s="23" t="s">
        <v>26</v>
      </c>
      <c r="AA91" s="23"/>
      <c r="AB91" s="23"/>
      <c r="AC91" s="23"/>
      <c r="AD91" s="23"/>
      <c r="AE91" s="23"/>
      <c r="AF91" s="23"/>
      <c r="AG91" s="23"/>
      <c r="AH91" s="23"/>
      <c r="AI91" s="23"/>
      <c r="AJ91" s="16" t="s">
        <v>112</v>
      </c>
      <c r="AK91" s="16"/>
      <c r="AL91" s="17"/>
    </row>
    <row r="92" spans="1:38" ht="12.75" x14ac:dyDescent="0.35">
      <c r="A92" s="9">
        <v>91</v>
      </c>
      <c r="B92" s="30" t="str">
        <f ca="1"/>
        <v>Clara Mirza, Alcantara Esquivel</v>
      </c>
      <c r="C92" s="31">
        <f ca="1"/>
        <v>22</v>
      </c>
      <c r="D92" s="30" t="str">
        <f ca="1"/>
        <v>Mujer</v>
      </c>
      <c r="E92" s="30" t="str">
        <f ca="1"/>
        <v>Mexico, Mexico</v>
      </c>
      <c r="F92" s="30" t="str">
        <f ca="1"/>
        <v>dnvalcantarackara@gmail.com</v>
      </c>
      <c r="G92" s="30">
        <f ca="1"/>
        <v>525649481201</v>
      </c>
      <c r="H92" s="30" t="str">
        <f ca="1"/>
        <v>Semana de niños y niñas (21-25) Julio</v>
      </c>
      <c r="I92" s="30" t="str">
        <f ca="1"/>
        <v>Glorify</v>
      </c>
      <c r="J92" s="30" t="str">
        <f ca="1"/>
        <v>El divino Salvador</v>
      </c>
      <c r="K92" s="30" t="str">
        <f ca="1"/>
        <v>Pbro. David Velázquez Gonzalez</v>
      </c>
      <c r="L92" s="30">
        <f ca="1"/>
        <v>527224605980</v>
      </c>
      <c r="M92" s="30" t="str">
        <f ca="1"/>
        <v>davelaz4444@yahoo.com.mx</v>
      </c>
      <c r="N92" s="30" t="str">
        <f ca="1"/>
        <v>Evangelismo en el ministerio del hospital</v>
      </c>
      <c r="O92" s="30" t="str">
        <f ca="1"/>
        <v>Bueno yo nací en cuna cristiana y siempre mi familia estuvo en relación con Dios sin embargo conforme fui creciendo notaba como la grandeza del padre se manifestaba en mi día a día e incluso en una situación muy específica que fue con mi abuelita ya que tuvo una complicación muy delicada donde los doctores no nos dieron esperanza de vida sin en cambio jamás dejamos de creer y contrario a eso nos unimos más como familia y la bendición de Dios obró para mi abuela y para nosotros como familia desde ese momento al día de hoy solo confirmo la grandeza de nuestro Dios padre y me gozo compartiendo a más personas de su amor.</v>
      </c>
      <c r="P92" s="30" t="str">
        <f ca="1"/>
        <v>Por qué durante mucho tiempo yo asistí como campera a palabra de vida y eran unas semanas increíbles para mí, yo amaba el conocer convivir de una forma tan sana y tan linda así que ahora quiero que los que asistan al campamento creen recuerdos igual de lindos y que conecten con Dios de la misma manera que yo con mi ayuda esta vez</v>
      </c>
      <c r="Q92" s="30" t="str">
        <f ca="1"/>
        <v>Si</v>
      </c>
      <c r="R92" s="30" t="str">
        <f ca="1"/>
        <v>Voy al gym</v>
      </c>
      <c r="S92" s="30" t="str">
        <f ca="1"/>
        <v>No</v>
      </c>
      <c r="T92" s="30">
        <v>0</v>
      </c>
      <c r="U92" s="30" t="str">
        <f ca="1"/>
        <v>Estudió administración de negocios</v>
      </c>
      <c r="V92" s="30" t="str">
        <f ca="1"/>
        <v>Actualmente estoy estudiando soy buena para platicar la palabra y cantaba en un grupo</v>
      </c>
      <c r="W92" s="16" t="str">
        <f ca="1"/>
        <v>B. Me gusta animar a las personas, C. Suelo buscar que el trabajo se realice en equipo, D. Me gustan los deportes, E. Me gusta el trabajo con niños, H. Soy organizado (a), I. Se me facilita el trabajo físico, K. Soy creativo (a), L. Soy bueno (a) en canto o algún instrumento, N. Suelo llevar el liderazgo en un grupo</v>
      </c>
      <c r="X92" s="16" t="str">
        <f ca="1"/>
        <v>En la temporada del 2023</v>
      </c>
      <c r="Y92" s="30">
        <v>0</v>
      </c>
      <c r="Z92" s="23" t="s">
        <v>51</v>
      </c>
      <c r="AA92" s="23" t="s">
        <v>25</v>
      </c>
      <c r="AB92" s="23"/>
      <c r="AC92" s="23"/>
      <c r="AD92" s="23"/>
      <c r="AE92" s="23"/>
      <c r="AF92" s="23"/>
      <c r="AG92" s="23"/>
      <c r="AH92" s="23"/>
      <c r="AI92" s="23"/>
      <c r="AJ92" s="16" t="s">
        <v>113</v>
      </c>
      <c r="AK92" s="16"/>
      <c r="AL92" s="17"/>
    </row>
    <row r="93" spans="1:38" ht="12.75" x14ac:dyDescent="0.35">
      <c r="A93" s="9">
        <v>92</v>
      </c>
      <c r="B93" s="30" t="str">
        <f ca="1"/>
        <v>Jocelyn Helen, Isidro Gonzalez</v>
      </c>
      <c r="C93" s="31">
        <f ca="1"/>
        <v>21</v>
      </c>
      <c r="D93" s="30" t="str">
        <f ca="1"/>
        <v>Mujer</v>
      </c>
      <c r="E93" s="30" t="str">
        <f ca="1"/>
        <v>Morelos, Mexico</v>
      </c>
      <c r="F93" s="30" t="str">
        <f ca="1"/>
        <v>gonzalezhelen456@gmail.com</v>
      </c>
      <c r="G93" s="30">
        <f ca="1"/>
        <v>527351620469</v>
      </c>
      <c r="H93" s="30" t="str">
        <f ca="1"/>
        <v>Comunidad Jóvenes + 18 (14-19) Julio</v>
      </c>
      <c r="I93" s="30" t="str">
        <f ca="1"/>
        <v>Hora Silenciosa</v>
      </c>
      <c r="J93" s="30" t="str">
        <f ca="1"/>
        <v>Iglesia Bíblica Manantial de Gracia</v>
      </c>
      <c r="K93" s="30" t="str">
        <f ca="1"/>
        <v>Gabriel Flores</v>
      </c>
      <c r="L93" s="30">
        <f ca="1"/>
        <v>527352801206</v>
      </c>
      <c r="M93" s="30" t="str">
        <f ca="1"/>
        <v>lgfl@hotmail.com</v>
      </c>
      <c r="N93" s="30" t="str">
        <f ca="1"/>
        <v>Escuela dominical</v>
      </c>
      <c r="O93" s="30" t="str">
        <f ca="1"/>
        <v>Fue justamente en un campamento de Palabra de Vida,yo asistía a una iglesia pero no había hecho mi decisión por Cristo,cuando llegué al campamento me sentía fuera de lugar y quería regresarme pero Dios habló a mi vida en esa semana y pude hacer mi decisión conscientemente y al final la semana ya no quería volver a casa,pero desde ese entonces volví a asistir cada año a campamento y el año pasado fue mi primer año de equípante y fue algo totalmente distinto el servir a Dios en campamento</v>
      </c>
      <c r="P93" s="30" t="str">
        <f ca="1"/>
        <v>El año pasado fue mi primer año de equipante y además de hacer muchos amigos y conocer a nuevas personas el sentir que tu servicio agrada a Dios a pesar del área en el que estés sientes que sirves a Dios con cada pequeña cosa que haces y es por lo que quiero volver</v>
      </c>
      <c r="Q93" s="30" t="str">
        <f ca="1"/>
        <v>Si</v>
      </c>
      <c r="R93" s="30" t="str">
        <f ca="1"/>
        <v>Voleibol</v>
      </c>
      <c r="S93" s="30" t="str">
        <f ca="1"/>
        <v>No</v>
      </c>
      <c r="T93" s="30">
        <v>0</v>
      </c>
      <c r="U93" s="30" t="str">
        <f ca="1"/>
        <v>Pedagogía</v>
      </c>
      <c r="V93" s="30" t="str">
        <f ca="1"/>
        <v>Manualidades</v>
      </c>
      <c r="W93" s="16" t="str">
        <f ca="1"/>
        <v>D. Me gustan los deportes, J. Me gusta la atención a las personas, K. Soy creativo (a)</v>
      </c>
      <c r="X93" s="16" t="str">
        <f ca="1"/>
        <v>Si,la temporada pasada 2024</v>
      </c>
      <c r="Y93" s="30">
        <v>0</v>
      </c>
      <c r="Z93" s="23" t="s">
        <v>25</v>
      </c>
      <c r="AA93" s="23"/>
      <c r="AB93" s="23"/>
      <c r="AC93" s="23"/>
      <c r="AD93" s="23"/>
      <c r="AE93" s="23"/>
      <c r="AF93" s="23"/>
      <c r="AG93" s="23"/>
      <c r="AH93" s="23"/>
      <c r="AI93" s="23"/>
      <c r="AJ93" s="16" t="s">
        <v>114</v>
      </c>
      <c r="AK93" s="16"/>
      <c r="AL93" s="17"/>
    </row>
    <row r="94" spans="1:38" ht="25.5" x14ac:dyDescent="0.35">
      <c r="A94" s="9">
        <v>93</v>
      </c>
      <c r="B94" s="30" t="str">
        <f ca="1"/>
        <v>Noé, Jaime Tobón</v>
      </c>
      <c r="C94" s="31">
        <f ca="1"/>
        <v>22</v>
      </c>
      <c r="D94" s="30" t="str">
        <f ca="1"/>
        <v>Hombre</v>
      </c>
      <c r="E94" s="30" t="str">
        <f ca="1"/>
        <v>Queretaro, Mexico</v>
      </c>
      <c r="F94" s="30" t="str">
        <f ca="1"/>
        <v>noejaimetobon28@gmail.com</v>
      </c>
      <c r="G94" s="30">
        <f ca="1"/>
        <v>524421232483</v>
      </c>
      <c r="H94" s="30" t="str">
        <f ca="1"/>
        <v>Jóvenes de 13 – 17 años / SEM1/ (28 Julio a 02 de agosto), Jóvenes de 13 – 17 años / SEM2/ (4 - 09 agosto), Jóvenes de 13 – 17 años / SEM3/ (11 - 16 agosto)</v>
      </c>
      <c r="I94" s="30" t="str">
        <f ca="1"/>
        <v>Hora Silenciosa</v>
      </c>
      <c r="J94" s="30" t="str">
        <f ca="1"/>
        <v>Conexión Vertical</v>
      </c>
      <c r="K94" s="30" t="str">
        <f ca="1"/>
        <v>Marcelo Jorquera</v>
      </c>
      <c r="L94" s="30">
        <f ca="1"/>
        <v>524411000876</v>
      </c>
      <c r="M94" s="30" t="str">
        <f ca="1"/>
        <v>mdjorquerap@gmail.com</v>
      </c>
      <c r="N94" s="30" t="str">
        <f ca="1"/>
        <v>Líder de Jóvenes, Anfritiones</v>
      </c>
      <c r="O94" s="30" t="str">
        <f ca="1"/>
        <v>• Conocía de alguien qué estaba en los cielos y debíamos de ir a escuchar una misa cada domingo, pero realmente no comprendía el objetivo de ello, mi familia era católica a lo que se le conoce de “Dientes para afuera” ya qué realmente no vivía de acuerdo a lo qué está en las escrituras, vivamos con lo necesario, pero en situación de violencia física y psicológica, no tenía idea de lo qué debía de hacer en este mundo, únicamente existir. A la edad de 9 años empecé a consumir pornografía, para mi era algo qué me hacía sentir amado, apreciado y valorado lo cual empezó a crecer alrededor de 10 años cada vez más profundo. Al pasar el tiempo mi familia se fue rompiendo, a la edad de 12 años mis padres decidieron separarse por fuertes problemas familiares, únicamente éramos mi Madre, mi Hermana y Yo, viviendo en un estado totalmente nuevo el cual es ahora mi Hogar, Santiago de Querétaro. 
Aquí tuve muchos problemas, ya qué no era muy sociable empecé a enfrentar bullying, también el saber qué mi padre no estaba presente tuve muchos problemas para saber cómo un hombre frente a la sociedad debía de ser, en esta búsqueda de identidad comencé a relacionarme con personas adictas a sustancias o con el alcoholismo lo cual me llevó a replicarlo durante muchos años (Secundaria y Preparatoria) y al no estar satisfecho me sentía cada vez más vacío al llegar con depresión no queriendo saber nada de la iglesia la cual mi madre empezaba a asistir 
Conocí realmente a Cristo cuando tenía 14 años, mi madre empezaba a asistir a una Iglesia la cual ahora sirvo llamada Conexión Vertical. Ella fue la primera de la familia en reconocer a Dios cómo su salvador y nos animaba a asistir con ella, pero la influencia de nuestro padre era mayor en ese momento y decidíamos no acompañarla. Tras un tiempo de rechazo, empecé a asistir con ella únicamente para hacerla sentir mejor sin llegar a saber lo qué Dios tenía preparado para mi vida, me predicaron y empecé a conocer más de el poco a poco, nos invitaron a asistir al Campamento de Palabra de Vida México en Bernal, ahí pude conocer aún más, quién es, qué hizo por mí, ahora en donde está y quien soy yo delante de su presencia. 
Durante una fogata la cual nos pidieron qué si estábamos convencidos de seguir a Cristo debíamos de hacer una oración reconociéndolo y lanzando un palito en señal de nuestra conversión, la cual no hice, no porque rechazara la idea si no qué hable con el proponiéndole qué en ese año me mostrara si el siempre ha estado conmigo y me permitiera sentir su presencia, cosa qué el cumplió, el siguiente año lleno de convicción entregué mi vida en ese campamento en el 2017.</v>
      </c>
      <c r="P94" s="30" t="str">
        <f ca="1"/>
        <v>Porque así cómo muchos estuvieron sirviendo cuando yo estaba conociendo de Cristo así yo  quiero poder servirle a mi Dios el tiempo qué el me necestie</v>
      </c>
      <c r="Q94" s="30" t="str">
        <f ca="1"/>
        <v>Si</v>
      </c>
      <c r="R94" s="30" t="str">
        <f ca="1"/>
        <v>Futbol</v>
      </c>
      <c r="S94" s="30" t="str">
        <f ca="1"/>
        <v>Si</v>
      </c>
      <c r="T94" s="30" t="str">
        <f ca="1"/>
        <v>Bajo</v>
      </c>
      <c r="U94" s="30" t="str">
        <f ca="1"/>
        <v>Administación</v>
      </c>
      <c r="V94" s="30" t="str">
        <f ca="1"/>
        <v>Comunicación, Energia para actividades exigentes, computadora, habilidades sociales</v>
      </c>
      <c r="W94" s="16" t="str">
        <f ca="1"/>
        <v>B. Me gusta animar a las personas, C. Suelo buscar que el trabajo se realice en equipo, D. Me gustan los deportes, H. Soy organizado (a), I. Se me facilita el trabajo físico</v>
      </c>
      <c r="X94" s="16" t="str">
        <f ca="1"/>
        <v>Si, 2018, 2021, 2022, 2023, 2024</v>
      </c>
      <c r="Y94" s="30">
        <v>0</v>
      </c>
      <c r="Z94" s="23" t="s">
        <v>50</v>
      </c>
      <c r="AA94" s="23"/>
      <c r="AB94" s="23"/>
      <c r="AC94" s="23"/>
      <c r="AD94" s="23"/>
      <c r="AE94" s="23"/>
      <c r="AF94" s="23"/>
      <c r="AG94" s="23"/>
      <c r="AH94" s="23"/>
      <c r="AI94" s="23"/>
      <c r="AJ94" s="16" t="s">
        <v>115</v>
      </c>
      <c r="AK94" s="16"/>
      <c r="AL94" s="17"/>
    </row>
    <row r="95" spans="1:38" ht="12.75" x14ac:dyDescent="0.35">
      <c r="A95" s="9">
        <v>94</v>
      </c>
      <c r="B95" s="30" t="str">
        <f ca="1"/>
        <v>José Marcos, Acosta Hernández</v>
      </c>
      <c r="C95" s="31">
        <f ca="1"/>
        <v>32</v>
      </c>
      <c r="D95" s="30" t="str">
        <f ca="1"/>
        <v>Hombre</v>
      </c>
      <c r="E95" s="30" t="str">
        <f ca="1"/>
        <v>Tamaulipas, Mexico</v>
      </c>
      <c r="F95" s="30" t="str">
        <f ca="1"/>
        <v>jmarcos_92@outlook.com</v>
      </c>
      <c r="G95" s="30">
        <f ca="1"/>
        <v>528331385940</v>
      </c>
      <c r="H95" s="30" t="str">
        <f ca="1"/>
        <v>Comunidad Jóvenes + 18 (14-19) Julio</v>
      </c>
      <c r="I95" s="30" t="str">
        <f ca="1"/>
        <v>Hora Silenciosa</v>
      </c>
      <c r="J95" s="30" t="str">
        <f ca="1"/>
        <v>Iglesia Bautista "El Calvario"</v>
      </c>
      <c r="K95" s="30" t="str">
        <f ca="1"/>
        <v>Marco Antonio García Montoya</v>
      </c>
      <c r="L95" s="30">
        <f ca="1"/>
        <v>528333504123</v>
      </c>
      <c r="M95" s="30" t="str">
        <f ca="1"/>
        <v>marcoantoniopastor75@gmail.com</v>
      </c>
      <c r="N95" s="30" t="str">
        <f ca="1"/>
        <v>Discipulado</v>
      </c>
      <c r="O95" s="30" t="str">
        <f ca="1"/>
        <v>Nací en un hogar crisitano, conocí el evangelio desde mi infancia, pero fue en mi adolescencia que tomé la decisión de seguir a Cristo. Estoy convencido de que el sacrificio de Jesus me salvó y tiene un propósito para mí.</v>
      </c>
      <c r="P95" s="30" t="str">
        <f ca="1"/>
        <v>Tengo el deseo de servir durante la semana de Jóvenes +18. El año pasado no me fue posible ir. Quiero que Dios me use.</v>
      </c>
      <c r="Q95" s="30" t="str">
        <f ca="1"/>
        <v>No</v>
      </c>
      <c r="R95" s="30">
        <v>0</v>
      </c>
      <c r="S95" s="30" t="str">
        <f ca="1"/>
        <v>No</v>
      </c>
      <c r="T95" s="30">
        <v>0</v>
      </c>
      <c r="U95" s="30" t="str">
        <f ca="1"/>
        <v>Maestro</v>
      </c>
      <c r="V95" s="30" t="str">
        <f ca="1"/>
        <v>Maestro</v>
      </c>
      <c r="W95" s="16" t="str">
        <f ca="1"/>
        <v>A. Soy un discipulador activo, B. Me gusta animar a las personas, O. Puedo enseñar con facilidad</v>
      </c>
      <c r="X95" s="16">
        <f ca="1"/>
        <v>2019</v>
      </c>
      <c r="Y95" s="30">
        <v>0</v>
      </c>
      <c r="Z95" s="23" t="s">
        <v>50</v>
      </c>
      <c r="AA95" s="23"/>
      <c r="AB95" s="23"/>
      <c r="AC95" s="23"/>
      <c r="AD95" s="23"/>
      <c r="AE95" s="23"/>
      <c r="AF95" s="23"/>
      <c r="AG95" s="23"/>
      <c r="AH95" s="23"/>
      <c r="AI95" s="23"/>
      <c r="AJ95" s="16"/>
      <c r="AK95" s="16"/>
      <c r="AL95" s="17"/>
    </row>
    <row r="96" spans="1:38" ht="12.75" x14ac:dyDescent="0.35">
      <c r="A96" s="9">
        <v>95</v>
      </c>
      <c r="B96" s="30" t="str">
        <f ca="1"/>
        <v>Luisa Renata, Escalante Caracas</v>
      </c>
      <c r="C96" s="31">
        <f ca="1"/>
        <v>15</v>
      </c>
      <c r="D96" s="30" t="str">
        <f ca="1"/>
        <v>Mujer</v>
      </c>
      <c r="E96" s="30" t="str">
        <f ca="1"/>
        <v>Queretaro, Mexico</v>
      </c>
      <c r="F96" s="30" t="str">
        <f ca="1"/>
        <v>rich29@outlook.com</v>
      </c>
      <c r="G96" s="30">
        <f ca="1"/>
        <v>524461043109</v>
      </c>
      <c r="H96" s="30" t="str">
        <f ca="1"/>
        <v>Semana de niños y niñas (21-25) Julio</v>
      </c>
      <c r="I96" s="30" t="str">
        <f ca="1"/>
        <v>Sustento Diario de la App HolyBible versión RVR 1960</v>
      </c>
      <c r="J96" s="30" t="str">
        <f ca="1"/>
        <v>Iglesia Bíblica Vida Nueva en Querétaro</v>
      </c>
      <c r="K96" s="30" t="str">
        <f ca="1"/>
        <v>Mario Villanueva Jiménez</v>
      </c>
      <c r="L96" s="30">
        <f ca="1"/>
        <v>524423352696</v>
      </c>
      <c r="M96" s="30" t="str">
        <f ca="1"/>
        <v>mariojvj@gmail.com</v>
      </c>
      <c r="N96" s="30" t="str">
        <f ca="1"/>
        <v>Club bíblico</v>
      </c>
      <c r="O96" s="30" t="str">
        <f ca="1"/>
        <v>Tuve la fortuna de nacer en una familia cristiana, y tuve mi propia decisión, cuando era niña y quiero servir al señor</v>
      </c>
      <c r="P96" s="30" t="str">
        <f ca="1"/>
        <v>Porque ya fui parte de los campamentos, cuando era niña, y ahora quiero servir para que más niños puedan conocer del señor y contribuir un poco a la obra de él</v>
      </c>
      <c r="Q96" s="30" t="str">
        <f ca="1"/>
        <v>Si</v>
      </c>
      <c r="R96" s="30" t="str">
        <f ca="1"/>
        <v>Danza, irlandesa</v>
      </c>
      <c r="S96" s="30" t="str">
        <f ca="1"/>
        <v>No</v>
      </c>
      <c r="T96" s="30">
        <v>0</v>
      </c>
      <c r="U96" s="30" t="str">
        <f ca="1"/>
        <v>Estudio el segundo semestre de preparatoria</v>
      </c>
      <c r="V96" s="30" t="str">
        <f ca="1"/>
        <v>Soy muy organizada, me gusta trabajar en equipo y soy buena administradora</v>
      </c>
      <c r="W96" s="16" t="str">
        <f ca="1"/>
        <v>C. Suelo buscar que el trabajo se realice en equipo, D. Me gustan los deportes, E. Me gusta el trabajo con niños, H. Soy organizado (a), J. Me gusta la atención a las personas, K. Soy creativo (a), O. Puedo enseñar con facilidad</v>
      </c>
      <c r="X96" s="16" t="str">
        <f ca="1"/>
        <v>Si he ido como a 6 campamentos desde los 6 años</v>
      </c>
      <c r="Y96" s="30">
        <v>0</v>
      </c>
      <c r="Z96" s="23" t="s">
        <v>51</v>
      </c>
      <c r="AA96" s="23" t="s">
        <v>25</v>
      </c>
      <c r="AB96" s="23"/>
      <c r="AC96" s="23"/>
      <c r="AD96" s="23"/>
      <c r="AE96" s="23"/>
      <c r="AF96" s="23"/>
      <c r="AG96" s="23"/>
      <c r="AH96" s="23"/>
      <c r="AI96" s="23"/>
      <c r="AJ96" s="16" t="s">
        <v>116</v>
      </c>
      <c r="AK96" s="16"/>
      <c r="AL96" s="17"/>
    </row>
    <row r="97" spans="1:38" ht="25.5" x14ac:dyDescent="0.35">
      <c r="A97" s="9">
        <v>96</v>
      </c>
      <c r="B97" s="30" t="str">
        <f ca="1"/>
        <v>Daniel Caleb, Gonzalez Rodriguez</v>
      </c>
      <c r="C97" s="31">
        <f ca="1"/>
        <v>28</v>
      </c>
      <c r="D97" s="30" t="str">
        <f ca="1"/>
        <v>Hombre</v>
      </c>
      <c r="E97" s="30" t="str">
        <f ca="1"/>
        <v>Guanajuato, Mexico</v>
      </c>
      <c r="F97" s="30" t="str">
        <f ca="1"/>
        <v>caleb.glezr@gmail.com</v>
      </c>
      <c r="G97" s="30">
        <f ca="1"/>
        <v>524778247757</v>
      </c>
      <c r="H97" s="30" t="str">
        <f ca="1"/>
        <v>Semana de entrenamiento (07 - 13) Julio, Comunidad Jóvenes + 18 (14-19) Julio</v>
      </c>
      <c r="I97" s="30" t="str">
        <f ca="1"/>
        <v>Pan diario</v>
      </c>
      <c r="J97" s="30" t="str">
        <f ca="1"/>
        <v>Mosaico</v>
      </c>
      <c r="K97" s="30" t="str">
        <f ca="1"/>
        <v>Humberto Zuñiga</v>
      </c>
      <c r="L97" s="30">
        <f ca="1"/>
        <v>524772892705</v>
      </c>
      <c r="M97" s="30" t="str">
        <f ca="1"/>
        <v>humberto.zunamez@gmail.com</v>
      </c>
      <c r="N97" s="30" t="str">
        <f ca="1"/>
        <v>Servicio</v>
      </c>
      <c r="O97" s="30" t="str">
        <f ca="1"/>
        <v>Mi vida antes de Cristo era muerto espiritualmente 😔 
Le conocí en mi cuarto clamando a el pero lo conocí aún más cuando me empezaron a invitar a la iglesia church Projet leon 😊
Dios uso Juan 3:16 para creer a una eternidad con el ahora tengo está relación que no tenía antes
Me niego a mi para seguirle a el diario 
El cambió que Dios uso en mi vida fue de arrepentimiento</v>
      </c>
      <c r="P97" s="30" t="str">
        <f ca="1"/>
        <v>El año pasado estuve como campero en Bernal y este año el señor puso en mí corazón sirviendo</v>
      </c>
      <c r="Q97" s="30" t="str">
        <f ca="1"/>
        <v>No</v>
      </c>
      <c r="R97" s="30">
        <v>0</v>
      </c>
      <c r="S97" s="30" t="str">
        <f ca="1"/>
        <v>No</v>
      </c>
      <c r="T97" s="30">
        <v>0</v>
      </c>
      <c r="U97" s="30" t="str">
        <f ca="1"/>
        <v>No estudió</v>
      </c>
      <c r="V97" s="30" t="str">
        <f ca="1"/>
        <v>Lider en mi área en donde trabajo</v>
      </c>
      <c r="W97" s="16" t="str">
        <f ca="1"/>
        <v>B. Me gusta animar a las personas, D. Me gustan los deportes, I. Se me facilita el trabajo físico</v>
      </c>
      <c r="X97" s="16" t="str">
        <f ca="1"/>
        <v>Si el año pasado 2024</v>
      </c>
      <c r="Y97" s="30">
        <v>0</v>
      </c>
      <c r="Z97" s="23" t="s">
        <v>50</v>
      </c>
      <c r="AA97" s="23"/>
      <c r="AB97" s="23"/>
      <c r="AC97" s="23"/>
      <c r="AD97" s="23"/>
      <c r="AE97" s="23"/>
      <c r="AF97" s="23"/>
      <c r="AG97" s="23"/>
      <c r="AH97" s="23"/>
      <c r="AI97" s="23"/>
      <c r="AJ97" s="16" t="s">
        <v>117</v>
      </c>
      <c r="AK97" s="16"/>
      <c r="AL97" s="17"/>
    </row>
    <row r="98" spans="1:38" ht="12.75" x14ac:dyDescent="0.35">
      <c r="A98" s="9">
        <v>97</v>
      </c>
      <c r="B98" s="34" t="str">
        <f ca="1"/>
        <v>Enoc, González García</v>
      </c>
      <c r="C98" s="35">
        <f ca="1"/>
        <v>16</v>
      </c>
      <c r="D98" s="34" t="str">
        <f ca="1"/>
        <v>Hombre</v>
      </c>
      <c r="E98" s="34" t="str">
        <f ca="1"/>
        <v>Morelos, Mexico</v>
      </c>
      <c r="F98" s="34" t="str">
        <f ca="1"/>
        <v>egez777@gmail.com</v>
      </c>
      <c r="G98" s="34">
        <f ca="1"/>
        <v>527351604626</v>
      </c>
      <c r="H98" s="34" t="str">
        <f ca="1"/>
        <v>Semana de entrenamiento (07 - 13) Julio, Comunidad Jóvenes + 18 (14-19) Julio, Semana de niños y niñas (21-25) Julio, Jóvenes de 13 – 17 años / SEM1/ (28 Julio a 02 de agosto)</v>
      </c>
      <c r="I98" s="34" t="str">
        <f ca="1"/>
        <v>Encuentros al límite</v>
      </c>
      <c r="J98" s="34" t="str">
        <f ca="1"/>
        <v>Igleisia Bíblica Palabra de Fe y Amor</v>
      </c>
      <c r="K98" s="34" t="str">
        <f ca="1"/>
        <v>Edilberto González Rivera</v>
      </c>
      <c r="L98" s="34">
        <f ca="1"/>
        <v>527351604626</v>
      </c>
      <c r="M98" s="34" t="str">
        <f ca="1"/>
        <v>egez777@gmail.com</v>
      </c>
      <c r="N98" s="34" t="str">
        <f ca="1"/>
        <v>Ujieres, aseos, multimedia y cafetería</v>
      </c>
      <c r="O98" s="34" t="str">
        <f ca="1"/>
        <v>Pues toda la vida he tenido relación con la iglesia, mis papás son postores y siempre me han inculcado la palabra de Dios pero soy consciente de mi salvación desde cómo los cuatro años .</v>
      </c>
      <c r="P98" s="34" t="str">
        <f ca="1"/>
        <v>Por qué me gustan los campamentos pero me gustaría experimentar como es estar del lado de los servidores y también para hacer amigos.</v>
      </c>
      <c r="Q98" s="34" t="str">
        <f ca="1"/>
        <v>Si</v>
      </c>
      <c r="R98" s="34" t="str">
        <f ca="1"/>
        <v>Pesas</v>
      </c>
      <c r="S98" s="34" t="str">
        <f ca="1"/>
        <v>No</v>
      </c>
      <c r="T98" s="34">
        <v>0</v>
      </c>
      <c r="U98" s="34" t="str">
        <f ca="1"/>
        <v>A.C.E</v>
      </c>
      <c r="V98" s="34" t="str">
        <f ca="1"/>
        <v>Deportivas y artísticas</v>
      </c>
      <c r="W98" s="36" t="str">
        <f ca="1"/>
        <v>D. Me gustan los deportes, F. Soy eficiente en el trabajo con herramientas, equipos y maquinarias, G. Soy más eficiente en el trabajo individual, H. Soy organizado (a), I. Se me facilita el trabajo físico, K. Soy creativo (a), O. Puedo enseñar con facilidad</v>
      </c>
      <c r="X98" s="36" t="str">
        <f ca="1"/>
        <v>No</v>
      </c>
      <c r="Y98" s="34">
        <v>0</v>
      </c>
      <c r="Z98" s="37" t="s">
        <v>28</v>
      </c>
      <c r="AA98" s="37"/>
      <c r="AB98" s="37"/>
      <c r="AC98" s="37"/>
      <c r="AD98" s="23"/>
      <c r="AE98" s="23"/>
      <c r="AF98" s="23"/>
      <c r="AG98" s="23"/>
      <c r="AH98" s="23"/>
      <c r="AI98" s="23"/>
      <c r="AJ98" s="38" t="s">
        <v>118</v>
      </c>
      <c r="AK98" s="16"/>
      <c r="AL98" s="17"/>
    </row>
    <row r="99" spans="1:38" ht="12.75" x14ac:dyDescent="0.35">
      <c r="A99" s="9">
        <v>98</v>
      </c>
      <c r="B99" s="30" t="str">
        <f ca="1"/>
        <v>Mariana, Martínez Ríos</v>
      </c>
      <c r="C99" s="31">
        <f ca="1"/>
        <v>22</v>
      </c>
      <c r="D99" s="30" t="str">
        <f ca="1"/>
        <v>Mujer</v>
      </c>
      <c r="E99" s="30" t="str">
        <f ca="1"/>
        <v>Queretaro, Mexico</v>
      </c>
      <c r="F99" s="30" t="str">
        <f ca="1"/>
        <v>marianamtzrios8@gmail.com</v>
      </c>
      <c r="G99" s="30" t="str">
        <f ca="1"/>
        <v>#ERROR!</v>
      </c>
      <c r="H99" s="30" t="str">
        <f ca="1"/>
        <v>Comunidad Jóvenes + 18 (14-19) Julio</v>
      </c>
      <c r="I99" s="30" t="str">
        <f ca="1"/>
        <v>You Version</v>
      </c>
      <c r="J99" s="30" t="str">
        <f ca="1"/>
        <v>Vida Nueva para el mundo Querétaro</v>
      </c>
      <c r="K99" s="30" t="str">
        <f ca="1"/>
        <v>David Alducin</v>
      </c>
      <c r="L99" s="30">
        <f ca="1"/>
        <v>52527229808024</v>
      </c>
      <c r="M99" s="30" t="str">
        <f ca="1"/>
        <v>davealducin17@gmail.com</v>
      </c>
      <c r="N99" s="30" t="str">
        <f ca="1"/>
        <v>Alabanza y Teens</v>
      </c>
      <c r="O99" s="30" t="str">
        <f ca="1"/>
        <v>Llevo desde los 10 años conociendo de Cristo pero puedo decir que hace 3 años decidí realmente tomar el papel que me corresponde como hija de Dios, discipulandome y sirviendo a Dios con los dones y talentos que me ha dado. Y esta desición la tome a raíz de que me alejé por un tiempo pero volví porque me di cuenta gracias al evangelio de que Dios es el único que puede completarme y darme la paz y el gozo en la vida y esta desición la tome en un campamento de palabra de vida también.</v>
      </c>
      <c r="P99" s="30" t="str">
        <f ca="1"/>
        <v>Porque creo que es tiempo de dar un poco de lo mucho que he recibido en los campamentos  creo que es tiempo de aportar sirviendo, pues es una de las cosas que hago en mi iglesia local.</v>
      </c>
      <c r="Q99" s="30" t="str">
        <f ca="1"/>
        <v>No</v>
      </c>
      <c r="R99" s="30">
        <v>0</v>
      </c>
      <c r="S99" s="30" t="str">
        <f ca="1"/>
        <v>Si</v>
      </c>
      <c r="T99" s="30" t="str">
        <f ca="1"/>
        <v>Teclado y canto</v>
      </c>
      <c r="U99" s="30" t="str">
        <f ca="1"/>
        <v>Diseño de moda y marketing publicitario</v>
      </c>
      <c r="V99" s="30" t="str">
        <f ca="1"/>
        <v>Habilidades artísticas</v>
      </c>
      <c r="W99" s="16" t="str">
        <f ca="1"/>
        <v>A. Soy un discipulador activo, B. Me gusta animar a las personas, C. Suelo buscar que el trabajo se realice en equipo, J. Me gusta la atención a las personas, K. Soy creativo (a), L. Soy bueno (a) en canto o algún instrumento, N. Suelo llevar el liderazgo en un grupo, O. Puedo enseñar con facilidad</v>
      </c>
      <c r="X99" s="16" t="str">
        <f ca="1"/>
        <v>2022 y 2023</v>
      </c>
      <c r="Y99" s="30">
        <v>0</v>
      </c>
      <c r="Z99" s="23" t="s">
        <v>51</v>
      </c>
      <c r="AA99" s="23" t="s">
        <v>25</v>
      </c>
      <c r="AB99" s="23"/>
      <c r="AC99" s="23"/>
      <c r="AD99" s="23"/>
      <c r="AE99" s="23"/>
      <c r="AF99" s="23"/>
      <c r="AG99" s="23"/>
      <c r="AH99" s="23"/>
      <c r="AI99" s="23"/>
      <c r="AJ99" s="16">
        <v>2291388774</v>
      </c>
      <c r="AK99" s="16"/>
      <c r="AL99" s="17"/>
    </row>
    <row r="100" spans="1:38" ht="38.25" x14ac:dyDescent="0.35">
      <c r="A100" s="9">
        <v>99</v>
      </c>
      <c r="B100" s="30" t="str">
        <f ca="1"/>
        <v>Astrid, Covarrubias Vazquez</v>
      </c>
      <c r="C100" s="31">
        <f ca="1"/>
        <v>18</v>
      </c>
      <c r="D100" s="30" t="str">
        <f ca="1"/>
        <v>Mujer</v>
      </c>
      <c r="E100" s="30" t="str">
        <f ca="1"/>
        <v>Mexico City, Mexico</v>
      </c>
      <c r="F100" s="30" t="str">
        <f ca="1"/>
        <v>vazquezastrid@gmail.com</v>
      </c>
      <c r="G100" s="30">
        <f ca="1"/>
        <v>525523746735</v>
      </c>
      <c r="H100" s="30" t="str">
        <f ca="1"/>
        <v>Toda la temporada (07 de Julio al 16 de agosto)</v>
      </c>
      <c r="I100" s="30" t="str">
        <f ca="1"/>
        <v>Mujer Verdadera</v>
      </c>
      <c r="J100" s="30" t="str">
        <f ca="1"/>
        <v>Iglesia Cristina Bautista Anastasis</v>
      </c>
      <c r="K100" s="30" t="str">
        <f ca="1"/>
        <v>Ricardo Almazán</v>
      </c>
      <c r="L100" s="30">
        <f ca="1"/>
        <v>525546661961</v>
      </c>
      <c r="M100" s="30" t="str">
        <f ca="1"/>
        <v>icb.anastasis@gmail.com</v>
      </c>
      <c r="N100" s="30" t="str">
        <f ca="1"/>
        <v>Ministerio Infantil</v>
      </c>
      <c r="O100" s="30" t="str">
        <f ca="1"/>
        <v>La primera vez que escuché hablar de Dios tenía 3 años iba a una iglesia con mi familia después de unos años nos alejamos por completo pero a los 13 me entró la necesidad de buscar a ese Dios del que escuché de pequeña un día me invitaron a Campa 2019 y fue literalmente un rencuentro con el padre ahí mi vida tomó sentido porque empecé a vivir con propósito.</v>
      </c>
      <c r="P100" s="30" t="str">
        <f ca="1"/>
        <v>Porque quiero devolver un poco de lo mucho que campa me dio y me sigue dando, poder servir a Dios en mi juventud sé que es un privilegio por cual estoy agradecida</v>
      </c>
      <c r="Q100" s="30" t="str">
        <f ca="1"/>
        <v>No</v>
      </c>
      <c r="R100" s="30">
        <v>0</v>
      </c>
      <c r="S100" s="30" t="str">
        <f ca="1"/>
        <v>No</v>
      </c>
      <c r="T100" s="30">
        <v>0</v>
      </c>
      <c r="U100" s="30" t="str">
        <f ca="1"/>
        <v>Medios y Comunicación</v>
      </c>
      <c r="V100" s="30" t="str">
        <f ca="1"/>
        <v>Soy buena comunicándome, me gusta hablar en público soy buena con los niños también me gusta el arte bailar,actuar y ese tipo de cosas</v>
      </c>
      <c r="W100" s="16" t="str">
        <f ca="1"/>
        <v>B. Me gusta animar a las personas, E. Me gusta el trabajo con niños, G. Soy más eficiente en el trabajo individual, H. Soy organizado (a), J. Me gusta la atención a las personas, K. Soy creativo (a), N. Suelo llevar el liderazgo en un grupo, O. Puedo enseñar con facilidad</v>
      </c>
      <c r="X100" s="16" t="str">
        <f ca="1"/>
        <v>Si desde 2019 hasta 2023 y 2024 fui equipante</v>
      </c>
      <c r="Y100" s="30">
        <v>0</v>
      </c>
      <c r="Z100" s="23" t="s">
        <v>25</v>
      </c>
      <c r="AA100" s="23"/>
      <c r="AB100" s="23"/>
      <c r="AC100" s="23"/>
      <c r="AD100" s="23"/>
      <c r="AE100" s="23" t="s">
        <v>26</v>
      </c>
      <c r="AF100" s="23"/>
      <c r="AG100" s="23"/>
      <c r="AH100" s="23"/>
      <c r="AI100" s="23"/>
      <c r="AJ100" s="16"/>
      <c r="AK100" s="16" t="s">
        <v>119</v>
      </c>
      <c r="AL100" s="17"/>
    </row>
    <row r="101" spans="1:38" ht="12.75" x14ac:dyDescent="0.35">
      <c r="A101" s="9">
        <v>100</v>
      </c>
      <c r="B101" s="30" t="str">
        <f ca="1"/>
        <v>Angeles de jesus, Villalon vargas</v>
      </c>
      <c r="C101" s="31">
        <f ca="1"/>
        <v>17</v>
      </c>
      <c r="D101" s="30" t="str">
        <f ca="1"/>
        <v>Mujer</v>
      </c>
      <c r="E101" s="30" t="str">
        <f ca="1"/>
        <v>Queretaro, Mexico</v>
      </c>
      <c r="F101" s="30" t="str">
        <f ca="1"/>
        <v>angelesvillalon18@gmail.com</v>
      </c>
      <c r="G101" s="30">
        <f ca="1"/>
        <v>524425760714</v>
      </c>
      <c r="H101" s="30" t="str">
        <f ca="1"/>
        <v>Semana de entrenamiento (07 - 13) Julio, Comunidad Jóvenes + 18 (14-19) Julio, Semana de niños y niñas (21-25) Julio, Jóvenes de 13 – 17 años / SEM1/ (28 Julio a 02 de agosto), Jóvenes de 13 – 17 años / SEM2/ (4 - 09 agosto)</v>
      </c>
      <c r="I101" s="30" t="str">
        <f ca="1"/>
        <v>Santiago</v>
      </c>
      <c r="J101" s="30" t="str">
        <f ca="1"/>
        <v>Church project</v>
      </c>
      <c r="K101" s="30" t="str">
        <f ca="1"/>
        <v>Leo digilio , braian Issa</v>
      </c>
      <c r="L101" s="30">
        <f ca="1"/>
        <v>524151261741</v>
      </c>
      <c r="M101" s="30" t="str">
        <f ca="1"/>
        <v>braian@cpqueretaro.org</v>
      </c>
      <c r="N101" s="30" t="str">
        <f ca="1"/>
        <v>Kids</v>
      </c>
      <c r="O101" s="30" t="str">
        <f ca="1"/>
        <v>Yo conocí a Cristo por medio de mis padres ellos buscaron una iglesia creo que fue en el 2019,  el 31 de mayo tome la decisión de aceptar a cristo como mi salvador, el 22 de agosto del 2021 decidí bautizarme  y decidí cambiar por completo mi vida ,  he pado por muchas pruebas y siempre e visto siempre la mano de Dios me a sacado y librado de muchas cosas</v>
      </c>
      <c r="P101" s="30" t="str">
        <f ca="1"/>
        <v>Por qué me gusta servir y he visto que hay necesidad  y este año Dios puso en mi corazón servir y también por qué esos tiempos son hermosos y me acercan más a Dios</v>
      </c>
      <c r="Q101" s="30" t="str">
        <f ca="1"/>
        <v>No</v>
      </c>
      <c r="R101" s="30">
        <v>0</v>
      </c>
      <c r="S101" s="30" t="str">
        <f ca="1"/>
        <v>No</v>
      </c>
      <c r="T101" s="30">
        <v>0</v>
      </c>
      <c r="U101" s="30" t="str">
        <f ca="1"/>
        <v>Estoy cursando el último año de preparatoria</v>
      </c>
      <c r="V101" s="30" t="str">
        <f ca="1"/>
        <v>Soy buena en la limpieza,cocinando  , el cuidado de con niños , leer , lavar trastes</v>
      </c>
      <c r="W101" s="16" t="str">
        <f ca="1"/>
        <v>C. Suelo buscar que el trabajo se realice en equipo, E. Me gusta el trabajo con niños, H. Soy organizado (a), J. Me gusta la atención a las personas, K. Soy creativo (a)</v>
      </c>
      <c r="X101" s="16" t="str">
        <f ca="1"/>
        <v>Si  en las primeras de jóvenes</v>
      </c>
      <c r="Y101" s="30">
        <v>0</v>
      </c>
      <c r="Z101" s="23" t="s">
        <v>25</v>
      </c>
      <c r="AA101" s="23"/>
      <c r="AB101" s="23"/>
      <c r="AC101" s="23"/>
      <c r="AD101" s="23"/>
      <c r="AE101" s="23"/>
      <c r="AF101" s="23"/>
      <c r="AG101" s="23"/>
      <c r="AH101" s="23"/>
      <c r="AI101" s="23"/>
      <c r="AJ101" s="16"/>
      <c r="AK101" s="16"/>
      <c r="AL101" s="17"/>
    </row>
    <row r="102" spans="1:38" ht="12.75" x14ac:dyDescent="0.35">
      <c r="A102" s="9">
        <v>101</v>
      </c>
      <c r="B102" s="20" t="str">
        <f ca="1"/>
        <v>Dina Paola, Molina Bonilla</v>
      </c>
      <c r="C102" s="33">
        <f ca="1"/>
        <v>47</v>
      </c>
      <c r="D102" s="20" t="str">
        <f ca="1"/>
        <v>Mujer</v>
      </c>
      <c r="E102" s="20" t="str">
        <f ca="1"/>
        <v>Oaxaca, Mexico</v>
      </c>
      <c r="F102" s="20" t="str">
        <f ca="1"/>
        <v>dinamolina@hotmail.com</v>
      </c>
      <c r="G102" s="20">
        <f ca="1"/>
        <v>529511066703</v>
      </c>
      <c r="H102" s="20" t="str">
        <f ca="1"/>
        <v>Semana de niños y niñas (21-25) Julio</v>
      </c>
      <c r="I102" s="20" t="str">
        <f ca="1"/>
        <v>Lectura libre de la biblia</v>
      </c>
      <c r="J102" s="20" t="str">
        <f ca="1"/>
        <v>Campamento de Dios</v>
      </c>
      <c r="K102" s="20" t="str">
        <f ca="1"/>
        <v>Jorge Carranza</v>
      </c>
      <c r="L102" s="20">
        <f ca="1"/>
        <v>529511066703</v>
      </c>
      <c r="M102" s="20" t="str">
        <f ca="1"/>
        <v>Pastorjorgecarranza@hotmail.com</v>
      </c>
      <c r="N102" s="20" t="str">
        <f ca="1"/>
        <v>Decoracion, dirección de culto y eventos especiales</v>
      </c>
      <c r="O102" s="20" t="str">
        <f ca="1"/>
        <v>A los 6 años conozco a Jesus en una escuelita bíblica de vacaciones. Tomo la decisión de servirle a los 16 años, han pasado los años y sé que Dios me sigue moldeando para cumplir su propósito. Dar a conocer a Jesus</v>
      </c>
      <c r="P102" s="20" t="str">
        <f ca="1"/>
        <v>Conozco el ministerio de Palabra de vida desde mi adolescencia, en mi juventud Gladis no se conoce el ministerio de palabra de vida y se que es un hermoso ministerio para adolescentes y jóvenes, de manera personal he invitado a los niños y he convencido a los padres de los niños, este año asisten mis sobrinos que no conocen del señor Jesús, Dios esta obrando en la familia de mi esposo. Soy responsable de los niños que asistirán</v>
      </c>
      <c r="Q102" s="20" t="str">
        <f ca="1"/>
        <v>No</v>
      </c>
      <c r="R102" s="20">
        <v>0</v>
      </c>
      <c r="S102" s="20" t="str">
        <f ca="1"/>
        <v>No</v>
      </c>
      <c r="T102" s="20">
        <v>0</v>
      </c>
      <c r="U102" s="20" t="str">
        <f ca="1"/>
        <v>Estudie comercio Exterior y tengo una maestría en administración</v>
      </c>
      <c r="V102" s="20" t="str">
        <f ca="1"/>
        <v>Administración. Organización</v>
      </c>
      <c r="W102" s="21" t="str">
        <f ca="1"/>
        <v>G. Soy más eficiente en el trabajo individual, H. Soy organizado (a), J. Me gusta la atención a las personas, K. Soy creativo (a), L. Soy bueno (a) en canto o algún instrumento, M. Soy bueno (a) con los números, N. Suelo llevar el liderazgo en un grupo, O. Puedo enseñar con facilidad</v>
      </c>
      <c r="X102" s="21" t="str">
        <f ca="1"/>
        <v>No</v>
      </c>
      <c r="Y102" s="20">
        <v>0</v>
      </c>
      <c r="Z102" s="22" t="s">
        <v>28</v>
      </c>
      <c r="AA102" s="22"/>
      <c r="AB102" s="22"/>
      <c r="AC102" s="22"/>
      <c r="AD102" s="23"/>
      <c r="AE102" s="23"/>
      <c r="AF102" s="23"/>
      <c r="AG102" s="23"/>
      <c r="AH102" s="23"/>
      <c r="AI102" s="23"/>
      <c r="AJ102" s="16"/>
      <c r="AK102" s="16"/>
      <c r="AL102" s="17"/>
    </row>
    <row r="103" spans="1:38" ht="12.75" x14ac:dyDescent="0.35">
      <c r="A103" s="9">
        <v>102</v>
      </c>
      <c r="B103" s="20" t="str">
        <f ca="1"/>
        <v>Saira Denisse, Martinez Martinez</v>
      </c>
      <c r="C103" s="33">
        <f ca="1"/>
        <v>40</v>
      </c>
      <c r="D103" s="20" t="str">
        <f ca="1"/>
        <v>Mujer</v>
      </c>
      <c r="E103" s="20" t="str">
        <f ca="1"/>
        <v>Oaxaca, Mexico</v>
      </c>
      <c r="F103" s="20" t="str">
        <f ca="1"/>
        <v>saideninat@gmail.com</v>
      </c>
      <c r="G103" s="20">
        <f ca="1"/>
        <v>529512267123</v>
      </c>
      <c r="H103" s="20" t="str">
        <f ca="1"/>
        <v>Semana de niños y niñas (21-25) Julio</v>
      </c>
      <c r="I103" s="20" t="str">
        <f ca="1"/>
        <v>Devocional de Bendición para tu familia</v>
      </c>
      <c r="J103" s="20" t="str">
        <f ca="1"/>
        <v>Campamento de Dios</v>
      </c>
      <c r="K103" s="20" t="str">
        <f ca="1"/>
        <v>Jorge Carranza</v>
      </c>
      <c r="L103" s="20">
        <f ca="1"/>
        <v>527555572728</v>
      </c>
      <c r="M103" s="20" t="str">
        <f ca="1"/>
        <v>Pastorjorgecarranza@hotmail.com</v>
      </c>
      <c r="N103" s="20" t="str">
        <f ca="1"/>
        <v>Proclamación</v>
      </c>
      <c r="O103" s="20" t="str">
        <f ca="1"/>
        <v>Soy viuda desde hace 4 años y medio 
Mi hijo de 6 años en esos momentos pasó un proceso muy complicado, por la pérdida de su papá. Llegamos a Campamento de Dios por escuelita bíblica y de ahí mi hijo dijo que quería ir a la iglesia cada domingo. 
Y Dios fue sanando su corazón y a mi darme sabiduría en nuestro caminar. Hace un año nos bautizamos, y nuestra vida ha cambiado. Este año ha sido de muchas bendiciones</v>
      </c>
      <c r="P103" s="20" t="str">
        <f ca="1"/>
        <v>Por que ya di servicio y es un momento de plenitud, enseñanza, y llevamos también más niños al campamento.</v>
      </c>
      <c r="Q103" s="20" t="str">
        <f ca="1"/>
        <v>Si</v>
      </c>
      <c r="R103" s="20" t="str">
        <f ca="1"/>
        <v>Correr y Gimnasio</v>
      </c>
      <c r="S103" s="20" t="str">
        <f ca="1"/>
        <v>No</v>
      </c>
      <c r="T103" s="20">
        <v>0</v>
      </c>
      <c r="U103" s="20" t="str">
        <f ca="1"/>
        <v>Soy ingeniero industrial y me dedico a ventas</v>
      </c>
      <c r="V103" s="20" t="str">
        <f ca="1"/>
        <v>Administración de recursos, mejora de procesos, mejora continua, análisis de procesos, ventas y liderazgo de equipos</v>
      </c>
      <c r="W103" s="21" t="str">
        <f ca="1"/>
        <v>B. Me gusta animar a las personas, C. Suelo buscar que el trabajo se realice en equipo, E. Me gusta el trabajo con niños, H. Soy organizado (a), J. Me gusta la atención a las personas, K. Soy creativo (a), M. Soy bueno (a) con los números, N. Suelo llevar el liderazgo en un grupo, O. Puedo enseñar con facilidad</v>
      </c>
      <c r="X103" s="21" t="str">
        <f ca="1"/>
        <v>No</v>
      </c>
      <c r="Y103" s="20">
        <v>0</v>
      </c>
      <c r="Z103" s="22" t="s">
        <v>28</v>
      </c>
      <c r="AA103" s="22"/>
      <c r="AB103" s="22"/>
      <c r="AC103" s="22"/>
      <c r="AD103" s="23"/>
      <c r="AE103" s="23"/>
      <c r="AF103" s="23"/>
      <c r="AG103" s="23"/>
      <c r="AH103" s="23"/>
      <c r="AI103" s="23"/>
      <c r="AJ103" s="16"/>
      <c r="AK103" s="16"/>
      <c r="AL103" s="17"/>
    </row>
    <row r="104" spans="1:38" ht="12.75" x14ac:dyDescent="0.35">
      <c r="A104" s="9">
        <v>103</v>
      </c>
      <c r="B104" s="30" t="str">
        <f ca="1"/>
        <v>Jesus Rene, Aquino Perez</v>
      </c>
      <c r="C104" s="39">
        <f ca="1"/>
        <v>50</v>
      </c>
      <c r="D104" s="30" t="str">
        <f ca="1"/>
        <v>Hombre</v>
      </c>
      <c r="E104" s="30" t="str">
        <f ca="1"/>
        <v>Oaxaca, Mexico</v>
      </c>
      <c r="F104" s="30" t="str">
        <f ca="1"/>
        <v>jesusaquino@hotmail.com</v>
      </c>
      <c r="G104" s="30">
        <f ca="1"/>
        <v>529511066703</v>
      </c>
      <c r="H104" s="30" t="str">
        <f ca="1"/>
        <v>Semana de niños y niñas (21-25) Julio</v>
      </c>
      <c r="I104" s="30" t="str">
        <f ca="1"/>
        <v>Lectura libre de la biblia</v>
      </c>
      <c r="J104" s="30" t="str">
        <f ca="1"/>
        <v>Campamento de Dios</v>
      </c>
      <c r="K104" s="30" t="str">
        <f ca="1"/>
        <v>Jorge Carranza</v>
      </c>
      <c r="L104" s="30">
        <f ca="1"/>
        <v>529511066704</v>
      </c>
      <c r="M104" s="30" t="str">
        <f ca="1"/>
        <v>Pastorjorgecarranza@hotmail.com</v>
      </c>
      <c r="N104" s="30" t="str">
        <f ca="1"/>
        <v>Dirección de culto, líder de varones y asesor legal de la iglesia</v>
      </c>
      <c r="O104" s="30" t="str">
        <f ca="1"/>
        <v>Conocí del señor en un grupo de jóvenes a mis 30 y ahí tomé mi decisión por Cristo. Mi abuelo paterno siempre me habló de las cosas de Dios desde Niño.</v>
      </c>
      <c r="P104" s="30" t="str">
        <f ca="1"/>
        <v>Porque estoy llevando un grupo de niños, a mi hija y mis sobrinos que no conocen de Cristo. Además de los demás chicos de mi iglesia y soy responsable de ellos.</v>
      </c>
      <c r="Q104" s="30" t="str">
        <f ca="1"/>
        <v>No</v>
      </c>
      <c r="R104" s="30">
        <v>0</v>
      </c>
      <c r="S104" s="30" t="str">
        <f ca="1"/>
        <v>No</v>
      </c>
      <c r="T104" s="30">
        <v>0</v>
      </c>
      <c r="U104" s="30" t="str">
        <f ca="1"/>
        <v>Soy abogado</v>
      </c>
      <c r="V104" s="30" t="str">
        <f ca="1"/>
        <v>Abogado corporativo. He dado clases a jóvenes y adolescentes</v>
      </c>
      <c r="W104" s="16" t="str">
        <f ca="1"/>
        <v>G. Soy más eficiente en el trabajo individual, J. Me gusta la atención a las personas, N. Suelo llevar el liderazgo en un grupo, O. Puedo enseñar con facilidad</v>
      </c>
      <c r="X104" s="16" t="str">
        <f ca="1"/>
        <v>No</v>
      </c>
      <c r="Y104" s="30">
        <v>0</v>
      </c>
      <c r="Z104" s="23" t="s">
        <v>28</v>
      </c>
      <c r="AA104" s="23"/>
      <c r="AB104" s="23"/>
      <c r="AC104" s="23"/>
      <c r="AD104" s="23"/>
      <c r="AE104" s="23"/>
      <c r="AF104" s="23"/>
      <c r="AG104" s="23"/>
      <c r="AH104" s="23"/>
      <c r="AI104" s="23"/>
      <c r="AJ104" s="16"/>
      <c r="AK104" s="16"/>
      <c r="AL104" s="17"/>
    </row>
    <row r="105" spans="1:38" ht="38.25" x14ac:dyDescent="0.35">
      <c r="A105" s="9">
        <v>104</v>
      </c>
      <c r="B105" s="30" t="str">
        <f ca="1"/>
        <v>Marian, Santana Melo</v>
      </c>
      <c r="C105" s="31">
        <f ca="1"/>
        <v>23</v>
      </c>
      <c r="D105" s="30" t="str">
        <f ca="1"/>
        <v>Mujer</v>
      </c>
      <c r="E105" s="30" t="str">
        <f ca="1"/>
        <v>Queretaro, Mexico</v>
      </c>
      <c r="F105" s="30" t="str">
        <f ca="1"/>
        <v>m.santana.melo7@gmail.com</v>
      </c>
      <c r="G105" s="30">
        <f ca="1"/>
        <v>524421430047</v>
      </c>
      <c r="H105" s="30" t="str">
        <f ca="1"/>
        <v>Semana de entrenamiento (07 - 13) Julio, Comunidad Jóvenes + 18 (14-19) Julio</v>
      </c>
      <c r="I105" s="30" t="str">
        <f ca="1"/>
        <v>En Jesús yo Soy</v>
      </c>
      <c r="J105" s="30" t="str">
        <f ca="1"/>
        <v>Iglesia Bíblica Juriquilla</v>
      </c>
      <c r="K105" s="30" t="str">
        <f ca="1"/>
        <v>Pablo Ferrari</v>
      </c>
      <c r="L105" s="30">
        <f ca="1"/>
        <v>524423303874</v>
      </c>
      <c r="M105" s="30" t="str">
        <f ca="1"/>
        <v>pabloyfrine@gmail.com</v>
      </c>
      <c r="N105" s="30" t="str">
        <f ca="1"/>
        <v>Grupo de Jóvenes, Canasta de Amor.</v>
      </c>
      <c r="O105" s="30" t="str">
        <f ca="1"/>
        <v>Nací en una familia cristiana pero me fui dando cuenta que no solo era algo que se heredaba si no, que necesitaba de Dios en mi vida, lo acepté cuando tenía 8-9 años y desde ahí fui creciendo con una fe fuerte.</v>
      </c>
      <c r="P105" s="30" t="str">
        <f ca="1"/>
        <v>Me gusta servir y sería una experiencia buena.</v>
      </c>
      <c r="Q105" s="30" t="str">
        <f ca="1"/>
        <v>No</v>
      </c>
      <c r="R105" s="30">
        <v>0</v>
      </c>
      <c r="S105" s="30" t="str">
        <f ca="1"/>
        <v>No</v>
      </c>
      <c r="T105" s="30">
        <v>0</v>
      </c>
      <c r="U105" s="30" t="str">
        <f ca="1"/>
        <v>Idiomas</v>
      </c>
      <c r="V105" s="30" t="str">
        <f ca="1"/>
        <v>Repostería, maestra, liderazgo, responsable, entusiasta, iniciativa.</v>
      </c>
      <c r="W105" s="16" t="str">
        <f ca="1"/>
        <v>B. Me gusta animar a las personas, C. Suelo buscar que el trabajo se realice en equipo, H. Soy organizado (a), J. Me gusta la atención a las personas, K. Soy creativo (a), L. Soy bueno (a) en canto o algún instrumento, N. Suelo llevar el liderazgo en un grupo, O. Puedo enseñar con facilidad</v>
      </c>
      <c r="X105" s="16" t="str">
        <f ca="1"/>
        <v>No</v>
      </c>
      <c r="Y105" s="30">
        <v>0</v>
      </c>
      <c r="Z105" s="23" t="s">
        <v>25</v>
      </c>
      <c r="AA105" s="23"/>
      <c r="AB105" s="23"/>
      <c r="AC105" s="23"/>
      <c r="AD105" s="23"/>
      <c r="AE105" s="23"/>
      <c r="AF105" s="23"/>
      <c r="AG105" s="23"/>
      <c r="AH105" s="23"/>
      <c r="AI105" s="23"/>
      <c r="AJ105" s="16" t="s">
        <v>120</v>
      </c>
      <c r="AK105" s="16" t="s">
        <v>121</v>
      </c>
      <c r="AL105" s="17"/>
    </row>
    <row r="106" spans="1:38" ht="25.5" x14ac:dyDescent="0.35">
      <c r="A106" s="9">
        <v>105</v>
      </c>
      <c r="B106" s="30" t="str">
        <f ca="1"/>
        <v>Eric Gabriel, Sala Bernaldez</v>
      </c>
      <c r="C106" s="31">
        <f ca="1"/>
        <v>19</v>
      </c>
      <c r="D106" s="30" t="str">
        <f ca="1"/>
        <v>Hombre</v>
      </c>
      <c r="E106" s="30" t="str">
        <f ca="1"/>
        <v>Mexico, Mexico</v>
      </c>
      <c r="F106" s="30" t="str">
        <f ca="1"/>
        <v>e.g.livingroom06@gmail.com</v>
      </c>
      <c r="G106" s="30">
        <f ca="1"/>
        <v>528184614842</v>
      </c>
      <c r="H106" s="30" t="str">
        <f ca="1"/>
        <v>Semana de entrenamiento (07 - 13) Julio, Semana de niños y niñas (21-25) Julio, Jóvenes de 13 – 17 años / SEM1/ (28 Julio a 02 de agosto), Jóvenes de 13 – 17 años / SEM2/ (4 - 09 agosto)</v>
      </c>
      <c r="I106" s="30" t="str">
        <f ca="1"/>
        <v>La Belleza de La Cruz</v>
      </c>
      <c r="J106" s="30" t="str">
        <f ca="1"/>
        <v>Iglesia Bautista de La Capital</v>
      </c>
      <c r="K106" s="30" t="str">
        <f ca="1"/>
        <v>Enio Jacintos Pineda</v>
      </c>
      <c r="L106" s="30">
        <f ca="1"/>
        <v>528717897929</v>
      </c>
      <c r="M106" s="30" t="str">
        <f ca="1"/>
        <v>paspineda@gmail.com</v>
      </c>
      <c r="N106" s="30" t="str">
        <f ca="1"/>
        <v>Limpieza de la Iglesia</v>
      </c>
      <c r="O106" s="30" t="str">
        <f ca="1"/>
        <v>Nací en familia evangélica. Todos los días el Señor Jesucristo me recuerda el Gran Sacrificio que hizo por mí. Todos los días escojo seguirlo y tomar mi cruz. Él me salva y rescata todos los días de mi pecado, y está conmigo todos los días hasta que Él regrese; como Él lo prometió.</v>
      </c>
      <c r="P106" s="30" t="str">
        <f ca="1"/>
        <v>He sido campista 2 años ya, conozco a algunas personas ahí y me han recomendado e instado a ser parte del equipo de Verano, espero este año poder estar allá y acompañarlos como equipante.</v>
      </c>
      <c r="Q106" s="30" t="str">
        <f ca="1"/>
        <v>Si</v>
      </c>
      <c r="R106" s="30" t="str">
        <f ca="1"/>
        <v>Voleibol, pero no soy muy bueno</v>
      </c>
      <c r="S106" s="30" t="str">
        <f ca="1"/>
        <v>Si</v>
      </c>
      <c r="T106" s="30" t="str">
        <f ca="1"/>
        <v>Guitarra</v>
      </c>
      <c r="U106" s="30" t="str">
        <f ca="1"/>
        <v>Diseño gráfico y Lenguajes</v>
      </c>
      <c r="V106" s="30" t="str">
        <f ca="1"/>
        <v>Me gusta limpiar y crear conexiones con las personas</v>
      </c>
      <c r="W106" s="16" t="str">
        <f ca="1"/>
        <v>B. Me gusta animar a las personas, J. Me gusta la atención a las personas, K. Soy creativo (a), L. Soy bueno (a) en canto o algún instrumento, O. Puedo enseñar con facilidad</v>
      </c>
      <c r="X106" s="16" t="str">
        <f ca="1"/>
        <v>Sí, 2022 y 2024</v>
      </c>
      <c r="Y106" s="30">
        <v>0</v>
      </c>
      <c r="Z106" s="23" t="s">
        <v>50</v>
      </c>
      <c r="AA106" s="23"/>
      <c r="AB106" s="23"/>
      <c r="AC106" s="23"/>
      <c r="AD106" s="23"/>
      <c r="AE106" s="23"/>
      <c r="AF106" s="23"/>
      <c r="AG106" s="23"/>
      <c r="AH106" s="23"/>
      <c r="AI106" s="23"/>
      <c r="AJ106" s="16" t="s">
        <v>122</v>
      </c>
      <c r="AK106" s="16"/>
      <c r="AL106" s="17"/>
    </row>
    <row r="107" spans="1:38" ht="12.75" x14ac:dyDescent="0.35">
      <c r="A107" s="9">
        <v>106</v>
      </c>
      <c r="B107" s="30" t="str">
        <f ca="1"/>
        <v>Elián, Hernández Macías</v>
      </c>
      <c r="C107" s="31">
        <f ca="1"/>
        <v>17</v>
      </c>
      <c r="D107" s="30" t="str">
        <f ca="1"/>
        <v>Hombre</v>
      </c>
      <c r="E107" s="30" t="str">
        <f ca="1"/>
        <v>Queretaro, Mexico</v>
      </c>
      <c r="F107" s="30" t="str">
        <f ca="1"/>
        <v>cimc.elian.hernandez@gmail.com</v>
      </c>
      <c r="G107" s="30">
        <f ca="1"/>
        <v>524421587273</v>
      </c>
      <c r="H107" s="30" t="str">
        <f ca="1"/>
        <v>Comunidad Jóvenes + 18 (14-19) Julio, Jóvenes de 13 – 17 años / SEM2/ (4 - 09 agosto), Jóvenes de 13 – 17 años / SEM3/ (11 - 16 agosto)</v>
      </c>
      <c r="I107" s="30" t="str">
        <f ca="1"/>
        <v>Diario Devocional de un año (Hora Silenciosa)</v>
      </c>
      <c r="J107" s="30" t="str">
        <f ca="1"/>
        <v>Conexión Vertical</v>
      </c>
      <c r="K107" s="30" t="str">
        <f ca="1"/>
        <v>Marcelo Jorquera</v>
      </c>
      <c r="L107" s="30">
        <f ca="1"/>
        <v>524411000876</v>
      </c>
      <c r="M107" s="30" t="str">
        <f ca="1"/>
        <v>mdjorquerap@gmail.com</v>
      </c>
      <c r="N107" s="30" t="str">
        <f ca="1"/>
        <v>Cafetería, Anfitriones, Líder de Jovenes</v>
      </c>
      <c r="O107" s="30" t="str">
        <f ca="1"/>
        <v>Yo entendí el evangelio muy chico. Racionalmente, sabía que Cristo había venido para darnos salvación, pero no dimensionaba lo que eso significaba para mi vida. Vivía una fé prestada, y en el momento que empecé a buscar independencia, esa fe empezó a flaquear. Fue cuando me invitaron a esta iglesia que una luz brillo al fondo del túnel. Una noche agosto de 2023, mientras meditaba en mi semana de campamento, decidí finalmente entregar mi vida a Cristo. Decidí dejar de luchar solo contra mi pecado, pues mi necesidad de autosuficiencia me había vuelto renuente a aceptar involucrarme en el plan que Dios estaba ejecutando a mi alrededor. Gracias a esa invitación, no tengo que imaginarme como sería mi vida sin Cristo. Y ni siquiera puedo decir que ha sido el cambio más grande o maravilloso de mi vida, porque en ese momento comenzó una nueva vida. Y estoy agradecido por quienes se involucraron y oraron por mi, por que no puedo pensar en una sola cosa que yo haya hecho para merecer ayuda, y si en varias que ameritarían lo contrario. Por eso concluyo que esto no ha sido más que un regalo de pura gracia. Y estoy eternamente agradecido por que Dios me ha provisto de una comunidad con la que compartir esto.</v>
      </c>
      <c r="P107" s="30" t="str">
        <f ca="1"/>
        <v>Dios está trabajando en las vidas de los chicos que llegan a campamento y quiero ser parte de algo que fue tan importante para mi testimonio como lo podría ser para el de ellos</v>
      </c>
      <c r="Q107" s="30" t="str">
        <f ca="1"/>
        <v>Si</v>
      </c>
      <c r="R107" s="30" t="str">
        <f ca="1"/>
        <v>Atletismo y tennis</v>
      </c>
      <c r="S107" s="30" t="str">
        <f ca="1"/>
        <v>Si</v>
      </c>
      <c r="T107" s="30" t="str">
        <f ca="1"/>
        <v>Canto</v>
      </c>
      <c r="U107" s="30" t="str">
        <f ca="1"/>
        <v>Preparatoria A.C.E.</v>
      </c>
      <c r="V107" s="30" t="str">
        <f ca="1"/>
        <v>He trabajado como cajero y técnico en modelado 3d dental</v>
      </c>
      <c r="W107" s="16" t="str">
        <f ca="1"/>
        <v>B. Me gusta animar a las personas, C. Suelo buscar que el trabajo se realice en equipo, D. Me gustan los deportes, F. Soy eficiente en el trabajo con herramientas, equipos y maquinarias, G. Soy más eficiente en el trabajo individual, H. Soy organizado (a), I. Se me facilita el trabajo físico, K. Soy creativo (a), L. Soy bueno (a) en canto o algún instrumento, M. Soy bueno (a) con los números</v>
      </c>
      <c r="X107" s="16" t="str">
        <f ca="1"/>
        <v>Si, 2019, 2022, 2023 como campero y 2024 como equipante en lavado y programa</v>
      </c>
      <c r="Y107" s="30">
        <v>0</v>
      </c>
      <c r="Z107" s="23" t="s">
        <v>50</v>
      </c>
      <c r="AA107" s="23"/>
      <c r="AB107" s="23"/>
      <c r="AC107" s="23"/>
      <c r="AD107" s="23"/>
      <c r="AE107" s="23"/>
      <c r="AF107" s="23"/>
      <c r="AG107" s="23"/>
      <c r="AH107" s="23"/>
      <c r="AI107" s="23" t="s">
        <v>45</v>
      </c>
      <c r="AJ107" s="16"/>
      <c r="AK107" s="16"/>
      <c r="AL107" s="17"/>
    </row>
    <row r="108" spans="1:38" ht="12.75" x14ac:dyDescent="0.35">
      <c r="A108" s="9">
        <v>107</v>
      </c>
      <c r="B108" s="30" t="str">
        <f ca="1"/>
        <v>Jason Noe, Rodriguez</v>
      </c>
      <c r="C108" s="31">
        <f ca="1"/>
        <v>21</v>
      </c>
      <c r="D108" s="30" t="str">
        <f ca="1"/>
        <v>Hombre</v>
      </c>
      <c r="E108" s="30" t="str">
        <f ca="1"/>
        <v>Jalisco, Mexico</v>
      </c>
      <c r="F108" s="30" t="str">
        <f ca="1"/>
        <v>noe321236@gmail.com</v>
      </c>
      <c r="G108" s="30">
        <f ca="1"/>
        <v>523313851587</v>
      </c>
      <c r="H108" s="30" t="str">
        <f ca="1"/>
        <v>Semana de niños y niñas (21-25) Julio, Jóvenes de 13 – 17 años / SEM1/ (28 Julio a 02 de agosto)</v>
      </c>
      <c r="I108" s="30" t="str">
        <f ca="1"/>
        <v>Hora silenciosa</v>
      </c>
      <c r="J108" s="30" t="str">
        <f ca="1"/>
        <v>Iglesia Vida</v>
      </c>
      <c r="K108" s="30" t="str">
        <f ca="1"/>
        <v>Neftalí Rubio</v>
      </c>
      <c r="L108" s="30">
        <f ca="1"/>
        <v>524411036024</v>
      </c>
      <c r="M108" s="30" t="str">
        <f ca="1"/>
        <v>nefaly10@gmail.com</v>
      </c>
      <c r="N108" s="30" t="str">
        <f ca="1"/>
        <v>Lider de adolescentes</v>
      </c>
      <c r="O108" s="30" t="str">
        <f ca="1"/>
        <v>En un campamento de mi ciudad me compartieron</v>
      </c>
      <c r="P108" s="30" t="str">
        <f ca="1"/>
        <v>Ya he ido varias veces</v>
      </c>
      <c r="Q108" s="30" t="str">
        <f ca="1"/>
        <v>Si</v>
      </c>
      <c r="R108" s="30" t="str">
        <f ca="1"/>
        <v>Futbol y atletismo</v>
      </c>
      <c r="S108" s="30" t="str">
        <f ca="1"/>
        <v>No</v>
      </c>
      <c r="T108" s="30">
        <v>0</v>
      </c>
      <c r="U108" s="30" t="str">
        <f ca="1"/>
        <v>Trabajo</v>
      </c>
      <c r="V108" s="30" t="str">
        <f ca="1"/>
        <v>Soy muy agil</v>
      </c>
      <c r="W108" s="16" t="str">
        <f ca="1"/>
        <v>C. Suelo buscar que el trabajo se realice en equipo, D. Me gustan los deportes, J. Me gusta la atención a las personas, K. Soy creativo (a), M. Soy bueno (a) con los números</v>
      </c>
      <c r="X108" s="16" t="str">
        <f ca="1"/>
        <v>2019, 2022 y 2023</v>
      </c>
      <c r="Y108" s="30">
        <v>0</v>
      </c>
      <c r="Z108" s="23" t="s">
        <v>50</v>
      </c>
      <c r="AA108" s="23"/>
      <c r="AB108" s="23"/>
      <c r="AC108" s="23"/>
      <c r="AD108" s="23"/>
      <c r="AE108" s="23"/>
      <c r="AF108" s="23"/>
      <c r="AG108" s="23" t="s">
        <v>45</v>
      </c>
      <c r="AH108" s="23"/>
      <c r="AI108" s="23"/>
      <c r="AJ108" s="16"/>
      <c r="AK108" s="16"/>
      <c r="AL108" s="17"/>
    </row>
    <row r="109" spans="1:38" ht="12.75" x14ac:dyDescent="0.35">
      <c r="A109" s="9">
        <v>108</v>
      </c>
      <c r="B109" s="20" t="str">
        <f ca="1"/>
        <v>Abigail, Mundo Gopar</v>
      </c>
      <c r="C109" s="33">
        <f ca="1"/>
        <v>28</v>
      </c>
      <c r="D109" s="20" t="str">
        <f ca="1"/>
        <v>Mujer</v>
      </c>
      <c r="E109" s="20" t="str">
        <f ca="1"/>
        <v>Morelos, Mexico</v>
      </c>
      <c r="F109" s="20" t="str">
        <f ca="1"/>
        <v>abimugo14@gmail.com</v>
      </c>
      <c r="G109" s="20">
        <f ca="1"/>
        <v>527777878571</v>
      </c>
      <c r="H109" s="20" t="str">
        <f ca="1"/>
        <v>Semana de entrenamiento (07 - 13) Julio, Comunidad Jóvenes + 18 (14-19) Julio</v>
      </c>
      <c r="I109" s="20" t="str">
        <f ca="1"/>
        <v>Bible in 52 weeks</v>
      </c>
      <c r="J109" s="20" t="str">
        <f ca="1"/>
        <v>Rey de Reyes Cuernavaca</v>
      </c>
      <c r="K109" s="20" t="str">
        <f ca="1"/>
        <v>Luis Mundo</v>
      </c>
      <c r="L109" s="20">
        <f ca="1"/>
        <v>527771611124</v>
      </c>
      <c r="M109" s="20" t="str">
        <f ca="1"/>
        <v>luismundo61@gmail.com</v>
      </c>
      <c r="N109" s="20" t="str">
        <f ca="1"/>
        <v>Líder de alabanza</v>
      </c>
      <c r="O109" s="20" t="str">
        <f ca="1"/>
        <v>Nací en hogar cristiano y siempre estuve envuelta en actividades de la iglesia, a los 8 años en un congreso recibí a Jesús en mi corazon y a los 19 un llamado específico para servir a Dios de manera especial</v>
      </c>
      <c r="P109" s="20" t="str">
        <f ca="1"/>
        <v>Me encantan los campamentos y siempre he querido estar en uno de los suyos, por la edad creo que puedo aportar algo en el área que me pidan (:</v>
      </c>
      <c r="Q109" s="20" t="str">
        <f ca="1"/>
        <v>Si</v>
      </c>
      <c r="R109" s="20" t="str">
        <f ca="1"/>
        <v>He jugado fútbol y bádminton</v>
      </c>
      <c r="S109" s="20" t="str">
        <f ca="1"/>
        <v>Si</v>
      </c>
      <c r="T109" s="20" t="str">
        <f ca="1"/>
        <v>Guitarra y básico de teclado y batería</v>
      </c>
      <c r="U109" s="20" t="str">
        <f ca="1"/>
        <v>Soy maestra de Inglés</v>
      </c>
      <c r="V109" s="20" t="str">
        <f ca="1"/>
        <v>Soy licenciada en la enseñanza del inglés y estudié teología en un seminario cristiano</v>
      </c>
      <c r="W109" s="21" t="str">
        <f ca="1"/>
        <v>B. Me gusta animar a las personas, C. Suelo buscar que el trabajo se realice en equipo, D. Me gustan los deportes, H. Soy organizado (a), J. Me gusta la atención a las personas, L. Soy bueno (a) en canto o algún instrumento, N. Suelo llevar el liderazgo en un grupo, O. Puedo enseñar con facilidad</v>
      </c>
      <c r="X109" s="21" t="str">
        <f ca="1"/>
        <v>No, nunca :(</v>
      </c>
      <c r="Y109" s="20">
        <v>0</v>
      </c>
      <c r="Z109" s="22" t="s">
        <v>28</v>
      </c>
      <c r="AA109" s="22"/>
      <c r="AB109" s="22"/>
      <c r="AC109" s="22"/>
      <c r="AD109" s="23"/>
      <c r="AE109" s="23"/>
      <c r="AF109" s="23"/>
      <c r="AG109" s="23"/>
      <c r="AH109" s="23"/>
      <c r="AI109" s="23"/>
      <c r="AJ109" s="16" t="s">
        <v>123</v>
      </c>
      <c r="AK109" s="16"/>
      <c r="AL109" s="17"/>
    </row>
    <row r="110" spans="1:38" ht="12.75" x14ac:dyDescent="0.35">
      <c r="A110" s="9">
        <v>109</v>
      </c>
      <c r="B110" s="30" t="str">
        <f ca="1"/>
        <v>Fabiola del Rocío, Carrasco Hernández</v>
      </c>
      <c r="C110" s="31">
        <f ca="1"/>
        <v>31</v>
      </c>
      <c r="D110" s="30" t="str">
        <f ca="1"/>
        <v>Mujer</v>
      </c>
      <c r="E110" s="30" t="str">
        <f ca="1"/>
        <v>Chiapas, Mexico</v>
      </c>
      <c r="F110" s="30" t="str">
        <f ca="1"/>
        <v>snabsion@hotmail.com</v>
      </c>
      <c r="G110" s="30">
        <f ca="1"/>
        <v>529611110281</v>
      </c>
      <c r="H110" s="30" t="str">
        <f ca="1"/>
        <v>Semana de entrenamiento (07 - 13) Julio, Semana de niños y niñas (21-25) Julio, Jóvenes de 13 – 17 años / SEM1/ (28 Julio a 02 de agosto)</v>
      </c>
      <c r="I110" s="30" t="str">
        <f ca="1"/>
        <v>Tiempo con Dios es vida viva</v>
      </c>
      <c r="J110" s="30" t="str">
        <f ca="1"/>
        <v>Comunidad viña de Dios</v>
      </c>
      <c r="K110" s="30" t="str">
        <f ca="1"/>
        <v>Pedro Pablo Alfaro Gónzalez</v>
      </c>
      <c r="L110" s="30">
        <f ca="1"/>
        <v>529613644869</v>
      </c>
      <c r="M110" s="30" t="str">
        <f ca="1"/>
        <v>ppalfaro_g@hotmail.com</v>
      </c>
      <c r="N110" s="30" t="str">
        <f ca="1"/>
        <v>Maestra de niños</v>
      </c>
      <c r="O110" s="30" t="str">
        <f ca="1"/>
        <v>A la edad de 13 años comencé a llegar a una iglesia cristiana donde empecé a conocer de Dios y comprendo el gran amor que Èl me tiene, que mando a su hijo para darme perdón y vida eterna</v>
      </c>
      <c r="P110" s="30" t="str">
        <f ca="1"/>
        <v>Me gustaría formar parte del equipo de verano ya que sería una nueva experiencia que tendría en servir a Dios</v>
      </c>
      <c r="Q110" s="30" t="str">
        <f ca="1"/>
        <v>Si</v>
      </c>
      <c r="R110" s="30" t="str">
        <f ca="1"/>
        <v>Natación</v>
      </c>
      <c r="S110" s="30" t="str">
        <f ca="1"/>
        <v>No</v>
      </c>
      <c r="T110" s="30">
        <v>0</v>
      </c>
      <c r="U110" s="30" t="str">
        <f ca="1"/>
        <v>Estudie psicología</v>
      </c>
      <c r="V110" s="30" t="str">
        <f ca="1"/>
        <v>Soy psicóloga</v>
      </c>
      <c r="W110" s="16" t="str">
        <f ca="1"/>
        <v>C. Suelo buscar que el trabajo se realice en equipo, D. Me gustan los deportes, E. Me gusta el trabajo con niños, H. Soy organizado (a), I. Se me facilita el trabajo físico, J. Me gusta la atención a las personas, O. Puedo enseñar con facilidad</v>
      </c>
      <c r="X110" s="16" t="str">
        <f ca="1"/>
        <v>Si , authentic en el 2023</v>
      </c>
      <c r="Y110" s="30">
        <v>0</v>
      </c>
      <c r="Z110" s="23" t="s">
        <v>25</v>
      </c>
      <c r="AA110" s="23"/>
      <c r="AB110" s="23"/>
      <c r="AC110" s="23"/>
      <c r="AD110" s="23"/>
      <c r="AE110" s="23"/>
      <c r="AF110" s="23"/>
      <c r="AG110" s="23"/>
      <c r="AH110" s="23"/>
      <c r="AI110" s="23"/>
      <c r="AJ110" s="16"/>
      <c r="AK110" s="16"/>
      <c r="AL110" s="17"/>
    </row>
    <row r="111" spans="1:38" ht="25.5" x14ac:dyDescent="0.35">
      <c r="A111" s="9">
        <v>110</v>
      </c>
      <c r="B111" s="30" t="str">
        <f ca="1"/>
        <v>Gustavo, Alcantara</v>
      </c>
      <c r="C111" s="31">
        <f ca="1"/>
        <v>20</v>
      </c>
      <c r="D111" s="30" t="str">
        <f ca="1"/>
        <v>Hombre</v>
      </c>
      <c r="E111" s="30" t="str">
        <f ca="1"/>
        <v>Mexico City, Mexico</v>
      </c>
      <c r="F111" s="30" t="str">
        <f ca="1"/>
        <v>galcantara701@gmail.com</v>
      </c>
      <c r="G111" s="30">
        <f ca="1"/>
        <v>527291067771</v>
      </c>
      <c r="H111" s="30" t="str">
        <f ca="1"/>
        <v>Semana de entrenamiento (07 - 13) Julio, Comunidad Jóvenes + 18 (14-19) Julio, Semana de niños y niñas (21-25) Julio, Jóvenes de 13 – 17 años / SEM1/ (28 Julio a 02 de agosto)</v>
      </c>
      <c r="I111" s="30" t="str">
        <f ca="1"/>
        <v>San Juan</v>
      </c>
      <c r="J111" s="30" t="str">
        <f ca="1"/>
        <v>El Divino Salvador</v>
      </c>
      <c r="K111" s="30" t="str">
        <f ca="1"/>
        <v>David Velázquez</v>
      </c>
      <c r="L111" s="30">
        <f ca="1"/>
        <v>527224605980</v>
      </c>
      <c r="M111" s="30" t="str">
        <f ca="1"/>
        <v>davelaz4444@yahoo.com.mx</v>
      </c>
      <c r="N111" s="30" t="str">
        <f ca="1"/>
        <v>David Velázquez</v>
      </c>
      <c r="O111" s="30" t="str">
        <f ca="1"/>
        <v>Siempre e ido a la iglesia desde que nací voy al templo los domingos o luego asisto a eventos que hace la iglesia pero me gustaría poder compartir de la palabra de Dios a más gente poder estar más cerca de Dios como tal no tengo un testimonio pero me gustaría poder compartir la palabra de Dios</v>
      </c>
      <c r="P111" s="30" t="str">
        <f ca="1"/>
        <v>Tiene ya varios años que voy al campamento y me gusta mucho pero siento que ya es tiempo de poder ayudarle en algo o poder compartir a los que van la palabra como algunas vez a mi me la compartieron</v>
      </c>
      <c r="Q111" s="30" t="str">
        <f ca="1"/>
        <v>Si</v>
      </c>
      <c r="R111" s="30" t="str">
        <f ca="1"/>
        <v>Bici de montaña</v>
      </c>
      <c r="S111" s="30" t="str">
        <f ca="1"/>
        <v>No</v>
      </c>
      <c r="T111" s="30">
        <v>0</v>
      </c>
      <c r="U111" s="30" t="str">
        <f ca="1"/>
        <v>No estudio</v>
      </c>
      <c r="V111" s="30" t="str">
        <f ca="1"/>
        <v>Trabajo</v>
      </c>
      <c r="W111" s="16" t="str">
        <f ca="1"/>
        <v>B. Me gusta animar a las personas, D. Me gustan los deportes, E. Me gusta el trabajo con niños, N. Suelo llevar el liderazgo en un grupo, O. Puedo enseñar con facilidad</v>
      </c>
      <c r="X111" s="16" t="str">
        <f ca="1"/>
        <v>Del 2020 al 2024</v>
      </c>
      <c r="Y111" s="30">
        <v>0</v>
      </c>
      <c r="Z111" s="23" t="s">
        <v>50</v>
      </c>
      <c r="AA111" s="23"/>
      <c r="AB111" s="23"/>
      <c r="AC111" s="23"/>
      <c r="AD111" s="23"/>
      <c r="AE111" s="23"/>
      <c r="AF111" s="23"/>
      <c r="AG111" s="23"/>
      <c r="AH111" s="23"/>
      <c r="AI111" s="23"/>
      <c r="AJ111" s="16" t="s">
        <v>124</v>
      </c>
      <c r="AK111" s="16"/>
      <c r="AL111" s="17"/>
    </row>
    <row r="112" spans="1:38" ht="25.5" x14ac:dyDescent="0.35">
      <c r="A112" s="9">
        <v>111</v>
      </c>
      <c r="B112" s="30" t="str">
        <f ca="1"/>
        <v>Carlos Efrain, Muñoz Rivera</v>
      </c>
      <c r="C112" s="31">
        <f ca="1"/>
        <v>28</v>
      </c>
      <c r="D112" s="30" t="str">
        <f ca="1"/>
        <v>Hombre</v>
      </c>
      <c r="E112" s="30" t="str">
        <f ca="1"/>
        <v>Mexico City, Mexico</v>
      </c>
      <c r="F112" s="30" t="str">
        <f ca="1"/>
        <v>efrainmurivera96@gmail.com</v>
      </c>
      <c r="G112" s="30">
        <f ca="1"/>
        <v>525580202488</v>
      </c>
      <c r="H112" s="30" t="str">
        <f ca="1"/>
        <v>Semana de entrenamiento (07 - 13) Julio, Comunidad Jóvenes + 18 (14-19) Julio, Jóvenes de 13 – 17 años / SEM1/ (28 Julio a 02 de agosto), Jóvenes de 13 – 17 años / SEM2/ (4 - 09 agosto)</v>
      </c>
      <c r="I112" s="30" t="str">
        <f ca="1"/>
        <v>Ebenezer</v>
      </c>
      <c r="J112" s="30" t="str">
        <f ca="1"/>
        <v>Dunamis</v>
      </c>
      <c r="K112" s="30" t="str">
        <f ca="1"/>
        <v>Emanuel Lopez chaparro</v>
      </c>
      <c r="L112" s="30">
        <f ca="1"/>
        <v>525528054570</v>
      </c>
      <c r="M112" s="30" t="str">
        <f ca="1"/>
        <v>luisemmanuellopez@yahoo.com.mx</v>
      </c>
      <c r="N112" s="30" t="str">
        <f ca="1"/>
        <v>Producción, devocional , coro , anfitriones</v>
      </c>
      <c r="O112" s="30" t="str">
        <f ca="1"/>
        <v>Hace 7 años está en un punto de mi vida donde estaba apartado del Señor y mi vida corría peligro pero el Señor me dio otra oportunidad y desde ese día he trabajado para que mi vida lo glorifique</v>
      </c>
      <c r="P112" s="30" t="str">
        <f ca="1"/>
        <v>Estoy llamado a servir al Señor y a mi iglesia sea en el área quw sea</v>
      </c>
      <c r="Q112" s="30" t="str">
        <f ca="1"/>
        <v>No</v>
      </c>
      <c r="R112" s="30">
        <v>0</v>
      </c>
      <c r="S112" s="30" t="str">
        <f ca="1"/>
        <v>Si</v>
      </c>
      <c r="T112" s="30" t="str">
        <f ca="1"/>
        <v>Teclado</v>
      </c>
      <c r="U112" s="30" t="str">
        <f ca="1"/>
        <v>Instituto bíblico de Querétaro</v>
      </c>
      <c r="V112" s="30" t="str">
        <f ca="1"/>
        <v>Contador , finanzas , servicio</v>
      </c>
      <c r="W112" s="16" t="str">
        <f ca="1"/>
        <v>B. Me gusta animar a las personas, C. Suelo buscar que el trabajo se realice en equipo, D. Me gustan los deportes, I. Se me facilita el trabajo físico, K. Soy creativo (a), M. Soy bueno (a) con los números, N. Suelo llevar el liderazgo en un grupo</v>
      </c>
      <c r="X112" s="16" t="str">
        <f ca="1"/>
        <v>Temporada 2024 y equipante en la misma 2024</v>
      </c>
      <c r="Y112" s="30">
        <v>0</v>
      </c>
      <c r="Z112" s="23" t="s">
        <v>50</v>
      </c>
      <c r="AA112" s="23"/>
      <c r="AB112" s="23" t="s">
        <v>45</v>
      </c>
      <c r="AC112" s="23"/>
      <c r="AD112" s="23"/>
      <c r="AE112" s="23"/>
      <c r="AF112" s="23"/>
      <c r="AG112" s="23"/>
      <c r="AH112" s="23"/>
      <c r="AI112" s="23"/>
      <c r="AJ112" s="16" t="s">
        <v>125</v>
      </c>
      <c r="AK112" s="16"/>
      <c r="AL112" s="17"/>
    </row>
    <row r="113" spans="1:38" ht="12.75" x14ac:dyDescent="0.35">
      <c r="A113" s="9">
        <v>112</v>
      </c>
      <c r="B113" s="30" t="str">
        <f ca="1"/>
        <v>Josiah Daniel, Wolff Aguilar</v>
      </c>
      <c r="C113" s="31">
        <f ca="1"/>
        <v>17</v>
      </c>
      <c r="D113" s="30" t="str">
        <f ca="1"/>
        <v>Hombre</v>
      </c>
      <c r="E113" s="30" t="str">
        <f ca="1"/>
        <v>Sinaloa, Mexico</v>
      </c>
      <c r="F113" s="30" t="str">
        <f ca="1"/>
        <v>jdwolffa@gmail.com</v>
      </c>
      <c r="G113" s="30">
        <f ca="1"/>
        <v>526692653343</v>
      </c>
      <c r="H113" s="30" t="str">
        <f ca="1"/>
        <v>Semana de niños y niñas (21-25) Julio, Jóvenes de 13 – 17 años / SEM1/ (28 Julio a 02 de agosto)</v>
      </c>
      <c r="I113" s="30" t="str">
        <f ca="1"/>
        <v>Understanding Job</v>
      </c>
      <c r="J113" s="30" t="str">
        <f ca="1"/>
        <v>Vida</v>
      </c>
      <c r="K113" s="30" t="str">
        <f ca="1"/>
        <v>Neftali Rubio</v>
      </c>
      <c r="L113" s="30">
        <f ca="1"/>
        <v>524411036024</v>
      </c>
      <c r="M113" s="30" t="str">
        <f ca="1"/>
        <v>nefaly@gmail.com</v>
      </c>
      <c r="N113" s="30" t="str">
        <f ca="1"/>
        <v>Lider de jovenes, Bateria, multimedia</v>
      </c>
      <c r="O113" s="30" t="str">
        <f ca="1"/>
        <v>Nacido en familia tipo misionera, he estado ayudando en ministerios toda mi vida pero nocreia en si, en un momento de mi vida me estaba desviando mucho hacia al ateismo y en ese tiempo me meti mucho en el tema de apologetica y empece a leer C.S Lewis y me pego una frase de el que dice "si el cristianismo el falso no tiene importancia, pero si es verdadero es lo mas importante del mundo" en un momento de quebrantamiento pude rendir mi vida verdaderamente a Cristo y lo he estado siguiendo desde ese dia en adelante, con pruebas y todo, no siendo un seguidor de Cristo perfecto pero intentando rendirme a su voluntad cada dia en ves de la mia.</v>
      </c>
      <c r="P113" s="30" t="str">
        <f ca="1"/>
        <v>Me gusto la experiencia de estar sirviendo el año pasado y las personas que pude conocer y quisiera vivirlo otra vez</v>
      </c>
      <c r="Q113" s="30" t="str">
        <f ca="1"/>
        <v>Si</v>
      </c>
      <c r="R113" s="30" t="str">
        <f ca="1"/>
        <v>Basquet</v>
      </c>
      <c r="S113" s="30" t="str">
        <f ca="1"/>
        <v>Si</v>
      </c>
      <c r="T113" s="30" t="str">
        <f ca="1"/>
        <v>Bateria</v>
      </c>
      <c r="U113" s="30" t="str">
        <f ca="1"/>
        <v>Bachillerato con carrera tecnica en programacion</v>
      </c>
      <c r="V113" s="30" t="str">
        <f ca="1"/>
        <v>Programacion, manejo de herramientas, construccion, etc</v>
      </c>
      <c r="W113" s="16" t="str">
        <f ca="1"/>
        <v>A. Soy un discipulador activo, B. Me gusta animar a las personas, C. Suelo buscar que el trabajo se realice en equipo, D. Me gustan los deportes, G. Soy más eficiente en el trabajo individual, H. Soy organizado (a), I. Se me facilita el trabajo físico, L. Soy bueno (a) en canto o algún instrumento, M. Soy bueno (a) con los números, N. Suelo llevar el liderazgo en un grupo, O. Puedo enseñar con facilidad</v>
      </c>
      <c r="X113" s="16" t="str">
        <f ca="1"/>
        <v>No, pero si he servido</v>
      </c>
      <c r="Y113" s="30">
        <v>0</v>
      </c>
      <c r="Z113" s="23" t="s">
        <v>45</v>
      </c>
      <c r="AA113" s="23"/>
      <c r="AB113" s="23"/>
      <c r="AC113" s="23"/>
      <c r="AD113" s="23"/>
      <c r="AE113" s="23"/>
      <c r="AF113" s="23"/>
      <c r="AG113" s="23"/>
      <c r="AH113" s="23" t="s">
        <v>50</v>
      </c>
      <c r="AI113" s="23"/>
      <c r="AJ113" s="16"/>
      <c r="AK113" s="16"/>
      <c r="AL113" s="17"/>
    </row>
    <row r="114" spans="1:38" ht="12.75" x14ac:dyDescent="0.35">
      <c r="A114" s="9">
        <v>113</v>
      </c>
      <c r="B114" s="30" t="str">
        <f ca="1"/>
        <v>Estéfani, Albarran</v>
      </c>
      <c r="C114" s="31">
        <f ca="1"/>
        <v>23</v>
      </c>
      <c r="D114" s="30" t="str">
        <f ca="1"/>
        <v>Mujer</v>
      </c>
      <c r="E114" s="30" t="str">
        <f ca="1"/>
        <v>Guanajuato, Mexico</v>
      </c>
      <c r="F114" s="30" t="str">
        <f ca="1"/>
        <v>estafanialba8@gmail.com</v>
      </c>
      <c r="G114" s="30">
        <f ca="1"/>
        <v>524611159933</v>
      </c>
      <c r="H114" s="30" t="str">
        <f ca="1"/>
        <v>Semana de entrenamiento (07 - 13) Julio, Comunidad Jóvenes + 18 (14-19) Julio</v>
      </c>
      <c r="I114" s="30" t="str">
        <f ca="1"/>
        <v>Biblia</v>
      </c>
      <c r="J114" s="30" t="str">
        <f ca="1"/>
        <v>Abba Padre</v>
      </c>
      <c r="K114" s="30" t="str">
        <f ca="1"/>
        <v>Ignacio Martinez</v>
      </c>
      <c r="L114" s="30">
        <f ca="1"/>
        <v>524611848834</v>
      </c>
      <c r="M114" s="30" t="str">
        <f ca="1"/>
        <v>abbaimigrantes@gmail.com</v>
      </c>
      <c r="N114" s="30" t="str">
        <f ca="1"/>
        <v>maestra en la escuela dominical</v>
      </c>
      <c r="O114" s="30" t="str">
        <f ca="1"/>
        <v>Soy cristiana de cuna, pero empecé a tener una verdadera relación con Dios, hace algunos 2 años.</v>
      </c>
      <c r="P114" s="30" t="str">
        <f ca="1"/>
        <v>Porque desde pequeña asistí a los campamentos, y me encantaría poder reforzar mi relación.</v>
      </c>
      <c r="Q114" s="30" t="str">
        <f ca="1"/>
        <v>Si</v>
      </c>
      <c r="R114" s="30" t="str">
        <f ca="1"/>
        <v>Gym, runner.</v>
      </c>
      <c r="S114" s="30" t="str">
        <f ca="1"/>
        <v>No</v>
      </c>
      <c r="T114" s="30">
        <v>0</v>
      </c>
      <c r="U114" s="30" t="str">
        <f ca="1"/>
        <v>Ya terminé mi carrera soy arquitecta</v>
      </c>
      <c r="V114" s="30" t="str">
        <f ca="1"/>
        <v>Soy Arquitecta</v>
      </c>
      <c r="W114" s="16" t="str">
        <f ca="1"/>
        <v>A. Soy un discipulador activo, B. Me gusta animar a las personas, C. Suelo buscar que el trabajo se realice en equipo, E. Me gusta el trabajo con niños, H. Soy organizado (a), K. Soy creativo (a), N. Suelo llevar el liderazgo en un grupo, O. Puedo enseñar con facilidad</v>
      </c>
      <c r="X114" s="16" t="str">
        <f ca="1"/>
        <v>2012, 2013, ….. 2023</v>
      </c>
      <c r="Y114" s="30">
        <v>0</v>
      </c>
      <c r="Z114" s="23" t="s">
        <v>25</v>
      </c>
      <c r="AA114" s="23"/>
      <c r="AB114" s="23"/>
      <c r="AC114" s="23"/>
      <c r="AD114" s="23"/>
      <c r="AE114" s="23"/>
      <c r="AF114" s="23"/>
      <c r="AG114" s="23"/>
      <c r="AH114" s="23"/>
      <c r="AI114" s="23"/>
      <c r="AJ114" s="16" t="s">
        <v>126</v>
      </c>
      <c r="AK114" s="16"/>
      <c r="AL114" s="17"/>
    </row>
    <row r="115" spans="1:38" ht="12.75" x14ac:dyDescent="0.35">
      <c r="A115" s="9">
        <v>114</v>
      </c>
      <c r="B115" s="30" t="str">
        <f ca="1"/>
        <v>Catherine Aline, Castillo Rodríguez</v>
      </c>
      <c r="C115" s="31">
        <f ca="1"/>
        <v>16</v>
      </c>
      <c r="D115" s="30" t="str">
        <f ca="1"/>
        <v>Mujer</v>
      </c>
      <c r="E115" s="30" t="str">
        <f ca="1"/>
        <v>Mexico City, Mexico</v>
      </c>
      <c r="F115" s="30" t="str">
        <f ca="1"/>
        <v>alinr2776@gmail.com</v>
      </c>
      <c r="G115" s="30">
        <f ca="1"/>
        <v>525578467207</v>
      </c>
      <c r="H115" s="30" t="str">
        <f ca="1"/>
        <v>Semana de niños y niñas (21-25) Julio</v>
      </c>
      <c r="I115" s="30" t="str">
        <f ca="1"/>
        <v>Gloryfi</v>
      </c>
      <c r="J115" s="30" t="str">
        <f ca="1"/>
        <v>Iglesia bautista Bethel</v>
      </c>
      <c r="K115" s="30" t="str">
        <f ca="1"/>
        <v>Jose Luis sosa</v>
      </c>
      <c r="L115" s="30">
        <f ca="1"/>
        <v>525555603677</v>
      </c>
      <c r="M115" s="30" t="str">
        <f ca="1"/>
        <v>jlsosag@bethel.org.mx</v>
      </c>
      <c r="N115" s="30" t="str">
        <f ca="1"/>
        <v>Ministerio de enseñanza en niñez</v>
      </c>
      <c r="O115" s="30" t="str">
        <f ca="1"/>
        <v>Antes de aceptar a cristo era una persona enojona no me importaba la palabra de dios le faltaba al respeto a mi madre como es mi vida ahora deje de enojarme por cualquier cosa ya no le faltó el respeto a mi mamá leo la palabra de dios y trabajo en  la hija que Dios quiere que sea  y trato de cuidar mi testimonio</v>
      </c>
      <c r="P115" s="30" t="str">
        <f ca="1"/>
        <v>Por qué quiero aprender nuevas cosas en este curso de verano y por qué me gusta interactuar con niños</v>
      </c>
      <c r="Q115" s="30" t="str">
        <f ca="1"/>
        <v>Si</v>
      </c>
      <c r="R115" s="30" t="str">
        <f ca="1"/>
        <v>Softball</v>
      </c>
      <c r="S115" s="30" t="str">
        <f ca="1"/>
        <v>No</v>
      </c>
      <c r="T115" s="30">
        <v>0</v>
      </c>
      <c r="U115" s="30" t="str">
        <f ca="1"/>
        <v>Preparatoria</v>
      </c>
      <c r="V115" s="30" t="str">
        <f ca="1"/>
        <v>Bailar, cantar, soy social, liderazgo, iniciativa, trabajo en equipo,se poner uñas y pestañas</v>
      </c>
      <c r="W115" s="16" t="str">
        <f ca="1"/>
        <v>A. Soy un discipulador activo, B. Me gusta animar a las personas, C. Suelo buscar que el trabajo se realice en equipo, E. Me gusta el trabajo con niños, J. Me gusta la atención a las personas, K. Soy creativo (a), L. Soy bueno (a) en canto o algún instrumento, N. Suelo llevar el liderazgo en un grupo, O. Puedo enseñar con facilidad</v>
      </c>
      <c r="X115" s="16" t="str">
        <f ca="1"/>
        <v>Si 2023</v>
      </c>
      <c r="Y115" s="30">
        <v>0</v>
      </c>
      <c r="Z115" s="23" t="s">
        <v>51</v>
      </c>
      <c r="AA115" s="23" t="s">
        <v>25</v>
      </c>
      <c r="AB115" s="23"/>
      <c r="AC115" s="23"/>
      <c r="AD115" s="23"/>
      <c r="AE115" s="23"/>
      <c r="AF115" s="23"/>
      <c r="AG115" s="23"/>
      <c r="AH115" s="23"/>
      <c r="AI115" s="23"/>
      <c r="AJ115" s="16" t="s">
        <v>116</v>
      </c>
      <c r="AK115" s="16"/>
      <c r="AL115" s="17"/>
    </row>
    <row r="116" spans="1:38" ht="12.75" x14ac:dyDescent="0.35">
      <c r="A116" s="9">
        <v>115</v>
      </c>
      <c r="B116" s="30" t="str">
        <f ca="1"/>
        <v>DALAI, TAPIA TAPIA</v>
      </c>
      <c r="C116" s="31">
        <f ca="1"/>
        <v>20</v>
      </c>
      <c r="D116" s="30" t="str">
        <f ca="1"/>
        <v>Hombre</v>
      </c>
      <c r="E116" s="30" t="str">
        <f ca="1"/>
        <v>Mexico City, Mexico</v>
      </c>
      <c r="F116" s="30" t="str">
        <f ca="1"/>
        <v>dalaitapia27@gmail.com</v>
      </c>
      <c r="G116" s="30">
        <f ca="1"/>
        <v>525529044109</v>
      </c>
      <c r="H116" s="30" t="str">
        <f ca="1"/>
        <v>Jóvenes de 13 – 17 años / SEM1/ (28 Julio a 02 de agosto)</v>
      </c>
      <c r="I116" s="30" t="str">
        <f ca="1"/>
        <v>No llevo un devocional en especial pero estudio un pasaje de la biblia y anoto mis obsevaciones</v>
      </c>
      <c r="J116" s="30" t="str">
        <f ca="1"/>
        <v>Iglesia Cristiana Bautista San Juan Ixtayopan</v>
      </c>
      <c r="K116" s="30" t="str">
        <f ca="1"/>
        <v>Pedro Ramirez Perez</v>
      </c>
      <c r="L116" s="30">
        <f ca="1"/>
        <v>525535075750</v>
      </c>
      <c r="M116" s="30" t="str">
        <f ca="1"/>
        <v>Pedroclasic@gmail.com</v>
      </c>
      <c r="N116" s="30" t="str">
        <f ca="1"/>
        <v>Servidor</v>
      </c>
      <c r="O116" s="30" t="str">
        <f ca="1"/>
        <v>Desde muy pequeño fui parte de la Iglesia pero conforme fui creciendo deje de mostrar que conocía Dios y comencé a comportarme como cualquier otra persona y también había un pecado que no dejaba lo cual me llevo a ir a la iglesia mas como rutina que por gusto propio.
No fue hasta que me sentí harto de mi forma de vida que comencé realmente a interesarme en agradar a Dios que volví a sentir tranquilidad y volví a tener gusto de hacer cosas nuevamente.</v>
      </c>
      <c r="P116" s="30" t="str">
        <f ca="1"/>
        <v>He ido muchos años al campamento y creo que es hora de que también pueda ayudar con mi servicio a muchos niños que es la primera vez que van.</v>
      </c>
      <c r="Q116" s="30" t="str">
        <f ca="1"/>
        <v>Si</v>
      </c>
      <c r="R116" s="30" t="str">
        <f ca="1"/>
        <v>Represento a mi universidad en Atletismo y aparte practico ciclismo y natación de forma recreativa</v>
      </c>
      <c r="S116" s="30" t="str">
        <f ca="1"/>
        <v>No</v>
      </c>
      <c r="T116" s="30">
        <v>0</v>
      </c>
      <c r="U116" s="30" t="str">
        <f ca="1"/>
        <v>Estudio Ingeniería Petrolera en UNAM</v>
      </c>
      <c r="V116" s="30" t="str">
        <f ca="1"/>
        <v>En vacaciones trabajo con mi papá en su carnicería</v>
      </c>
      <c r="W116" s="16" t="str">
        <f ca="1"/>
        <v>B. Me gusta animar a las personas, C. Suelo buscar que el trabajo se realice en equipo, D. Me gustan los deportes, F. Soy eficiente en el trabajo con herramientas, equipos y maquinarias, I. Se me facilita el trabajo físico, K. Soy creativo (a), M. Soy bueno (a) con los números, O. Puedo enseñar con facilidad</v>
      </c>
      <c r="X116" s="16" t="str">
        <f ca="1"/>
        <v>No recuerdo, pero he ido 5 años y la ultima vez fue en el 2023</v>
      </c>
      <c r="Y116" s="30">
        <v>0</v>
      </c>
      <c r="Z116" s="23" t="s">
        <v>50</v>
      </c>
      <c r="AA116" s="23"/>
      <c r="AB116" s="23"/>
      <c r="AC116" s="23"/>
      <c r="AD116" s="23"/>
      <c r="AE116" s="23"/>
      <c r="AF116" s="23"/>
      <c r="AG116" s="23"/>
      <c r="AH116" s="23"/>
      <c r="AI116" s="23"/>
      <c r="AJ116" s="16"/>
      <c r="AK116" s="16"/>
      <c r="AL116" s="17"/>
    </row>
    <row r="117" spans="1:38" ht="12.75" x14ac:dyDescent="0.35">
      <c r="A117" s="9">
        <v>116</v>
      </c>
      <c r="B117" s="30" t="str">
        <f ca="1"/>
        <v>Francisco, Bocanegra Jiménez</v>
      </c>
      <c r="C117" s="31">
        <f ca="1"/>
        <v>18</v>
      </c>
      <c r="D117" s="30" t="str">
        <f ca="1"/>
        <v>Hombre</v>
      </c>
      <c r="E117" s="30" t="str">
        <f ca="1"/>
        <v>Veracruz, Mexico</v>
      </c>
      <c r="F117" s="30" t="str">
        <f ca="1"/>
        <v>bocanegrafrancisco13@gmail.com</v>
      </c>
      <c r="G117" s="30">
        <f ca="1"/>
        <v>522722265025</v>
      </c>
      <c r="H117" s="30" t="str">
        <f ca="1"/>
        <v>Semana de entrenamiento (07 - 13) Julio, Comunidad Jóvenes + 18 (14-19) Julio</v>
      </c>
      <c r="I117" s="30" t="str">
        <f ca="1"/>
        <v>La Bliblia</v>
      </c>
      <c r="J117" s="30" t="str">
        <f ca="1"/>
        <v>Gracias Sublime</v>
      </c>
      <c r="K117" s="30" t="str">
        <f ca="1"/>
        <v>Francisco Bocanegra</v>
      </c>
      <c r="L117" s="30">
        <f ca="1"/>
        <v>522722265025</v>
      </c>
      <c r="M117" s="30" t="str">
        <f ca="1"/>
        <v>franciscobocanegra13@gmail.com</v>
      </c>
      <c r="N117" s="30" t="str">
        <f ca="1"/>
        <v>Alabanza</v>
      </c>
      <c r="O117" s="30" t="str">
        <f ca="1"/>
        <v>Tenía siete años, y mi mamá me explicó el mensaje de salvación, y ese día lo acepté</v>
      </c>
      <c r="P117" s="30" t="str">
        <f ca="1"/>
        <v>Porque quiero obedecer a Dios y poner mi vida a su disposición, y esta manera de hacerlo en palabra de vida, me gusta mucho</v>
      </c>
      <c r="Q117" s="30" t="str">
        <f ca="1"/>
        <v>Si</v>
      </c>
      <c r="R117" s="30" t="str">
        <f ca="1"/>
        <v>Basquetbol</v>
      </c>
      <c r="S117" s="30" t="str">
        <f ca="1"/>
        <v>Si</v>
      </c>
      <c r="T117" s="30" t="str">
        <f ca="1"/>
        <v>Piano</v>
      </c>
      <c r="U117" s="30" t="str">
        <f ca="1"/>
        <v>La prepa</v>
      </c>
      <c r="V117" s="30" t="str">
        <f ca="1"/>
        <v>Tocar piano</v>
      </c>
      <c r="W117" s="16" t="str">
        <f ca="1"/>
        <v>B. Me gusta animar a las personas, C. Suelo buscar que el trabajo se realice en equipo, D. Me gustan los deportes, E. Me gusta el trabajo con niños, F. Soy eficiente en el trabajo con herramientas, equipos y maquinarias, I. Se me facilita el trabajo físico, J. Me gusta la atención a las personas, K. Soy creativo (a), L. Soy bueno (a) en canto o algún instrumento</v>
      </c>
      <c r="X117" s="16" t="str">
        <f ca="1"/>
        <v>Si, dos veces</v>
      </c>
      <c r="Y117" s="30">
        <v>0</v>
      </c>
      <c r="Z117" s="23" t="s">
        <v>50</v>
      </c>
      <c r="AA117" s="23"/>
      <c r="AB117" s="23"/>
      <c r="AC117" s="23"/>
      <c r="AD117" s="23"/>
      <c r="AE117" s="23"/>
      <c r="AF117" s="23"/>
      <c r="AG117" s="23"/>
      <c r="AH117" s="23"/>
      <c r="AI117" s="23" t="s">
        <v>45</v>
      </c>
      <c r="AJ117" s="16" t="s">
        <v>127</v>
      </c>
      <c r="AK117" s="16"/>
      <c r="AL117" s="17"/>
    </row>
    <row r="118" spans="1:38" ht="12.75" x14ac:dyDescent="0.35">
      <c r="A118" s="9">
        <v>117</v>
      </c>
      <c r="B118" s="30" t="str">
        <f ca="1"/>
        <v>Alexa, Valle Alducin</v>
      </c>
      <c r="C118" s="31">
        <f ca="1"/>
        <v>150</v>
      </c>
      <c r="D118" s="30" t="str">
        <f ca="1"/>
        <v>Mujer</v>
      </c>
      <c r="E118" s="30" t="str">
        <f ca="1"/>
        <v>Queretaro, Mexico</v>
      </c>
      <c r="F118" s="30" t="str">
        <f ca="1"/>
        <v>alexa.vallerca@gmail.com</v>
      </c>
      <c r="G118" s="30">
        <f ca="1"/>
        <v>527778541446</v>
      </c>
      <c r="H118" s="30" t="str">
        <f ca="1"/>
        <v>Semana de entrenamiento (07 - 13) Julio, Jóvenes de 13 – 17 años / SEM2/ (4 - 09 agosto)</v>
      </c>
      <c r="I118" s="30" t="str">
        <f ca="1"/>
        <v>Nuevas misericordias cada mañana</v>
      </c>
      <c r="J118" s="30" t="str">
        <f ca="1"/>
        <v>Vida nueva para el mundo qro</v>
      </c>
      <c r="K118" s="30" t="str">
        <f ca="1"/>
        <v>David Alducin</v>
      </c>
      <c r="L118" s="30">
        <f ca="1"/>
        <v>527729808024</v>
      </c>
      <c r="M118" s="30" t="str">
        <f ca="1"/>
        <v>iti_@live.com.mx</v>
      </c>
      <c r="N118" s="30" t="str">
        <f ca="1"/>
        <v>Fotografía</v>
      </c>
      <c r="O118" s="30" t="str">
        <f ca="1"/>
        <v>Recibí a Jesús en un campamento de PV cuando tenía 13 años, toda mi vida he escuchado del evangelio pero mi corazón nunca se había quebrantado, lo recibí con mi consejera</v>
      </c>
      <c r="P118" s="30" t="str">
        <f ca="1"/>
        <v>Pues me gustaría vivir la experiencia ya de el lado de los equipantes porque llevo muchos años llendo como campera y me encanta lo que el campa hace en la vida de la gente y me gustaría alcanzar más vidas de una manera diferente</v>
      </c>
      <c r="Q118" s="30" t="str">
        <f ca="1"/>
        <v>Si</v>
      </c>
      <c r="R118" s="30" t="str">
        <f ca="1"/>
        <v>Basketball</v>
      </c>
      <c r="S118" s="30" t="str">
        <f ca="1"/>
        <v>No</v>
      </c>
      <c r="T118" s="30">
        <v>0</v>
      </c>
      <c r="U118" s="30" t="str">
        <f ca="1"/>
        <v>La escuela</v>
      </c>
      <c r="V118" s="30" t="str">
        <f ca="1"/>
        <v>Me gusta tomar fotos y llevo 4 años jugando mi deporte</v>
      </c>
      <c r="W118" s="16" t="str">
        <f ca="1"/>
        <v>B. Me gusta animar a las personas, C. Suelo buscar que el trabajo se realice en equipo, D. Me gustan los deportes, H. Soy organizado (a), K. Soy creativo (a), N. Suelo llevar el liderazgo en un grupo, O. Puedo enseñar con facilidad</v>
      </c>
      <c r="X118" s="16" t="str">
        <f ca="1"/>
        <v>En la semana de jóvenes</v>
      </c>
      <c r="Y118" s="30">
        <v>0</v>
      </c>
      <c r="Z118" s="23" t="s">
        <v>25</v>
      </c>
      <c r="AA118" s="23"/>
      <c r="AB118" s="23"/>
      <c r="AC118" s="23"/>
      <c r="AD118" s="23"/>
      <c r="AE118" s="23"/>
      <c r="AF118" s="23"/>
      <c r="AG118" s="23"/>
      <c r="AH118" s="23"/>
      <c r="AI118" s="23"/>
      <c r="AJ118" s="16" t="s">
        <v>128</v>
      </c>
      <c r="AK118" s="16"/>
      <c r="AL118" s="17"/>
    </row>
    <row r="119" spans="1:38" ht="12.75" x14ac:dyDescent="0.35">
      <c r="A119" s="9">
        <v>118</v>
      </c>
      <c r="B119" s="30" t="str">
        <f ca="1"/>
        <v>Lya, Esparza Tapia</v>
      </c>
      <c r="C119" s="31">
        <f ca="1"/>
        <v>18</v>
      </c>
      <c r="D119" s="30" t="str">
        <f ca="1"/>
        <v>Mujer</v>
      </c>
      <c r="E119" s="30" t="str">
        <f ca="1"/>
        <v>Mexico City, Mexico</v>
      </c>
      <c r="F119" s="30" t="str">
        <f ca="1"/>
        <v>lyaesparza290607@gmail.com</v>
      </c>
      <c r="G119" s="30">
        <f ca="1"/>
        <v>525613670649</v>
      </c>
      <c r="H119" s="30" t="str">
        <f ca="1"/>
        <v>Jóvenes de 13 – 17 años / SEM1/ (28 Julio a 02 de agosto)</v>
      </c>
      <c r="I119" s="30" t="str">
        <f ca="1"/>
        <v>No llevo un devocional específico</v>
      </c>
      <c r="J119" s="30" t="str">
        <f ca="1"/>
        <v>Iglesia Cristiana Bautista de San Juan Ixtayopan</v>
      </c>
      <c r="K119" s="30" t="str">
        <f ca="1"/>
        <v>Pedro Ramírez Pérez</v>
      </c>
      <c r="L119" s="30">
        <f ca="1"/>
        <v>525535075750</v>
      </c>
      <c r="M119" s="30" t="str">
        <f ca="1"/>
        <v>pedro.clasic@gmail.com</v>
      </c>
      <c r="N119" s="30" t="str">
        <f ca="1"/>
        <v>Multimedia</v>
      </c>
      <c r="O119" s="30" t="str">
        <f ca="1"/>
        <v>Desde pequeña eh asistido a la iglesia, siendo una niña destacada en todo, pero algo en mi estaba mal, no sentía ese amor por el servicio ni por Dios, conocí personas que hicieron que me alejara más de Dios de lo que ya estaba, por lo cual tomé muchas decisiones incorrectas por bastante tiempo, en ese momento no lo sabía pero me estaba arruinando completamente, hasta que llegó un momento en el cual yo ya no quería nada de todo lo que estaba teniendo en mi vida, pero no sabía cómo salir de ahí, llegué a campamento y conocí a una consejera la cual me hizo sentir en confianza inmediatamente, me escuchó y volvió a compartirme el mensaje de salvación pero en esta ocasión Dios tocó mi corazón, habló a mi vida y tuve ese momento de quebrantamiento que necesitaba, finalmente acepté a Dios en mi corazón y comencé a servir en mi iglesia con amor hacia el Señor.</v>
      </c>
      <c r="P119" s="30" t="str">
        <f ca="1"/>
        <v>Quiero poder ser parte del equipo para poder servir a Dios y ser testigo de como el Señor cambia la vida de muchos jóvenes durante campamento</v>
      </c>
      <c r="Q119" s="30" t="str">
        <f ca="1"/>
        <v>No</v>
      </c>
      <c r="R119" s="30">
        <v>0</v>
      </c>
      <c r="S119" s="30" t="str">
        <f ca="1"/>
        <v>Si</v>
      </c>
      <c r="T119" s="30" t="str">
        <f ca="1"/>
        <v>estoy aprendiendo a tocar el piano</v>
      </c>
      <c r="U119" s="30" t="str">
        <f ca="1"/>
        <v>Estudio en la preparatoria</v>
      </c>
      <c r="V119" s="30" t="str">
        <f ca="1"/>
        <v>me gusta animar a la gente, soy creativa y me gusta estar con los niños</v>
      </c>
      <c r="W119" s="16" t="str">
        <f ca="1"/>
        <v>B. Me gusta animar a las personas, C. Suelo buscar que el trabajo se realice en equipo, D. Me gustan los deportes, E. Me gusta el trabajo con niños, H. Soy organizado (a), K. Soy creativo (a), O. Puedo enseñar con facilidad</v>
      </c>
      <c r="X119" s="16" t="str">
        <f ca="1"/>
        <v>Si, desde 2022 eh asistido a todos los campamentos</v>
      </c>
      <c r="Y119" s="30">
        <v>0</v>
      </c>
      <c r="Z119" s="23" t="s">
        <v>51</v>
      </c>
      <c r="AA119" s="23" t="s">
        <v>25</v>
      </c>
      <c r="AB119" s="23"/>
      <c r="AC119" s="23"/>
      <c r="AD119" s="23"/>
      <c r="AE119" s="23"/>
      <c r="AF119" s="23"/>
      <c r="AG119" s="23"/>
      <c r="AH119" s="23"/>
      <c r="AI119" s="23"/>
      <c r="AJ119" s="16"/>
      <c r="AK119" s="16"/>
      <c r="AL119" s="17"/>
    </row>
    <row r="120" spans="1:38" ht="12.75" x14ac:dyDescent="0.35">
      <c r="A120" s="9">
        <v>119</v>
      </c>
      <c r="B120" s="30" t="str">
        <f ca="1"/>
        <v>Ricardo Aziel, Sala Bernáldez</v>
      </c>
      <c r="C120" s="31">
        <f ca="1"/>
        <v>23</v>
      </c>
      <c r="D120" s="30" t="str">
        <f ca="1"/>
        <v>Hombre</v>
      </c>
      <c r="E120" s="30" t="str">
        <f ca="1"/>
        <v>Chihuahua, Mexico</v>
      </c>
      <c r="F120" s="30" t="str">
        <f ca="1"/>
        <v>azielr2002@hotmail.com</v>
      </c>
      <c r="G120" s="30">
        <f ca="1"/>
        <v>528443577939</v>
      </c>
      <c r="H120" s="30" t="str">
        <f ca="1"/>
        <v>Semana de entrenamiento (07 - 13) Julio, Comunidad Jóvenes + 18 (14-19) Julio, Semana de niños y niñas (21-25) Julio, Jóvenes de 13 – 17 años / SEM1/ (28 Julio a 02 de agosto), Jóvenes de 13 – 17 años / SEM2/ (4 - 09 agosto)</v>
      </c>
      <c r="I120" s="30" t="str">
        <f ca="1"/>
        <v>Mentiras que los hombres creen de Robert Wolgemuth</v>
      </c>
      <c r="J120" s="30" t="str">
        <f ca="1"/>
        <v>Iglesia Bautista de la Capital.</v>
      </c>
      <c r="K120" s="30" t="str">
        <f ca="1"/>
        <v>Enio Jacintos Pineda.</v>
      </c>
      <c r="L120" s="30">
        <f ca="1"/>
        <v>528443577939</v>
      </c>
      <c r="M120" s="30" t="str">
        <f ca="1"/>
        <v>paspineda@gmail.com</v>
      </c>
      <c r="N120" s="30" t="str">
        <f ca="1"/>
        <v>Ministerio de alabanza.</v>
      </c>
      <c r="O120" s="30" t="str">
        <f ca="1"/>
        <v>Yo nací cuando mis padres ya eran cristianos. Sin embargo, no fue hasta los 17 que realmente comprendí el evangelio y la importancia de una vida integra y consagrada a Dios.</v>
      </c>
      <c r="P120" s="30" t="str">
        <f ca="1"/>
        <v>He asistido como campista años anteriores. Admiro la organización y el trabajo y esfuerzo que realizan para compartir del evangelio a los jóvenes de Latinoamérica y me gustaría aportar mi granito de arena en esta temporada.</v>
      </c>
      <c r="Q120" s="30" t="str">
        <f ca="1"/>
        <v>No</v>
      </c>
      <c r="R120" s="30">
        <v>0</v>
      </c>
      <c r="S120" s="30" t="str">
        <f ca="1"/>
        <v>Si</v>
      </c>
      <c r="T120" s="30" t="str">
        <f ca="1"/>
        <v>Piano</v>
      </c>
      <c r="U120" s="30" t="str">
        <f ca="1"/>
        <v>Maestría en Administración de empresas y mercadotecnia</v>
      </c>
      <c r="V120" s="30" t="str">
        <f ca="1"/>
        <v>Doscente</v>
      </c>
      <c r="W120" s="16" t="str">
        <f ca="1"/>
        <v>B. Me gusta animar a las personas, G. Soy más eficiente en el trabajo individual, K. Soy creativo (a), L. Soy bueno (a) en canto o algún instrumento, M. Soy bueno (a) con los números, O. Puedo enseñar con facilidad</v>
      </c>
      <c r="X120" s="16" t="str">
        <f ca="1"/>
        <v>Vuelve(2022) y Reinos(2024)</v>
      </c>
      <c r="Y120" s="30">
        <v>0</v>
      </c>
      <c r="Z120" s="23" t="s">
        <v>50</v>
      </c>
      <c r="AA120" s="23"/>
      <c r="AB120" s="23"/>
      <c r="AC120" s="23"/>
      <c r="AD120" s="23"/>
      <c r="AE120" s="23"/>
      <c r="AF120" s="23"/>
      <c r="AG120" s="23"/>
      <c r="AH120" s="23"/>
      <c r="AI120" s="23"/>
      <c r="AJ120" s="16"/>
      <c r="AK120" s="16"/>
      <c r="AL120" s="17"/>
    </row>
    <row r="121" spans="1:38" ht="12.75" x14ac:dyDescent="0.35">
      <c r="A121" s="9">
        <v>120</v>
      </c>
      <c r="B121" s="30" t="str">
        <f ca="1"/>
        <v>Isaac Mateo, Gómez Adame</v>
      </c>
      <c r="C121" s="31">
        <f ca="1"/>
        <v>16</v>
      </c>
      <c r="D121" s="30" t="str">
        <f ca="1"/>
        <v>Hombre</v>
      </c>
      <c r="E121" s="30" t="str">
        <f ca="1"/>
        <v>Coahuila, Mexico</v>
      </c>
      <c r="F121" s="30" t="str">
        <f ca="1"/>
        <v>imateogomeza@gmail.com</v>
      </c>
      <c r="G121" s="30">
        <f ca="1"/>
        <v>528443718905</v>
      </c>
      <c r="H121" s="30" t="str">
        <f ca="1"/>
        <v>Semana de entrenamiento (07 - 13) Julio, Comunidad Jóvenes + 18 (14-19) Julio, Semana de niños y niñas (21-25) Julio, Jóvenes de 13 – 17 años / SEM1/ (28 Julio a 02 de agosto), Jóvenes de 13 – 17 años / SEM2/ (4 - 09 agosto)</v>
      </c>
      <c r="I121" s="30" t="str">
        <f ca="1"/>
        <v>La Belleza de la Cruz</v>
      </c>
      <c r="J121" s="30" t="str">
        <f ca="1"/>
        <v>Iglesia Bautista La Capital</v>
      </c>
      <c r="K121" s="30" t="str">
        <f ca="1"/>
        <v>Enio Jacintos Pineda</v>
      </c>
      <c r="L121" s="30">
        <f ca="1"/>
        <v>528717897929</v>
      </c>
      <c r="M121" s="30" t="str">
        <f ca="1"/>
        <v>paspineda@gmail.com</v>
      </c>
      <c r="N121" s="30" t="str">
        <f ca="1"/>
        <v>En si no estoy directamente a cargo de ninguno, pero mis papas estan encargados de los jovenes y siempre los apoyo en lo que me piden y en lo que pueda.</v>
      </c>
      <c r="O121" s="30" t="str">
        <f ca="1"/>
        <v>Yo nací en una familia cristiana, siempre fui a clases de la escuelita dominical, a las clases de jovenes y reuniones de jovenes, yo sabia que no era salvo pero queria serlo solo que no sabia como, un dia en una reunion de jovenes empecé a hablar con mi pastor sobre el tema y mientras ibamos camino a mi casa el y yo decidi aceptar a Jesús como Mi Señor y salvador, luego empecé a ir a unas reuniones especiales para los que se querian bautizar en la iglesia y un mes después me bautize.</v>
      </c>
      <c r="P121" s="30" t="str">
        <f ca="1"/>
        <v>A mi iglesia vinieron unos chavos del instituto biblico, yo tenia la idea de ir de equipante pero estaba dudoso asi que hable con todos los chavos, los acompañe a todas las actividades que pude y todos me motivaron a ir al campamento.</v>
      </c>
      <c r="Q121" s="30" t="str">
        <f ca="1"/>
        <v>Si</v>
      </c>
      <c r="R121" s="30" t="str">
        <f ca="1"/>
        <v>Fútbol y artes marciales</v>
      </c>
      <c r="S121" s="30" t="str">
        <f ca="1"/>
        <v>Si</v>
      </c>
      <c r="T121" s="30" t="str">
        <f ca="1"/>
        <v>Bateria</v>
      </c>
      <c r="U121" s="30" t="str">
        <f ca="1"/>
        <v>Estudio actualmente la preparatoria, en Agosto entraré a mi ultimo año si Dios quiere y planeo estudiar medicina acabando.</v>
      </c>
      <c r="V121" s="30" t="str">
        <f ca="1"/>
        <v>Yo creo que soy bueno hablando, improvisando, cuidando niños, cargando cosas, se usar varias cosas de computadoras como word,excel,powerpoint, se 2 lenguajes de programacion, halo 3 idiomas.</v>
      </c>
      <c r="W121" s="16" t="str">
        <f ca="1"/>
        <v>B. Me gusta animar a las personas, D. Me gustan los deportes, E. Me gusta el trabajo con niños, G. Soy más eficiente en el trabajo individual, I. Se me facilita el trabajo físico, K. Soy creativo (a), M. Soy bueno (a) con los números, N. Suelo llevar el liderazgo en un grupo, O. Puedo enseñar con facilidad</v>
      </c>
      <c r="X121" s="16" t="str">
        <f ca="1"/>
        <v>Fui los ultimos dos años, osea verano de 2023 y 2024</v>
      </c>
      <c r="Y121" s="30">
        <v>0</v>
      </c>
      <c r="Z121" s="23" t="s">
        <v>50</v>
      </c>
      <c r="AA121" s="23"/>
      <c r="AB121" s="23"/>
      <c r="AC121" s="23"/>
      <c r="AD121" s="23"/>
      <c r="AE121" s="23"/>
      <c r="AF121" s="23"/>
      <c r="AG121" s="23"/>
      <c r="AH121" s="23"/>
      <c r="AI121" s="23"/>
      <c r="AJ121" s="16"/>
      <c r="AK121" s="16"/>
      <c r="AL121" s="17"/>
    </row>
    <row r="122" spans="1:38" ht="12.75" x14ac:dyDescent="0.35">
      <c r="A122" s="9">
        <v>121</v>
      </c>
      <c r="B122" s="34" t="str">
        <f ca="1"/>
        <v>Regina, Aquino Molina</v>
      </c>
      <c r="C122" s="35">
        <f ca="1"/>
        <v>15</v>
      </c>
      <c r="D122" s="34" t="str">
        <f ca="1"/>
        <v>Mujer</v>
      </c>
      <c r="E122" s="34" t="str">
        <f ca="1"/>
        <v>Oaxaca, Mexico</v>
      </c>
      <c r="F122" s="34" t="str">
        <f ca="1"/>
        <v>regina.aquino.molina@gmail.com</v>
      </c>
      <c r="G122" s="34">
        <f ca="1"/>
        <v>524434111029</v>
      </c>
      <c r="H122" s="34" t="str">
        <f ca="1"/>
        <v>Semana de niños y niñas (21-25) Julio</v>
      </c>
      <c r="I122" s="34" t="str">
        <f ca="1"/>
        <v>Ninguno</v>
      </c>
      <c r="J122" s="34" t="str">
        <f ca="1"/>
        <v>Campamento de Dios</v>
      </c>
      <c r="K122" s="34" t="str">
        <f ca="1"/>
        <v>Jorge Carranza</v>
      </c>
      <c r="L122" s="34">
        <f ca="1"/>
        <v>52755572728</v>
      </c>
      <c r="M122" s="34" t="str">
        <f ca="1"/>
        <v>pastorjorgecarranza@hotmail.com</v>
      </c>
      <c r="N122" s="34" t="str">
        <f ca="1"/>
        <v>Ayudante de maestra de niños</v>
      </c>
      <c r="O122" s="34" t="str">
        <f ca="1"/>
        <v>Estaba pequeña jugando con mi hermana mayor y me comenzó a explicar sobre cómo Dios había salvado a todos de nuestros pecados con ayuda de Jesús entonces ahí decidí aceptar a cristo en mi corazón</v>
      </c>
      <c r="P122" s="34" t="str">
        <f ca="1"/>
        <v>Porque mi mami quiere que aprenda a servir</v>
      </c>
      <c r="Q122" s="34" t="str">
        <f ca="1"/>
        <v>No</v>
      </c>
      <c r="R122" s="34">
        <v>0</v>
      </c>
      <c r="S122" s="34" t="str">
        <f ca="1"/>
        <v>No</v>
      </c>
      <c r="T122" s="34">
        <v>0</v>
      </c>
      <c r="U122" s="34" t="str">
        <f ca="1"/>
        <v>Preparatoria</v>
      </c>
      <c r="V122" s="34" t="str">
        <f ca="1"/>
        <v>Canto, soy creativa sé escuchar</v>
      </c>
      <c r="W122" s="36" t="str">
        <f ca="1"/>
        <v>B. Me gusta animar a las personas, C. Suelo buscar que el trabajo se realice en equipo, D. Me gustan los deportes, E. Me gusta el trabajo con niños, H. Soy organizado (a), I. Se me facilita el trabajo físico, K. Soy creativo (a), L. Soy bueno (a) en canto o algún instrumento, N. Suelo llevar el liderazgo en un grupo</v>
      </c>
      <c r="X122" s="36" t="str">
        <f ca="1"/>
        <v>Si, en la temporada 2018 niños y 2024</v>
      </c>
      <c r="Y122" s="34">
        <v>0</v>
      </c>
      <c r="Z122" s="37" t="s">
        <v>28</v>
      </c>
      <c r="AA122" s="37"/>
      <c r="AB122" s="37"/>
      <c r="AC122" s="37"/>
      <c r="AD122" s="37"/>
      <c r="AE122" s="37"/>
      <c r="AF122" s="37"/>
      <c r="AG122" s="23"/>
      <c r="AH122" s="23"/>
      <c r="AI122" s="23"/>
      <c r="AJ122" s="16"/>
      <c r="AK122" s="16"/>
      <c r="AL122" s="17"/>
    </row>
    <row r="123" spans="1:38" ht="12.75" x14ac:dyDescent="0.35">
      <c r="A123" s="9">
        <v>122</v>
      </c>
      <c r="B123" s="30" t="str">
        <f ca="1"/>
        <v>Zoe Abigail, Campis Román</v>
      </c>
      <c r="C123" s="31">
        <f ca="1"/>
        <v>14</v>
      </c>
      <c r="D123" s="30" t="str">
        <f ca="1"/>
        <v>Mujer</v>
      </c>
      <c r="E123" s="30" t="str">
        <f ca="1"/>
        <v>Queretaro, Mexico</v>
      </c>
      <c r="F123" s="30" t="str">
        <f ca="1"/>
        <v>zoeabigailcampis@gmail.com</v>
      </c>
      <c r="G123" s="30">
        <f ca="1"/>
        <v>524411298718</v>
      </c>
      <c r="H123" s="30" t="str">
        <f ca="1"/>
        <v>Semana de niños y niñas (21-25) Julio, Jóvenes de 13 – 17 años / SEM1/ (28 Julio a 02 de agosto), Jóvenes de 13 – 17 años / SEM2/ (4 - 09 agosto), Jóvenes de 13 – 17 años / SEM3/ (11 - 16 agosto)</v>
      </c>
      <c r="I123" s="30" t="str">
        <f ca="1"/>
        <v>Quiet time</v>
      </c>
      <c r="J123" s="30" t="str">
        <f ca="1"/>
        <v>Iglesia Bíblica Misionera Tequisquiapan</v>
      </c>
      <c r="K123" s="30" t="str">
        <f ca="1"/>
        <v>Coleman Priske Bond</v>
      </c>
      <c r="L123" s="30">
        <f ca="1"/>
        <v>524141017265</v>
      </c>
      <c r="M123" s="30" t="str">
        <f ca="1"/>
        <v>colemanpriske@gmail.com</v>
      </c>
      <c r="N123" s="30" t="str">
        <f ca="1"/>
        <v>Ninguno</v>
      </c>
      <c r="O123" s="30" t="str">
        <f ca="1"/>
        <v>Desde que era pequeña mis papás me criaron en la palabra, pero fue en un campamento a los 8 años que el señor habló a mi vida porque tenía mucha culpa por mis pecados y por cosas que había mantenido ocultas, y en ese campamento acepté a Cristo.</v>
      </c>
      <c r="P123" s="30" t="str">
        <f ca="1"/>
        <v>Creo que es una buena oportunidad de servir a Dios y de descubrir en qué soy buena para servir en algún ministerio en mi iglesia.</v>
      </c>
      <c r="Q123" s="30" t="str">
        <f ca="1"/>
        <v>Si</v>
      </c>
      <c r="R123" s="30" t="str">
        <f ca="1"/>
        <v>Boxeo</v>
      </c>
      <c r="S123" s="30" t="str">
        <f ca="1"/>
        <v>No</v>
      </c>
      <c r="T123" s="30">
        <v>0</v>
      </c>
      <c r="U123" s="30" t="str">
        <f ca="1"/>
        <v>Preparatoria</v>
      </c>
      <c r="V123" s="30" t="str">
        <f ca="1"/>
        <v>Me gusta pintar, soy organizada.</v>
      </c>
      <c r="W123" s="16" t="str">
        <f ca="1"/>
        <v>D. Me gustan los deportes, G. Soy más eficiente en el trabajo individual, H. Soy organizado (a), J. Me gusta la atención a las personas, K. Soy creativo (a)</v>
      </c>
      <c r="X123" s="16" t="str">
        <f ca="1"/>
        <v>En todas las temporadas desde el 2016</v>
      </c>
      <c r="Y123" s="30">
        <v>0</v>
      </c>
      <c r="Z123" s="23" t="s">
        <v>25</v>
      </c>
      <c r="AA123" s="23"/>
      <c r="AB123" s="23"/>
      <c r="AC123" s="23"/>
      <c r="AD123" s="23"/>
      <c r="AE123" s="23"/>
      <c r="AF123" s="23"/>
      <c r="AG123" s="23"/>
      <c r="AH123" s="23"/>
      <c r="AI123" s="23"/>
      <c r="AJ123" s="16"/>
      <c r="AK123" s="16"/>
      <c r="AL123" s="17"/>
    </row>
    <row r="124" spans="1:38" ht="12.75" x14ac:dyDescent="0.35">
      <c r="A124" s="9">
        <v>123</v>
      </c>
      <c r="B124" s="30" t="str">
        <f ca="1"/>
        <v>Valeria Yomal, Alvarez Avila</v>
      </c>
      <c r="C124" s="31">
        <f ca="1"/>
        <v>20</v>
      </c>
      <c r="D124" s="30" t="str">
        <f ca="1"/>
        <v>Mujer</v>
      </c>
      <c r="E124" s="30" t="str">
        <f ca="1"/>
        <v>Queretaro, Mexico</v>
      </c>
      <c r="F124" s="30" t="str">
        <f ca="1"/>
        <v>valeyomyalvarezavila@gmail.com</v>
      </c>
      <c r="G124" s="30">
        <f ca="1"/>
        <v>524427474080</v>
      </c>
      <c r="H124" s="30" t="str">
        <f ca="1"/>
        <v>Semana de entrenamiento (07 - 13) Julio, Comunidad Jóvenes + 18 (14-19) Julio, Semana de niños y niñas (21-25) Julio, Jóvenes de 13 – 17 años / SEM1/ (28 Julio a 02 de agosto)</v>
      </c>
      <c r="I124" s="30" t="str">
        <f ca="1"/>
        <v>Quiet time</v>
      </c>
      <c r="J124" s="30" t="str">
        <f ca="1"/>
        <v>Vida nueva para el mundo Querétaro</v>
      </c>
      <c r="K124" s="30" t="str">
        <f ca="1"/>
        <v>David Alducin</v>
      </c>
      <c r="L124" s="30">
        <f ca="1"/>
        <v>527229808024</v>
      </c>
      <c r="M124" s="30" t="str">
        <f ca="1"/>
        <v>davealducin@gmail.com</v>
      </c>
      <c r="N124" s="30" t="str">
        <f ca="1"/>
        <v>Escuela dominical y grupo de jóvenes</v>
      </c>
      <c r="O124" s="30" t="str">
        <f ca="1"/>
        <v>Mi abuelita materna ella nos hablaba de Jesús y nos mantenía en oración a toda mi familia, nos hablaba de una promesa “ Cree en el Señor Jesucristo, y serás salvo, tú y tu casa”.
Por un tiempo mi abue estuvo viviendo con nosotros y justo por esas fechas recién abrieron vnpq ella al enterarse de esto nos pidió si las podíamos llevar a un servicio dominical, ya estando ahí nos extendió una invitación a toda mi familia, mi papá en ese entonces un poco escéptico decidió quedarse, por lo tanto toda mi fam se quedó (al principio fue por compromiso, casi obligación), pero justo ese día toda mi familia y yo escuchamos un mensaje que tocó lo más profundo de nuestro ser: que Dios nos ama y él tiene un plan en nuestra vida para mí, pero que somos pecadores y el pecado nos separaba de Dios, pero que también había una solución y es Jesús; nuestro pecado había sido perdonado porque él murió en la cruz para perdonarnos, no porque lo mereciéramos sino por gracia y amor.  Ese día no entregué mi vida a Cristo, pero ayudo a que fuéramos más constantes en las reuniones de la iglesia y en buscarlo, al pasar un par de meses decidí entregar mi vida a Cristo al igual que toda mi familia.</v>
      </c>
      <c r="P124" s="30" t="str">
        <f ca="1"/>
        <v>Deseo ser equipante voluntario nuevamente porque he experimentado de primera mano cómo Dios usa estos espacios para transformar vidas, no solo de los campistas, sino también de los que servimos. En mi experiencia anterior, tuve el privilegio de compartir el evangelio con varios jóvenes y ver cómo algunos tomaban decisiones por Cristo. Esa vivencia marcó mi corazón y me recordó que no hay mayor gozo que servir a Dios y ver Su obra en acción.
Volver a servir como equipante no es solo una responsabilidad, sino un honor. Anhelo seguir creciendo como sierva de Cristo, ser parte de un equipo que refleja el amor de Dios, y aprovechar cada oportunidad para sembrar la Palabra en corazones que quizás nunca la han escuchado antes.
Estoy convencida de que Dios sigue llamando obreros a Su mies, y quiero responder a ese llamado con disposición, amor y obediencia. Mi oración es ser útil en sus manos, acompañar espiritualmente a los campistas, y seguir compartiendo el mensaje de salvación que cambió mi vida.</v>
      </c>
      <c r="Q124" s="30" t="str">
        <f ca="1"/>
        <v>Si</v>
      </c>
      <c r="R124" s="30" t="str">
        <f ca="1"/>
        <v>Esgrima</v>
      </c>
      <c r="S124" s="30" t="str">
        <f ca="1"/>
        <v>No</v>
      </c>
      <c r="T124" s="30">
        <v>0</v>
      </c>
      <c r="U124" s="30" t="str">
        <f ca="1"/>
        <v>Medicina</v>
      </c>
      <c r="V124" s="30" t="str">
        <f ca="1"/>
        <v>Tengo un curso básico y cuento con el conocimiento necesario para dar primeros auxilios y de manera interpersonal tengo buena comunicación afectiva, liderazgo, empatía, paciencia y actitud</v>
      </c>
      <c r="W124" s="16" t="str">
        <f ca="1"/>
        <v>B. Me gusta animar a las personas, C. Suelo buscar que el trabajo se realice en equipo, D. Me gustan los deportes, E. Me gusta el trabajo con niños, F. Soy eficiente en el trabajo con herramientas, equipos y maquinarias, G. Soy más eficiente en el trabajo individual, I. Se me facilita el trabajo físico, J. Me gusta la atención a las personas, M. Soy bueno (a) con los números, N. Suelo llevar el liderazgo en un grupo, O. Puedo enseñar con facilidad</v>
      </c>
      <c r="X124" s="16" t="str">
        <f ca="1"/>
        <v>Si  2019, 2022, 2023</v>
      </c>
      <c r="Y124" s="30">
        <v>0</v>
      </c>
      <c r="Z124" s="23" t="s">
        <v>26</v>
      </c>
      <c r="AA124" s="23"/>
      <c r="AB124" s="23"/>
      <c r="AC124" s="23"/>
      <c r="AD124" s="23"/>
      <c r="AE124" s="23"/>
      <c r="AF124" s="23"/>
      <c r="AG124" s="23"/>
      <c r="AH124" s="23"/>
      <c r="AI124" s="23"/>
      <c r="AJ124" s="16" t="s">
        <v>129</v>
      </c>
      <c r="AK124" s="16"/>
      <c r="AL124" s="17"/>
    </row>
    <row r="125" spans="1:38" ht="12.75" x14ac:dyDescent="0.35">
      <c r="A125" s="9">
        <v>124</v>
      </c>
      <c r="B125" s="30" t="str">
        <f ca="1"/>
        <v>Edith, Monroy Palomo</v>
      </c>
      <c r="C125" s="31">
        <f ca="1"/>
        <v>19</v>
      </c>
      <c r="D125" s="30" t="str">
        <f ca="1"/>
        <v>Mujer</v>
      </c>
      <c r="E125" s="30" t="str">
        <f ca="1"/>
        <v>San Luis Potosi, Mexico</v>
      </c>
      <c r="F125" s="30" t="str">
        <f ca="1"/>
        <v>monroy.palomo.edith@gmail.com</v>
      </c>
      <c r="G125" s="30" t="str">
        <f ca="1"/>
        <v>#ERROR!</v>
      </c>
      <c r="H125" s="30" t="str">
        <f ca="1"/>
        <v>Semana de entrenamiento (07 - 13) Julio, Comunidad Jóvenes + 18 (14-19) Julio, Semana de niños y niñas (21-25) Julio, Jóvenes de 13 – 17 años / SEM1/ (28 Julio a 02 de agosto)</v>
      </c>
      <c r="I125" s="30" t="str">
        <f ca="1"/>
        <v>HS y personal</v>
      </c>
      <c r="J125" s="30" t="str">
        <f ca="1"/>
        <v>Iglesia Bíblica Bautista de San Luis Potosí</v>
      </c>
      <c r="K125" s="40" t="str">
        <f ca="1"/>
        <v>Pastor Luis Ramos</v>
      </c>
      <c r="L125" s="40">
        <f ca="1"/>
        <v>524441306627</v>
      </c>
      <c r="M125" s="30" t="str">
        <f ca="1"/>
        <v>Ibb_pastor@yahoo.com.mx</v>
      </c>
      <c r="N125" s="30" t="str">
        <f ca="1"/>
        <v>Cuidado de bebés y Coro Juvenil</v>
      </c>
      <c r="O125" s="30" t="str">
        <f ca="1"/>
        <v>Enpecé a asistir a la iglesia a los 4 años pero no experimenté un verdadero encuentro con Dios hasta un campamento de PV a mis 14 años. Todo cambió 🫶🏻</v>
      </c>
      <c r="P125" s="30" t="str">
        <f ca="1"/>
        <v>Me encantaaa. He disfrutado mucho servir, el año pasado Dios me concedió ser consejera y amé el estar cerca de las camperas y compartir sus cargas. Ver a Dios obrar en todo momentos es muy grato!</v>
      </c>
      <c r="Q125" s="30" t="str">
        <f ca="1"/>
        <v>Si</v>
      </c>
      <c r="R125" s="30" t="str">
        <f ca="1"/>
        <v>Volley</v>
      </c>
      <c r="S125" s="30" t="str">
        <f ca="1"/>
        <v>Si</v>
      </c>
      <c r="T125" s="30" t="str">
        <f ca="1"/>
        <v>Canto</v>
      </c>
      <c r="U125" s="30" t="str">
        <f ca="1"/>
        <v>Lic. en Nutrición</v>
      </c>
      <c r="V125" s="30" t="str">
        <f ca="1"/>
        <v>Repostería y cocina, manualidades, escucha activa.</v>
      </c>
      <c r="W125" s="16" t="str">
        <f ca="1"/>
        <v>A. Soy un discipulador activo, B. Me gusta animar a las personas, G. Soy más eficiente en el trabajo individual, H. Soy organizado (a), J. Me gusta la atención a las personas, K. Soy creativo (a), L. Soy bueno (a) en canto o algún instrumento, M. Soy bueno (a) con los números, N. Suelo llevar el liderazgo en un grupo, O. Puedo enseñar con facilidad</v>
      </c>
      <c r="X125" s="16" t="str">
        <f ca="1"/>
        <v>Desde 2012 hasta 2022, excepto por pandemia y 2019</v>
      </c>
      <c r="Y125" s="30">
        <v>0</v>
      </c>
      <c r="Z125" s="23" t="s">
        <v>51</v>
      </c>
      <c r="AA125" s="23" t="s">
        <v>25</v>
      </c>
      <c r="AB125" s="23" t="s">
        <v>26</v>
      </c>
      <c r="AC125" s="23"/>
      <c r="AD125" s="23"/>
      <c r="AE125" s="23"/>
      <c r="AF125" s="23"/>
      <c r="AG125" s="23"/>
      <c r="AH125" s="23"/>
      <c r="AI125" s="23"/>
      <c r="AJ125" s="16"/>
      <c r="AK125" s="16"/>
      <c r="AL125" s="17"/>
    </row>
    <row r="126" spans="1:38" ht="12.75" x14ac:dyDescent="0.35">
      <c r="A126" s="9">
        <v>125</v>
      </c>
      <c r="B126" s="30" t="str">
        <f ca="1"/>
        <v>Aranza, ocaña</v>
      </c>
      <c r="C126" s="31">
        <f ca="1"/>
        <v>21</v>
      </c>
      <c r="D126" s="30" t="str">
        <f ca="1"/>
        <v>Mujer</v>
      </c>
      <c r="E126" s="30" t="str">
        <f ca="1"/>
        <v>Queretaro, Mexico</v>
      </c>
      <c r="F126" s="30" t="str">
        <f ca="1"/>
        <v>aranzaocana50@gmail.com</v>
      </c>
      <c r="G126" s="30" t="str">
        <f ca="1"/>
        <v>#ERROR!</v>
      </c>
      <c r="H126" s="30" t="str">
        <f ca="1"/>
        <v>Jóvenes de 13 – 17 años / SEM1/ (28 Julio a 02 de agosto)</v>
      </c>
      <c r="I126" s="30" t="str">
        <f ca="1"/>
        <v>No uso ninguno es específico</v>
      </c>
      <c r="J126" s="30" t="str">
        <f ca="1"/>
        <v>Horizonte</v>
      </c>
      <c r="K126" s="30" t="str">
        <f ca="1"/>
        <v>Gadiel Arriaga o Kike Torres</v>
      </c>
      <c r="L126" s="30">
        <f ca="1"/>
        <v>524421390215</v>
      </c>
      <c r="M126" s="30" t="str">
        <f ca="1"/>
        <v>contacto@cristoesmejor.com</v>
      </c>
      <c r="N126" s="30" t="str">
        <f ca="1"/>
        <v>Infantil</v>
      </c>
      <c r="O126" s="30" t="str">
        <f ca="1"/>
        <v>Yo crecí en una familia cristiana, luego asistí a los campamentos en Bernal y cuando tuve 10 años comprendí, lo que de verdad significa el creer en Cristo…tiempo después me estanque y el Señor me trajo de nuevo para poder servirle y prepararme para eso, estudié 2 años en pv y actualmente sirvo en mi iglesia local y estudio..</v>
      </c>
      <c r="P126" s="30" t="str">
        <f ca="1"/>
        <v>Porque me gusta servir al Señor y tengo un cariño especial a pv…ya que fue un gran instrumento en mi vida…</v>
      </c>
      <c r="Q126" s="30" t="str">
        <f ca="1"/>
        <v>No</v>
      </c>
      <c r="R126" s="30">
        <v>0</v>
      </c>
      <c r="S126" s="30" t="str">
        <f ca="1"/>
        <v>No</v>
      </c>
      <c r="T126" s="30">
        <v>0</v>
      </c>
      <c r="U126" s="30" t="str">
        <f ca="1"/>
        <v>Psicólogia</v>
      </c>
      <c r="V126" s="30" t="str">
        <f ca="1"/>
        <v>Me gusta enseñar</v>
      </c>
      <c r="W126" s="16" t="str">
        <f ca="1"/>
        <v>A. Soy un discipulador activo, B. Me gusta animar a las personas, E. Me gusta el trabajo con niños, J. Me gusta la atención a las personas, K. Soy creativo (a), N. Suelo llevar el liderazgo en un grupo, O. Puedo enseñar con facilidad</v>
      </c>
      <c r="X126" s="16" t="str">
        <f ca="1"/>
        <v>Desde 2014</v>
      </c>
      <c r="Y126" s="30">
        <v>0</v>
      </c>
      <c r="Z126" s="23" t="s">
        <v>51</v>
      </c>
      <c r="AA126" s="23"/>
      <c r="AB126" s="23"/>
      <c r="AC126" s="23" t="s">
        <v>26</v>
      </c>
      <c r="AD126" s="23"/>
      <c r="AE126" s="23"/>
      <c r="AF126" s="23"/>
      <c r="AG126" s="23"/>
      <c r="AH126" s="23"/>
      <c r="AI126" s="23" t="s">
        <v>25</v>
      </c>
      <c r="AJ126" s="16"/>
      <c r="AK126" s="16"/>
      <c r="AL126" s="17"/>
    </row>
    <row r="127" spans="1:38" ht="12.75" x14ac:dyDescent="0.35">
      <c r="A127" s="9">
        <v>126</v>
      </c>
      <c r="B127" s="30" t="str">
        <f ca="1"/>
        <v>MARIANA GENEVE, BERNAL TELLEZ</v>
      </c>
      <c r="C127" s="31">
        <f ca="1"/>
        <v>26</v>
      </c>
      <c r="D127" s="30" t="str">
        <f ca="1"/>
        <v>Mujer</v>
      </c>
      <c r="E127" s="30" t="str">
        <f ca="1"/>
        <v>Hidalgo, Mexico</v>
      </c>
      <c r="F127" s="30" t="str">
        <f ca="1"/>
        <v>mgenevebt@hotmail.com</v>
      </c>
      <c r="G127" s="30">
        <f ca="1"/>
        <v>527444485470</v>
      </c>
      <c r="H127" s="30" t="str">
        <f ca="1"/>
        <v>Jóvenes de 13 – 17 años / SEM1/ (28 Julio a 02 de agosto)</v>
      </c>
      <c r="I127" s="30" t="str">
        <f ca="1"/>
        <v>you version</v>
      </c>
      <c r="J127" s="30" t="str">
        <f ca="1"/>
        <v>iglesia cristiana nueva esperanza</v>
      </c>
      <c r="K127" s="30" t="str">
        <f ca="1"/>
        <v>alejo carrillo</v>
      </c>
      <c r="L127" s="30">
        <f ca="1"/>
        <v>527717472126</v>
      </c>
      <c r="M127" s="30" t="str">
        <f ca="1"/>
        <v>alejo.carriloq@gmail.com</v>
      </c>
      <c r="N127" s="30" t="str">
        <f ca="1"/>
        <v>lider de jovenes</v>
      </c>
      <c r="O127" s="30" t="str">
        <f ca="1"/>
        <v>me convertí a los 17 años cuando invitaron a mi familia a una reunión de la iglesia, me encontré con Dios y decidí servirle toda mi vida</v>
      </c>
      <c r="P127" s="30" t="str">
        <f ca="1"/>
        <v>para servir</v>
      </c>
      <c r="Q127" s="30" t="str">
        <f ca="1"/>
        <v>No</v>
      </c>
      <c r="R127" s="30">
        <v>0</v>
      </c>
      <c r="S127" s="30" t="str">
        <f ca="1"/>
        <v>No</v>
      </c>
      <c r="T127" s="30">
        <v>0</v>
      </c>
      <c r="U127" s="30" t="str">
        <f ca="1"/>
        <v>consejería bíblica</v>
      </c>
      <c r="V127" s="30" t="str">
        <f ca="1"/>
        <v>administración</v>
      </c>
      <c r="W127" s="16" t="str">
        <f ca="1"/>
        <v>H. Soy organizado (a), J. Me gusta la atención a las personas, M. Soy bueno (a) con los números, N. Suelo llevar el liderazgo en un grupo, O. Puedo enseñar con facilidad</v>
      </c>
      <c r="X127" s="16" t="str">
        <f ca="1"/>
        <v>no</v>
      </c>
      <c r="Y127" s="30">
        <v>0</v>
      </c>
      <c r="Z127" s="23" t="s">
        <v>25</v>
      </c>
      <c r="AA127" s="23"/>
      <c r="AB127" s="23"/>
      <c r="AC127" s="23"/>
      <c r="AD127" s="23"/>
      <c r="AE127" s="23"/>
      <c r="AF127" s="23"/>
      <c r="AG127" s="23"/>
      <c r="AH127" s="23"/>
      <c r="AI127" s="23"/>
      <c r="AJ127" s="16"/>
      <c r="AK127" s="16"/>
      <c r="AL127" s="17"/>
    </row>
    <row r="128" spans="1:38" ht="12.75" x14ac:dyDescent="0.35">
      <c r="A128" s="9">
        <v>127</v>
      </c>
      <c r="B128" s="30" t="str">
        <f ca="1"/>
        <v>ERICK JOSUE, PEREZ RUIZ</v>
      </c>
      <c r="C128" s="31">
        <f ca="1"/>
        <v>28</v>
      </c>
      <c r="D128" s="30" t="str">
        <f ca="1"/>
        <v>Hombre</v>
      </c>
      <c r="E128" s="30" t="str">
        <f ca="1"/>
        <v>Hidalgo, Mexico</v>
      </c>
      <c r="F128" s="30" t="str">
        <f ca="1"/>
        <v>erick41187@gmail.com</v>
      </c>
      <c r="G128" s="30">
        <f ca="1"/>
        <v>527711621079</v>
      </c>
      <c r="H128" s="30" t="str">
        <f ca="1"/>
        <v>Jóvenes de 13 – 17 años / SEM1/ (28 Julio a 02 de agosto)</v>
      </c>
      <c r="I128" s="30" t="str">
        <f ca="1"/>
        <v>Plan de Lectura de Proyecto Biblia</v>
      </c>
      <c r="J128" s="30" t="str">
        <f ca="1"/>
        <v>IGLESIA CRISTIANA NUEVA ESPERANZA</v>
      </c>
      <c r="K128" s="30" t="str">
        <f ca="1"/>
        <v>PASTOR ALEJO CARRILLO</v>
      </c>
      <c r="L128" s="30">
        <f ca="1"/>
        <v>527717472126</v>
      </c>
      <c r="M128" s="30" t="str">
        <f ca="1"/>
        <v>alejo.carrilloq@gmail.com</v>
      </c>
      <c r="N128" s="30" t="str">
        <f ca="1"/>
        <v>LIDER DEL GRUPO DE JÓVENES</v>
      </c>
      <c r="O128" s="30" t="str">
        <f ca="1"/>
        <v>Mi familia era católica, sin embargo no asistiamos a la iglesia. Fue a mis 12 años que nos mudamos a Pachuca Hgo. Y ahí mi tío (ya cristiano) le compartió a mis padres, empezamos a buscar iglesia y encontramos una que nos gustó con grupos pequeños (o células).
Al inicio yo no tenía interés en asistir a una iglesia, lo veía como aburrido o intrascendente pero en el grupo pequeño fui ayudado a entender el evangelio. Una vez que lo creí comence a leer la Biblia más y más, me bauticé (a mis 14 años) y desde entonces he servido,  buscar crecer en la fe, completé una carrera en Teología y sigo sirviendo en mi iglesia local con un trabajo de tiempo completo en el ministerio.</v>
      </c>
      <c r="P128" s="30" t="str">
        <f ca="1"/>
        <v>Porque como líder de jóvenes junto a mi esposa llevamos un Grupo de adolescentes como iglesia y queremos estar participando en las actividades y no solo dejarlos y recogerlos sino estar ahí para ellos e involucrarnos en el servicio a Dios con este ministerio de PDV</v>
      </c>
      <c r="Q128" s="30" t="str">
        <f ca="1"/>
        <v>No</v>
      </c>
      <c r="R128" s="30">
        <v>0</v>
      </c>
      <c r="S128" s="30" t="str">
        <f ca="1"/>
        <v>No</v>
      </c>
      <c r="T128" s="30">
        <v>0</v>
      </c>
      <c r="U128" s="30" t="str">
        <f ca="1"/>
        <v>Trabajo como parte del staff de tiempo completo en Iglesia Cristiana Nueva Esperanza</v>
      </c>
      <c r="V128" s="30" t="str">
        <f ca="1"/>
        <v>Liderazgo con jóvenes. Predicación. Estudié la licenciatura en Teología-</v>
      </c>
      <c r="W128" s="16" t="str">
        <f ca="1"/>
        <v>A. Soy un discipulador activo, B. Me gusta animar a las personas, D. Me gustan los deportes, H. Soy organizado (a), I. Se me facilita el trabajo físico, J. Me gusta la atención a las personas, K. Soy creativo (a), N. Suelo llevar el liderazgo en un grupo, O. Puedo enseñar con facilidad</v>
      </c>
      <c r="X128" s="16" t="str">
        <f ca="1"/>
        <v>Estuve el año pasado como consejero en las semanas de Adultos y adolescentes. He estado en contacto con Carlos Luna para ser consejero en la primera semana de adolescentes</v>
      </c>
      <c r="Y128" s="30">
        <v>0</v>
      </c>
      <c r="Z128" s="23" t="s">
        <v>50</v>
      </c>
      <c r="AA128" s="23"/>
      <c r="AB128" s="23"/>
      <c r="AC128" s="23"/>
      <c r="AD128" s="23"/>
      <c r="AE128" s="23"/>
      <c r="AF128" s="23"/>
      <c r="AG128" s="23"/>
      <c r="AH128" s="23"/>
      <c r="AI128" s="23"/>
      <c r="AJ128" s="16"/>
      <c r="AK128" s="16"/>
      <c r="AL128" s="17"/>
    </row>
    <row r="129" spans="1:38" ht="12.75" x14ac:dyDescent="0.35">
      <c r="A129" s="9">
        <v>128</v>
      </c>
      <c r="B129" s="30" t="str">
        <f ca="1"/>
        <v>Rebeca, Flores López</v>
      </c>
      <c r="C129" s="31">
        <f ca="1"/>
        <v>22</v>
      </c>
      <c r="D129" s="30" t="str">
        <f ca="1"/>
        <v>Mujer</v>
      </c>
      <c r="E129" s="30" t="str">
        <f ca="1"/>
        <v>Mexico, Mexico</v>
      </c>
      <c r="F129" s="30" t="str">
        <f ca="1"/>
        <v>beca.lopez16@gmail.com</v>
      </c>
      <c r="G129" s="30">
        <f ca="1"/>
        <v>525574824120</v>
      </c>
      <c r="H129" s="30" t="str">
        <f ca="1"/>
        <v>Semana de entrenamiento (07 - 13) Julio, Comunidad Jóvenes + 18 (14-19) Julio, Semana de niños y niñas (21-25) Julio</v>
      </c>
      <c r="I129" s="30" t="str">
        <f ca="1"/>
        <v>La Biblia y You Version</v>
      </c>
      <c r="J129" s="30" t="str">
        <f ca="1"/>
        <v>Vida Nueva para el Mundo</v>
      </c>
      <c r="K129" s="30" t="str">
        <f ca="1"/>
        <v>Andrés Maldonado</v>
      </c>
      <c r="L129" s="30">
        <f ca="1"/>
        <v>525512889083</v>
      </c>
      <c r="M129" s="30" t="str">
        <f ca="1"/>
        <v>g.image777@gmail.com</v>
      </c>
      <c r="N129" s="30" t="str">
        <f ca="1"/>
        <v>Maestra de adolescentes y responsable de servicio (principal), relaciones públicas y dinámicas</v>
      </c>
      <c r="O129" s="30" t="str">
        <f ca="1"/>
        <v>Nací y crecí en una familia cristiana pero me dejé llevar por los placeres del mundo envuelta en alcohol, drogas y sexualidad, no me importaba irme al infierno con tal de disfrutar aunque también creía que vivir ya no valía la pena. Servía en la iglesia viviendo una doble vida. Mis amigas y el pastor Alducin me invitaron al campamento PV y aunque al principio llegué buscando diversión, con un corazón vacío y en cada predicación pensaba que nada podría cambiarme, Dios habló a mi vida, me abrió los ojos y ahora puedo ver. Por medio de mi consejera en la plática personal me hizo darme cuenta que la vida sin Dios no vale, el cambio fue radical. Ahora vivo para gloria de Dios sirviendo en mi iglesia local, con el anhelo de que más jóvenes conozcan del Señor, Cristo es mi esperanza y salvación y día con día me sigue moldeando a imagen de Cristo, mi vida para la gloria de Dios.</v>
      </c>
      <c r="P129" s="30" t="str">
        <f ca="1"/>
        <v>Quiero dar de gracia lo que de gracia recibí. Deseo con amor que más jóvenes le conozcan como yo lo hice hace unos años y ser de bendición. Además Dios me está llamando a PV desde ese día que le conocí por medio de campamento, Open House y en un futuro el Instituto, y quiero seguir cumpliendo ese llamado.</v>
      </c>
      <c r="Q129" s="30" t="str">
        <f ca="1"/>
        <v>No</v>
      </c>
      <c r="R129" s="30">
        <v>0</v>
      </c>
      <c r="S129" s="30" t="str">
        <f ca="1"/>
        <v>No</v>
      </c>
      <c r="T129" s="30">
        <v>0</v>
      </c>
      <c r="U129" s="30" t="str">
        <f ca="1"/>
        <v>Diseño gráfico</v>
      </c>
      <c r="V129" s="30" t="str">
        <f ca="1"/>
        <v>Fotografía, habilidades creativas y de diseño, enseñanza, de servicio y organización.</v>
      </c>
      <c r="W129" s="16" t="str">
        <f ca="1"/>
        <v>A. Soy un discipulador activo, B. Me gusta animar a las personas, E. Me gusta el trabajo con niños, H. Soy organizado (a), J. Me gusta la atención a las personas, K. Soy creativo (a), N. Suelo llevar el liderazgo en un grupo, O. Puedo enseñar con facilidad</v>
      </c>
      <c r="X129" s="16" t="str">
        <f ca="1"/>
        <v>2022 y 2023</v>
      </c>
      <c r="Y129" s="30">
        <v>0</v>
      </c>
      <c r="Z129" s="23" t="s">
        <v>51</v>
      </c>
      <c r="AA129" s="23" t="s">
        <v>25</v>
      </c>
      <c r="AB129" s="23"/>
      <c r="AC129" s="23"/>
      <c r="AD129" s="23"/>
      <c r="AE129" s="23"/>
      <c r="AF129" s="23"/>
      <c r="AG129" s="23"/>
      <c r="AH129" s="23"/>
      <c r="AI129" s="23" t="s">
        <v>26</v>
      </c>
      <c r="AJ129" s="16"/>
      <c r="AK129" s="16"/>
      <c r="AL129" s="17"/>
    </row>
    <row r="130" spans="1:38" ht="12.75" x14ac:dyDescent="0.35">
      <c r="A130" s="9">
        <v>129</v>
      </c>
      <c r="B130" s="34" t="str">
        <f ca="1"/>
        <v>Jenifer Abigail, Rodríguez Mata</v>
      </c>
      <c r="C130" s="35">
        <f ca="1"/>
        <v>19</v>
      </c>
      <c r="D130" s="34" t="str">
        <f ca="1"/>
        <v>Mujer</v>
      </c>
      <c r="E130" s="34" t="str">
        <f ca="1"/>
        <v>Queretaro, Mexico</v>
      </c>
      <c r="F130" s="34" t="str">
        <f ca="1"/>
        <v>rdrzjeny28abi@gmail.com</v>
      </c>
      <c r="G130" s="34">
        <f ca="1"/>
        <v>524426137203</v>
      </c>
      <c r="H130" s="34" t="str">
        <f ca="1"/>
        <v>Jóvenes de 13 – 17 años / SEM3/ (11 - 16 agosto)</v>
      </c>
      <c r="I130" s="34" t="str">
        <f ca="1"/>
        <v>Dios te escucha</v>
      </c>
      <c r="J130" s="34" t="str">
        <f ca="1"/>
        <v>Iglesia bautista el Tabernáculo</v>
      </c>
      <c r="K130" s="34" t="str">
        <f ca="1"/>
        <v>Maichel Chavez</v>
      </c>
      <c r="L130" s="34">
        <f ca="1"/>
        <v>524427234734</v>
      </c>
      <c r="M130" s="34" t="str">
        <f ca="1"/>
        <v>amchaelch1960@gmail.com</v>
      </c>
      <c r="N130" s="34" t="str">
        <f ca="1"/>
        <v>Coro</v>
      </c>
      <c r="O130" s="34" t="str">
        <f ca="1"/>
        <v>Yo iba a la iglesia desde que tenía 6 años, pero a los 11 después de una prédica, en mi cuarto tomé la decisión de aceptar a Cristo.</v>
      </c>
      <c r="P130" s="34" t="str">
        <f ca="1"/>
        <v>Para servir a Dios de una manera nueva y especial, me gustaría poder involucrarme en especial en palabra de vida, para cuando termine mi carrera estudiar en el instituto.</v>
      </c>
      <c r="Q130" s="34" t="str">
        <f ca="1"/>
        <v>Si</v>
      </c>
      <c r="R130" s="34" t="str">
        <f ca="1"/>
        <v>Box y gym</v>
      </c>
      <c r="S130" s="34" t="str">
        <f ca="1"/>
        <v>Si</v>
      </c>
      <c r="T130" s="34" t="str">
        <f ca="1"/>
        <v>Violín</v>
      </c>
      <c r="U130" s="34" t="str">
        <f ca="1"/>
        <v>Licenciatura en Nutrición</v>
      </c>
      <c r="V130" s="34" t="str">
        <f ca="1"/>
        <v>Me he enfocado en trabajar en el ámbito de la salud estética, y soy muy hábil en Cocina</v>
      </c>
      <c r="W130" s="36" t="str">
        <f ca="1"/>
        <v>B. Me gusta animar a las personas, D. Me gustan los deportes, E. Me gusta el trabajo con niños, F. Soy eficiente en el trabajo con herramientas, equipos y maquinarias, G. Soy más eficiente en el trabajo individual, I. Se me facilita el trabajo físico, J. Me gusta la atención a las personas, K. Soy creativo (a), M. Soy bueno (a) con los números, N. Suelo llevar el liderazgo en un grupo</v>
      </c>
      <c r="X130" s="36" t="str">
        <f ca="1"/>
        <v>No</v>
      </c>
      <c r="Y130" s="34">
        <v>0</v>
      </c>
      <c r="Z130" s="37" t="s">
        <v>28</v>
      </c>
      <c r="AA130" s="37"/>
      <c r="AB130" s="37"/>
      <c r="AC130" s="37"/>
      <c r="AD130" s="23"/>
      <c r="AE130" s="23"/>
      <c r="AF130" s="23"/>
      <c r="AG130" s="23"/>
      <c r="AH130" s="23"/>
      <c r="AI130" s="23"/>
      <c r="AJ130" s="16" t="s">
        <v>130</v>
      </c>
      <c r="AK130" s="16"/>
      <c r="AL130" s="17"/>
    </row>
    <row r="131" spans="1:38" ht="12.75" x14ac:dyDescent="0.35">
      <c r="A131" s="9">
        <v>130</v>
      </c>
      <c r="B131" s="34" t="str">
        <f ca="1"/>
        <v>Jessica Paola, Medrano Santos</v>
      </c>
      <c r="C131" s="35">
        <f ca="1"/>
        <v>28</v>
      </c>
      <c r="D131" s="34" t="str">
        <f ca="1"/>
        <v>Mujer</v>
      </c>
      <c r="E131" s="34" t="str">
        <f ca="1"/>
        <v>Jalisco, Mexico</v>
      </c>
      <c r="F131" s="34" t="str">
        <f ca="1"/>
        <v>paomdrano@gmail.com</v>
      </c>
      <c r="G131" s="34">
        <f ca="1"/>
        <v>523328379146</v>
      </c>
      <c r="H131" s="34" t="str">
        <f ca="1"/>
        <v>Semana de entrenamiento (07 - 13) Julio</v>
      </c>
      <c r="I131" s="34" t="str">
        <f ca="1"/>
        <v>Aviva Nuestros Corazones</v>
      </c>
      <c r="J131" s="34" t="str">
        <f ca="1"/>
        <v>Palabra de Vida Guadalajara</v>
      </c>
      <c r="K131" s="34" t="str">
        <f ca="1"/>
        <v>Grabriel Miyar</v>
      </c>
      <c r="L131" s="34">
        <f ca="1"/>
        <v>52331411909</v>
      </c>
      <c r="M131" s="34" t="str">
        <f ca="1"/>
        <v>gmiyar@gmail.com</v>
      </c>
      <c r="N131" s="34" t="str">
        <f ca="1"/>
        <v>Mujeres</v>
      </c>
      <c r="O131" s="34" t="str">
        <f ca="1"/>
        <v>Mi testimonio de salvación no fue un solo evento, sino un proceso compuesto por varios momentos de transformación. Recuerdo claramente la primera vez que llegué a una iglesia cristiana y la profunda sensación de paz que experimenté. Sin embargo, también recuerdo que, en mi último campamento en PDV, sentí fuertemente la responsabilidad sobre mi entorno social. Fue así que, justo después de que terminó el campamento, ese mismo domingo le dije a mi pastor que quería estudiar en un instituto bíblico. Y me fui.
Desde entonces, conocer las verdades profundas del texto bíblico me ha llevado a vivir una conversación constante con Dios, una que ha moldeado mi vida y sigue transformándome día a día.</v>
      </c>
      <c r="P131" s="34" t="str">
        <f ca="1"/>
        <v>Me gustaría ser parte del equipo porque estoy profundamente agradecida con el campamento. Lo que viví ahí marcó mi vida, y ahora quiero devolver un poco de eso, acompañando a los niños en su propia experiencia. Durante mucho tiempo tuve el deseo en mi corazón de ser consejera, pero no podía, ya que estaba ocupada trabajando y estudiando. Hoy, que por fin tengo el tiempo, quiero aprovecharlo para servir y aportar desde lo que Dios ha hecho en mí.</v>
      </c>
      <c r="Q131" s="34" t="str">
        <f ca="1"/>
        <v>Si</v>
      </c>
      <c r="R131" s="34" t="str">
        <f ca="1"/>
        <v>Natación y Atletismo</v>
      </c>
      <c r="S131" s="34" t="str">
        <f ca="1"/>
        <v>No</v>
      </c>
      <c r="T131" s="34">
        <v>0</v>
      </c>
      <c r="U131" s="34" t="str">
        <f ca="1"/>
        <v>Estoy terminando mi tesis de licenciatura en Sociología y, al mismo tiempo, comenzando la Licenciatura de Ciencias Bíblicas en la Universidad Bíblica Latinoamericana, en Costa Rica.</v>
      </c>
      <c r="V131" s="34" t="str">
        <f ca="1"/>
        <v>Soy socióloga en formación y estudiante de Ciencias Bíblicas. Me especializo en la observación y comprensión de fenómenos sociales, especialmente en contextos de comunidad, fe y juventud. Tengo experiencia acompañando a niñas, adolescentes y jóvenes en pr</v>
      </c>
      <c r="W131" s="36" t="str">
        <f ca="1"/>
        <v>C. Suelo buscar que el trabajo se realice en equipo, D. Me gustan los deportes, E. Me gusta el trabajo con niños, F. Soy eficiente en el trabajo con herramientas, equipos y maquinarias, G. Soy más eficiente en el trabajo individual, H. Soy organizado (a), I. Se me facilita el trabajo físico, K. Soy creativo (a), M. Soy bueno (a) con los números, O. Puedo enseñar con facilidad</v>
      </c>
      <c r="X131" s="36" t="str">
        <f ca="1"/>
        <v>2011 y 2014</v>
      </c>
      <c r="Y131" s="34">
        <v>0</v>
      </c>
      <c r="Z131" s="37" t="s">
        <v>28</v>
      </c>
      <c r="AA131" s="37"/>
      <c r="AB131" s="37"/>
      <c r="AC131" s="37"/>
      <c r="AD131" s="23"/>
      <c r="AE131" s="23"/>
      <c r="AF131" s="23"/>
      <c r="AG131" s="23"/>
      <c r="AH131" s="23"/>
      <c r="AI131" s="23"/>
      <c r="AJ131" s="16"/>
      <c r="AK131" s="16"/>
      <c r="AL131" s="17"/>
    </row>
    <row r="132" spans="1:38" ht="12.75" x14ac:dyDescent="0.35">
      <c r="A132" s="9">
        <v>131</v>
      </c>
      <c r="B132" s="30" t="str">
        <f ca="1"/>
        <v>Miranda, Ruiz Brito</v>
      </c>
      <c r="C132" s="31">
        <f ca="1"/>
        <v>18</v>
      </c>
      <c r="D132" s="30" t="str">
        <f ca="1"/>
        <v>Mujer</v>
      </c>
      <c r="E132" s="30" t="str">
        <f ca="1"/>
        <v>Morelos, Mexico</v>
      </c>
      <c r="F132" s="30" t="str">
        <f ca="1"/>
        <v>mirandaruibri@gmail.com</v>
      </c>
      <c r="G132" s="30">
        <f ca="1"/>
        <v>527772170285</v>
      </c>
      <c r="H132" s="30" t="str">
        <f ca="1"/>
        <v>Comunidad Jóvenes + 18 (14-19) Julio</v>
      </c>
      <c r="I132" s="30" t="str">
        <f ca="1"/>
        <v>Los planes de YouVersion</v>
      </c>
      <c r="J132" s="30" t="str">
        <f ca="1"/>
        <v>Mahanaim</v>
      </c>
      <c r="K132" s="30" t="str">
        <f ca="1"/>
        <v>Fernando Bermúdez Canchola</v>
      </c>
      <c r="L132" s="30">
        <f ca="1"/>
        <v>527351258023</v>
      </c>
      <c r="M132" s="30" t="str">
        <f ca="1"/>
        <v>ferberca48@gmail.com</v>
      </c>
      <c r="N132" s="30" t="str">
        <f ca="1"/>
        <v>Ahorita ninguno, pero pronto espero poder estar serviendo con los niños</v>
      </c>
      <c r="O132" s="30" t="str">
        <f ca="1"/>
        <v>Desde los 7 años empecé a ir a la iglesia cristiana pero no fue realmente hasta los 13 años en pandemia cuando estaba atravesando por momentos de depresión que me di cuenta de mi verdadera necesidad de Dios, y fue en ese momento cuando comencé a tener una relación real e íntima con El.</v>
      </c>
      <c r="P132" s="30" t="str">
        <f ca="1"/>
        <v>Ya van 2 veces que voy a servir. AMO el tiempo de convivencia, gracias al campa he conocido a personas que me hacen querer ser mejor y me impulsan a parecerme más a Cristo. Tmb es un tiempo de muchos retos que me hacen conocerme y crecer tanto como persona y espiritualmente.</v>
      </c>
      <c r="Q132" s="30" t="str">
        <f ca="1"/>
        <v>Si</v>
      </c>
      <c r="R132" s="30" t="str">
        <f ca="1"/>
        <v>Volley</v>
      </c>
      <c r="S132" s="30" t="str">
        <f ca="1"/>
        <v>Si</v>
      </c>
      <c r="T132" s="30" t="str">
        <f ca="1"/>
        <v>Piano</v>
      </c>
      <c r="U132" s="30" t="str">
        <f ca="1"/>
        <v>Estoy en mi último año de prepa en ACE</v>
      </c>
      <c r="V132" s="30" t="str">
        <f ca="1"/>
        <v>Pintar, organizada, sociable, me gusta escuchar a las personas</v>
      </c>
      <c r="W132" s="16" t="str">
        <f ca="1"/>
        <v>B. Me gusta animar a las personas, C. Suelo buscar que el trabajo se realice en equipo, D. Me gustan los deportes, E. Me gusta el trabajo con niños, H. Soy organizado (a), J. Me gusta la atención a las personas, K. Soy creativo (a)</v>
      </c>
      <c r="X132" s="16" t="str">
        <f ca="1"/>
        <v>Si, en el 2019 y 2022</v>
      </c>
      <c r="Y132" s="30">
        <v>0</v>
      </c>
      <c r="Z132" s="23" t="s">
        <v>47</v>
      </c>
      <c r="AA132" s="23" t="s">
        <v>25</v>
      </c>
      <c r="AB132" s="23"/>
      <c r="AC132" s="23"/>
      <c r="AD132" s="23"/>
      <c r="AE132" s="23"/>
      <c r="AF132" s="23"/>
      <c r="AG132" s="23"/>
      <c r="AH132" s="23"/>
      <c r="AI132" s="23"/>
      <c r="AJ132" s="16"/>
      <c r="AK132" s="16"/>
      <c r="AL132" s="17"/>
    </row>
    <row r="133" spans="1:38" ht="12.75" x14ac:dyDescent="0.35">
      <c r="A133" s="9">
        <v>132</v>
      </c>
      <c r="B133" s="30" t="str">
        <f ca="1"/>
        <v>Lidia Elizabeth, Almeraz Rubio</v>
      </c>
      <c r="C133" s="31">
        <f ca="1"/>
        <v>16</v>
      </c>
      <c r="D133" s="30" t="str">
        <f ca="1"/>
        <v>Mujer</v>
      </c>
      <c r="E133" s="30" t="str">
        <f ca="1"/>
        <v>Jalisco, Mexico</v>
      </c>
      <c r="F133" s="30" t="str">
        <f ca="1"/>
        <v>almerazlidia1@gmail.com</v>
      </c>
      <c r="G133" s="30">
        <f ca="1"/>
        <v>523329609446</v>
      </c>
      <c r="H133" s="30" t="str">
        <f ca="1"/>
        <v>Semana de entrenamiento (07 - 13) Julio, Comunidad Jóvenes + 18 (14-19) Julio, Semana de niños y niñas (21-25) Julio, Jóvenes de 13 – 17 años / SEM1/ (28 Julio a 02 de agosto)</v>
      </c>
      <c r="I133" s="30" t="str">
        <f ca="1"/>
        <v>Quiet time</v>
      </c>
      <c r="J133" s="30" t="str">
        <f ca="1"/>
        <v>Emanuel</v>
      </c>
      <c r="K133" s="30" t="str">
        <f ca="1"/>
        <v>Jesús García</v>
      </c>
      <c r="L133" s="30">
        <f ca="1"/>
        <v>523311128056</v>
      </c>
      <c r="M133" s="30" t="str">
        <f ca="1"/>
        <v>jesus_garcia7@hotmail.com</v>
      </c>
      <c r="N133" s="30" t="str">
        <f ca="1"/>
        <v>Cunero</v>
      </c>
      <c r="O133" s="30" t="str">
        <f ca="1"/>
        <v>Yo nací en una iglesia cristiana y desde peque yo iba a la iglesia , pero cuando entré a la secundaria fue que me empecé a separar de Dios por las amistades que tenía y duré bastante tiempo así hasta donde me di cuenta que lo que está haciendo estaba mal y no le agradaba a Dios , y fue ahí donde todo empezó a cambiar ya que yo quería glorificar el nombre de nuestro Señor.</v>
      </c>
      <c r="P133" s="30" t="str">
        <f ca="1"/>
        <v>Porque ahí es donde te das cuenta que no importa la área que estés siempre podemos glorificar su nombre en todo momento y conoces personas increíbles y que son de Bendición a tu vida y me encantaría volver a servir en esta temporada que yo sé que va hacer de gran bendición a mi vida.</v>
      </c>
      <c r="Q133" s="30" t="str">
        <f ca="1"/>
        <v>No</v>
      </c>
      <c r="R133" s="30">
        <v>0</v>
      </c>
      <c r="S133" s="30" t="str">
        <f ca="1"/>
        <v>No</v>
      </c>
      <c r="T133" s="30">
        <v>0</v>
      </c>
      <c r="U133" s="30" t="str">
        <f ca="1"/>
        <v>Estoy en bachillerato</v>
      </c>
      <c r="V133" s="30" t="str">
        <f ca="1"/>
        <v>soy buena organizando y creativa</v>
      </c>
      <c r="W133" s="16" t="str">
        <f ca="1"/>
        <v>B. Me gusta animar a las personas, C. Suelo buscar que el trabajo se realice en equipo, D. Me gustan los deportes, H. Soy organizado (a), J. Me gusta la atención a las personas</v>
      </c>
      <c r="X133" s="16" t="str">
        <f ca="1"/>
        <v>Si en  2022</v>
      </c>
      <c r="Y133" s="30">
        <v>0</v>
      </c>
      <c r="Z133" s="23" t="s">
        <v>51</v>
      </c>
      <c r="AA133" s="23" t="s">
        <v>25</v>
      </c>
      <c r="AB133" s="23"/>
      <c r="AC133" s="23"/>
      <c r="AD133" s="23"/>
      <c r="AE133" s="23"/>
      <c r="AF133" s="23"/>
      <c r="AG133" s="23"/>
      <c r="AH133" s="23"/>
      <c r="AI133" s="23"/>
      <c r="AJ133" s="16"/>
      <c r="AK133" s="16"/>
      <c r="AL133" s="17"/>
    </row>
    <row r="134" spans="1:38" ht="25.5" x14ac:dyDescent="0.35">
      <c r="A134" s="9">
        <v>133</v>
      </c>
      <c r="B134" s="30" t="str">
        <f ca="1"/>
        <v>Mireya Hazel, Benitez Garcia</v>
      </c>
      <c r="C134" s="31">
        <f ca="1"/>
        <v>20</v>
      </c>
      <c r="D134" s="30" t="str">
        <f ca="1"/>
        <v>Mujer</v>
      </c>
      <c r="E134" s="30" t="str">
        <f ca="1"/>
        <v>Sinaloa, Mexico</v>
      </c>
      <c r="F134" s="30" t="str">
        <f ca="1"/>
        <v>mireyahazelbenitezgarciauadeo@gmail.com</v>
      </c>
      <c r="G134" s="30">
        <f ca="1"/>
        <v>526671846900</v>
      </c>
      <c r="H134" s="30" t="str">
        <f ca="1"/>
        <v>Toda la temporada (07 de Julio al 16 de agosto)</v>
      </c>
      <c r="I134" s="30" t="str">
        <f ca="1"/>
        <v>biblia</v>
      </c>
      <c r="J134" s="30" t="str">
        <f ca="1"/>
        <v>La vid Verdadera</v>
      </c>
      <c r="K134" s="30" t="str">
        <f ca="1"/>
        <v>Manrique Perez Navidad</v>
      </c>
      <c r="L134" s="30">
        <f ca="1"/>
        <v>526672731232</v>
      </c>
      <c r="M134" s="30" t="str">
        <f ca="1"/>
        <v>edit2garcia@gmail.com</v>
      </c>
      <c r="N134" s="30" t="str">
        <f ca="1"/>
        <v>Infantil</v>
      </c>
      <c r="O134" s="30" t="str">
        <f ca="1"/>
        <v>desde que soy pequeña e acudido a iglesias de las que salimos por motivos que dejaban de seguir nuestras creencias mias y de mi familia ,llegamos a la iglesia a la vid Verdadera con yo la edad de 8 años y desde entonces hemos acudido aqui 12 años despues sigo firme en la fe a pesar de las adversidades ,no ha sido facil y mas en epoca d pandemia pero se a superado toda advertencia en compañía de Dios y ahora en un paso de obediencia me gustaria servirle</v>
      </c>
      <c r="P134" s="30" t="str">
        <f ca="1"/>
        <v>conoci a miembros de si instituto y han sido de gran bendición para mi vida he aprendido  de ellos y quiero conocer mas a Dios y su manera de aprender,los vi evangelizando y me entusiasma saber de donde vienen</v>
      </c>
      <c r="Q134" s="30" t="str">
        <f ca="1"/>
        <v>No</v>
      </c>
      <c r="R134" s="30">
        <v>0</v>
      </c>
      <c r="S134" s="30" t="str">
        <f ca="1"/>
        <v>No</v>
      </c>
      <c r="T134" s="30">
        <v>0</v>
      </c>
      <c r="U134" s="30" t="str">
        <f ca="1"/>
        <v>Estudio Licenciatura en Ciencias biomedicas es acerca de la creación de fármacos,estudio de el cuerpo humano y enfermedades con su tratamiento</v>
      </c>
      <c r="V134" s="30" t="str">
        <f ca="1"/>
        <v>trabajar con niños , tengo facilidad de palabra ,y socializar ,dirigir dinamicas , servicial</v>
      </c>
      <c r="W134" s="16" t="str">
        <f ca="1"/>
        <v>B. Me gusta animar a las personas, C. Suelo buscar que el trabajo se realice en equipo, E. Me gusta el trabajo con niños, I. Se me facilita el trabajo físico, J. Me gusta la atención a las personas, K. Soy creativo (a), N. Suelo llevar el liderazgo en un grupo, O. Puedo enseñar con facilidad</v>
      </c>
      <c r="X134" s="16" t="str">
        <f ca="1"/>
        <v>no</v>
      </c>
      <c r="Y134" s="30">
        <v>0</v>
      </c>
      <c r="Z134" s="23" t="s">
        <v>51</v>
      </c>
      <c r="AA134" s="23" t="s">
        <v>25</v>
      </c>
      <c r="AB134" s="23"/>
      <c r="AC134" s="23"/>
      <c r="AD134" s="23"/>
      <c r="AE134" s="23"/>
      <c r="AF134" s="23"/>
      <c r="AG134" s="23"/>
      <c r="AH134" s="23"/>
      <c r="AI134" s="23"/>
      <c r="AJ134" s="16" t="s">
        <v>131</v>
      </c>
      <c r="AK134" s="16"/>
      <c r="AL134" s="17"/>
    </row>
    <row r="135" spans="1:38" ht="12.75" x14ac:dyDescent="0.35">
      <c r="A135" s="9">
        <v>134</v>
      </c>
      <c r="B135" s="30" t="str">
        <f ca="1"/>
        <v>Belen, Flores</v>
      </c>
      <c r="C135" s="31">
        <f ca="1"/>
        <v>19</v>
      </c>
      <c r="D135" s="30" t="str">
        <f ca="1"/>
        <v>Mujer</v>
      </c>
      <c r="E135" s="30" t="str">
        <f ca="1"/>
        <v>Morelos, Mexico</v>
      </c>
      <c r="F135" s="30" t="str">
        <f ca="1"/>
        <v>ana.belen.fr.13@gmail.com</v>
      </c>
      <c r="G135" s="30" t="str">
        <f ca="1"/>
        <v>#ERROR!</v>
      </c>
      <c r="H135" s="30" t="str">
        <f ca="1"/>
        <v>Toda la temporada (07 de Julio al 16 de agosto)</v>
      </c>
      <c r="I135" s="30" t="str">
        <f ca="1"/>
        <v>Hora silenciosa</v>
      </c>
      <c r="J135" s="30" t="str">
        <f ca="1"/>
        <v>Manantial de Gracia</v>
      </c>
      <c r="K135" s="30" t="str">
        <f ca="1"/>
        <v>Luis Gabriel Flores Leos</v>
      </c>
      <c r="L135" s="30">
        <f ca="1"/>
        <v>527353980907</v>
      </c>
      <c r="M135" s="30" t="str">
        <f ca="1"/>
        <v>pastor@ibmanantial.com</v>
      </c>
      <c r="N135" s="30" t="str">
        <f ca="1"/>
        <v>Alabanza y niños/jovenes</v>
      </c>
      <c r="O135" s="30" t="str">
        <f ca="1"/>
        <v>Creci en un hogar cristiano y llendo a los campamentos de Pv pero vivia una vida lejos de Dios fuera de la iglesia hasta que en un campamento entendi realmente el plan de salvacion</v>
      </c>
      <c r="P135" s="30" t="str">
        <f ca="1"/>
        <v>Por la necesidad que se que hay en la juventud de mi pais y mi deseo por aportar en que ellos conozcan de Dios</v>
      </c>
      <c r="Q135" s="30" t="str">
        <f ca="1"/>
        <v>Si</v>
      </c>
      <c r="R135" s="30" t="str">
        <f ca="1"/>
        <v>Voleibol</v>
      </c>
      <c r="S135" s="30" t="str">
        <f ca="1"/>
        <v>No</v>
      </c>
      <c r="T135" s="30">
        <v>0</v>
      </c>
      <c r="U135" s="30" t="str">
        <f ca="1"/>
        <v>Por el momento nada</v>
      </c>
      <c r="V135" s="30" t="str">
        <f ca="1"/>
        <v>Actualmente soy maestra en una escuela A.C.E</v>
      </c>
      <c r="W135" s="16" t="str">
        <f ca="1"/>
        <v>A. Soy un discipulador activo, B. Me gusta animar a las personas, D. Me gustan los deportes, E. Me gusta el trabajo con niños, L. Soy bueno (a) en canto o algún instrumento</v>
      </c>
      <c r="X135" s="16" t="str">
        <f ca="1"/>
        <v>Si, cada verano desde el 2012 hasta el 2019</v>
      </c>
      <c r="Y135" s="30">
        <v>0</v>
      </c>
      <c r="Z135" s="23" t="s">
        <v>25</v>
      </c>
      <c r="AA135" s="23"/>
      <c r="AB135" s="23"/>
      <c r="AC135" s="23"/>
      <c r="AD135" s="23"/>
      <c r="AE135" s="23"/>
      <c r="AF135" s="23"/>
      <c r="AG135" s="23"/>
      <c r="AH135" s="23"/>
      <c r="AI135" s="23" t="s">
        <v>26</v>
      </c>
      <c r="AJ135" s="16"/>
      <c r="AK135" s="16"/>
      <c r="AL135" s="17"/>
    </row>
    <row r="136" spans="1:38" ht="12.75" x14ac:dyDescent="0.35">
      <c r="A136" s="9">
        <v>135</v>
      </c>
      <c r="B136" s="34" t="str">
        <f ca="1"/>
        <v>Rebekah Ayelen, Gudino</v>
      </c>
      <c r="C136" s="35">
        <f ca="1"/>
        <v>19</v>
      </c>
      <c r="D136" s="34" t="str">
        <f ca="1"/>
        <v>Mujer</v>
      </c>
      <c r="E136" s="34" t="str">
        <f ca="1"/>
        <v>Jalisco, Mexico</v>
      </c>
      <c r="F136" s="34" t="str">
        <f ca="1"/>
        <v>rebekahg1204@gmail.com</v>
      </c>
      <c r="G136" s="34">
        <f ca="1"/>
        <v>523313176449</v>
      </c>
      <c r="H136" s="34" t="str">
        <f ca="1"/>
        <v>Semana de entrenamiento (07 - 13) Julio, Comunidad Jóvenes + 18 (14-19) Julio</v>
      </c>
      <c r="I136" s="34" t="str">
        <f ca="1"/>
        <v>Santa Biblia</v>
      </c>
      <c r="J136" s="34" t="str">
        <f ca="1"/>
        <v>Iglesia Biblica Renacer</v>
      </c>
      <c r="K136" s="34" t="str">
        <f ca="1"/>
        <v>Marco Antonio Gudiño Flores</v>
      </c>
      <c r="L136" s="34">
        <f ca="1"/>
        <v>523312095157</v>
      </c>
      <c r="M136" s="34" t="str">
        <f ca="1"/>
        <v>mjgudino15@gmail.com</v>
      </c>
      <c r="N136" s="34" t="str">
        <f ca="1"/>
        <v>alabanza y Niños</v>
      </c>
      <c r="O136" s="34" t="str">
        <f ca="1"/>
        <v>Crecí en cuna cristiana, pero no fue hasta que tenia 13 años que se volvió algo personal.</v>
      </c>
      <c r="P136" s="34" t="str">
        <f ca="1"/>
        <v>Fui el año pasado y la verdad es que impacto mucho mi vida, y quiero ir de nuevo para ayudar en lo que se pueda.</v>
      </c>
      <c r="Q136" s="34" t="str">
        <f ca="1"/>
        <v>No</v>
      </c>
      <c r="R136" s="34">
        <v>0</v>
      </c>
      <c r="S136" s="34" t="str">
        <f ca="1"/>
        <v>Si</v>
      </c>
      <c r="T136" s="34" t="str">
        <f ca="1"/>
        <v>teclado</v>
      </c>
      <c r="U136" s="34" t="str">
        <f ca="1"/>
        <v>Acabo de terminar la prepa, y voy a entrar a Consejería.</v>
      </c>
      <c r="V136" s="34" t="str">
        <f ca="1"/>
        <v>estoy dispuesta a ayudar en lo que es necesario.</v>
      </c>
      <c r="W136" s="36" t="str">
        <f ca="1"/>
        <v>B. Me gusta animar a las personas, D. Me gustan los deportes, E. Me gusta el trabajo con niños, H. Soy organizado (a), I. Se me facilita el trabajo físico, J. Me gusta la atención a las personas, K. Soy creativo (a)</v>
      </c>
      <c r="X136" s="36">
        <f ca="1"/>
        <v>2024</v>
      </c>
      <c r="Y136" s="34">
        <v>0</v>
      </c>
      <c r="Z136" s="37" t="s">
        <v>28</v>
      </c>
      <c r="AA136" s="37"/>
      <c r="AB136" s="37"/>
      <c r="AC136" s="37"/>
      <c r="AD136" s="23"/>
      <c r="AE136" s="23"/>
      <c r="AF136" s="23"/>
      <c r="AG136" s="23"/>
      <c r="AH136" s="23"/>
      <c r="AI136" s="23"/>
      <c r="AJ136" s="16" t="s">
        <v>132</v>
      </c>
      <c r="AK136" s="16"/>
      <c r="AL136" s="17"/>
    </row>
    <row r="137" spans="1:38" ht="12.75" x14ac:dyDescent="0.35">
      <c r="A137" s="9">
        <v>136</v>
      </c>
      <c r="B137" s="30" t="str">
        <f ca="1"/>
        <v>Julia, Villanueva</v>
      </c>
      <c r="C137" s="31">
        <f ca="1"/>
        <v>24</v>
      </c>
      <c r="D137" s="30" t="str">
        <f ca="1"/>
        <v>Hombre</v>
      </c>
      <c r="E137" s="30" t="str">
        <f ca="1"/>
        <v>Queretaro, Mexico</v>
      </c>
      <c r="F137" s="30" t="str">
        <f ca="1"/>
        <v>juliovillaran05@gmail.com</v>
      </c>
      <c r="G137" s="30">
        <f ca="1"/>
        <v>524423819650</v>
      </c>
      <c r="H137" s="30" t="str">
        <f ca="1"/>
        <v>Jóvenes de 13 – 17 años / SEM1/ (28 Julio a 02 de agosto), Jóvenes de 13 – 17 años / SEM2/ (4 - 09 agosto)</v>
      </c>
      <c r="I137" s="30" t="str">
        <f ca="1"/>
        <v>Plan de YouVersion</v>
      </c>
      <c r="J137" s="30" t="str">
        <f ca="1"/>
        <v>Iglesia Biblica Vida Nueva en Queretaro</v>
      </c>
      <c r="K137" s="30" t="str">
        <f ca="1"/>
        <v>Hector Villanueva</v>
      </c>
      <c r="L137" s="30">
        <f ca="1"/>
        <v>524421578292</v>
      </c>
      <c r="M137" s="30" t="str">
        <f ca="1"/>
        <v>hectorjvj@gmail.com</v>
      </c>
      <c r="N137" s="30" t="str">
        <f ca="1"/>
        <v>Ninguno</v>
      </c>
      <c r="O137" s="30" t="str">
        <f ca="1"/>
        <v>Creí en el Señor Jesucristo como mi salvador. Es él quien murio por mis pecados, y me redimio de mi vana manera de vivir. Aunque crecí en un ambiente cristiano, asistiendo a la iglesia de forma muy regular, yo por convicción propia reconocí que personalmente necesitaba del sacrificio de Jesús para limpiar mis pecados y buscar darle la gloria a Dios.</v>
      </c>
      <c r="P137" s="30" t="str">
        <f ca="1"/>
        <v>Me gusta mucho trabajar con jovenes. Dios me ha dado una carga por ellos y quiero poder impactar sus vidas con el evangelio durante esta semana.</v>
      </c>
      <c r="Q137" s="30" t="str">
        <f ca="1"/>
        <v>No</v>
      </c>
      <c r="R137" s="30">
        <v>0</v>
      </c>
      <c r="S137" s="30" t="str">
        <f ca="1"/>
        <v>Si</v>
      </c>
      <c r="T137" s="30" t="str">
        <f ca="1"/>
        <v>Piano/Teclado en grupo de alabanza, solista, etc. Llevo 10 años tocando.</v>
      </c>
      <c r="U137" s="30" t="str">
        <f ca="1"/>
        <v>Termine este año la carrera de Derecho.</v>
      </c>
      <c r="V137" s="30" t="str">
        <f ca="1"/>
        <v>Me gusta mucho el hablar en público, dirigir equipos de trabajo, tengo ingles fluido, me gusta enseñar, tengo conocimiento en audio y mezcla de sonido,</v>
      </c>
      <c r="W137" s="16" t="str">
        <f ca="1"/>
        <v>A. Soy un discipulador activo, B. Me gusta animar a las personas, D. Me gustan los deportes, G. Soy más eficiente en el trabajo individual, H. Soy organizado (a), I. Se me facilita el trabajo físico, J. Me gusta la atención a las personas, L. Soy bueno (a) en canto o algún instrumento, N. Suelo llevar el liderazgo en un grupo, O. Puedo enseñar con facilidad</v>
      </c>
      <c r="X137" s="16" t="str">
        <f ca="1"/>
        <v>He sido camperos en año 2021 y 2022 de +18</v>
      </c>
      <c r="Y137" s="30">
        <v>0</v>
      </c>
      <c r="Z137" s="23" t="s">
        <v>50</v>
      </c>
      <c r="AA137" s="23"/>
      <c r="AB137" s="23"/>
      <c r="AC137" s="23"/>
      <c r="AD137" s="23"/>
      <c r="AE137" s="23"/>
      <c r="AF137" s="23"/>
      <c r="AG137" s="23"/>
      <c r="AH137" s="23"/>
      <c r="AI137" s="23"/>
      <c r="AJ137" s="16"/>
      <c r="AK137" s="16"/>
      <c r="AL137" s="17"/>
    </row>
    <row r="138" spans="1:38" ht="25.5" x14ac:dyDescent="0.35">
      <c r="A138" s="9">
        <v>137</v>
      </c>
      <c r="B138" s="30" t="str">
        <f ca="1"/>
        <v>Genesis Valeria, Acuña Alvarez</v>
      </c>
      <c r="C138" s="31">
        <f ca="1"/>
        <v>26</v>
      </c>
      <c r="D138" s="30" t="str">
        <f ca="1"/>
        <v>Mujer</v>
      </c>
      <c r="E138" s="30" t="str">
        <f ca="1"/>
        <v>Durango, Mexico</v>
      </c>
      <c r="F138" s="30" t="str">
        <f ca="1"/>
        <v>acunavaleria125@gmail.com</v>
      </c>
      <c r="G138" s="30">
        <f ca="1"/>
        <v>50670916215</v>
      </c>
      <c r="H138" s="30" t="str">
        <f ca="1"/>
        <v>Semana de entrenamiento (07 - 13) Julio, Comunidad Jóvenes + 18 (14-19) Julio, Semana de niños y niñas (21-25) Julio, Jóvenes de 13 – 17 años / SEM1/ (28 Julio a 02 de agosto), Jóvenes de 13 – 17 años / SEM2/ (4 - 09 agosto), Jóvenes de 13 – 17 años / SEM3/ (11 - 16 agosto), Toda la temporada (07 de Julio al 16 de agosto)</v>
      </c>
      <c r="I138" s="30" t="str">
        <f ca="1"/>
        <v>Hora silenciosa</v>
      </c>
      <c r="J138" s="30" t="str">
        <f ca="1"/>
        <v>N/A</v>
      </c>
      <c r="K138" s="30" t="str">
        <f ca="1"/>
        <v>Gerson Acuña</v>
      </c>
      <c r="L138" s="30">
        <f ca="1"/>
        <v>526182931405</v>
      </c>
      <c r="M138" s="30" t="str">
        <f ca="1"/>
        <v>gersonacuna@wol.org</v>
      </c>
      <c r="N138" s="30" t="str">
        <f ca="1"/>
        <v>Trabajaba con niños y jovenes</v>
      </c>
      <c r="O138" s="30" t="str">
        <f ca="1"/>
        <v>Yo no crecí en un hogar cristiano en el sentido tradicional, pero desde muy niña tuve la bendición de escuchar sobre Dios. A la edad de 7 años, alguien me explicó el plan de salvación de una forma que mi corazón pudo entender. Recuerdo haber comprendido con una claridad sorprendente que Dios me amaba tanto que envió a su único Hijo a morir por mí. Aun así, vivía con mucho miedo, especialmente al “qué dirán”. Me importaba demasiado la opinión de los demás, lo que me hacía esconder lo que creía o sentía por temor al rechazo. Aunque ya conocía el mensaje del evangelio, me costaba vivirlo con libertad y seguridad. Mi relación con Dios estaba sembrada, pero aún no había florecido con fuerza. Era como si supiera la verdad, pero no me atreviera a abrazarla por completo por miedo a quedarme sola o ser señalada.
Desde aquella primera experiencia a los 7 años, mi vida comenzó un proceso de transformación que marcó mi camino. Lo que cambió radicalmente fue mi entendimiento del amor de Dios y la decisión de caminar en relación constante con Él. No fue un solo momento, sino una serie de encuentros, decisiones y llamados internos que me llevaron a dar pasos firmes hacia una vida más comprometida. Empecé a entender que Dios no busca perfección, sino disposición. Comencé a hablar con Él, a buscarlo con más intención, y esa comunicación trajo claridad, paz y propósito. Mi fe dejó de ser solo un conocimiento y se convirtió en una relación viva. Aprendí que agradar a Dios es más valioso que agradar a los demás. Desde entonces, mi mayor deseo ha sido permanecer cerca de Él y ser una mujer conforme a Su corazón, no por obligación, sino por amor y gratitud.
Hoy estoy en un proceso de servirle a Dios a tiempo completo. Cada día es una oportunidad para caminar en Su voluntad, escuchar Su voz y confiar en Su provisión. No ha sido fácil, pero es hermoso ver cómo Él abre puertas, sostiene mis pasos y llena cada área vacía con Su presencia. Estoy aprendiendo a depender más de Él, no solo espiritualmente, sino en cada decisión, cada proyecto, cada sueño. Anhelo estudiar más Su Palabra, conocerlo más profundamente y reflejar Su carácter en mi vida diaria. Este llamado de servicio es algo que arde en mi corazón; no es solo una meta, es un estilo de vida. Vivir para Dios, con Dios y por Dios es mi propósito. Aunque todavía estoy en camino, sé que estoy en el centro de Su voluntad, y eso me da paz. Hoy vivo con fe, con visión y con la certeza de que mi historia está en Sus manos.</v>
      </c>
      <c r="P138" s="30" t="str">
        <f ca="1"/>
        <v>Porque llevo años escuchando deseando venir a campamento y deseo tambien quedarme en instituto</v>
      </c>
      <c r="Q138" s="30" t="str">
        <f ca="1"/>
        <v>No</v>
      </c>
      <c r="R138" s="30">
        <v>0</v>
      </c>
      <c r="S138" s="30" t="str">
        <f ca="1"/>
        <v>No</v>
      </c>
      <c r="T138" s="30">
        <v>0</v>
      </c>
      <c r="U138" s="30" t="str">
        <f ca="1"/>
        <v>Por el momento no extoy estudiando</v>
      </c>
      <c r="V138" s="30" t="str">
        <f ca="1"/>
        <v>Tengo cursos de ingles intermedio y de diseño grafico</v>
      </c>
      <c r="W138" s="16" t="str">
        <f ca="1"/>
        <v>B. Me gusta animar a las personas, C. Suelo buscar que el trabajo se realice en equipo, E. Me gusta el trabajo con niños, G. Soy más eficiente en el trabajo individual, H. Soy organizado (a), J. Me gusta la atención a las personas, K. Soy creativo (a), O. Puedo enseñar con facilidad</v>
      </c>
      <c r="X138" s="16" t="str">
        <f ca="1"/>
        <v>Si, en Costa Rica</v>
      </c>
      <c r="Y138" s="30">
        <v>0</v>
      </c>
      <c r="Z138" s="23" t="s">
        <v>25</v>
      </c>
      <c r="AA138" s="23"/>
      <c r="AB138" s="23"/>
      <c r="AC138" s="23"/>
      <c r="AD138" s="23"/>
      <c r="AE138" s="23"/>
      <c r="AF138" s="23"/>
      <c r="AG138" s="23"/>
      <c r="AH138" s="23"/>
      <c r="AI138" s="23"/>
      <c r="AJ138" s="16" t="s">
        <v>133</v>
      </c>
      <c r="AK138" s="16"/>
      <c r="AL138" s="17"/>
    </row>
    <row r="139" spans="1:38" ht="25.5" x14ac:dyDescent="0.35">
      <c r="A139" s="9">
        <v>138</v>
      </c>
      <c r="B139" s="30" t="str">
        <f ca="1"/>
        <v>Erika Sughey, Luna Cobian</v>
      </c>
      <c r="C139" s="31">
        <f ca="1"/>
        <v>19</v>
      </c>
      <c r="D139" s="30" t="str">
        <f ca="1"/>
        <v>Mujer</v>
      </c>
      <c r="E139" s="30" t="str">
        <f ca="1"/>
        <v>Jalisco, Mexico</v>
      </c>
      <c r="F139" s="30" t="str">
        <f ca="1"/>
        <v>sugheyluna9@gmail.com</v>
      </c>
      <c r="G139" s="30">
        <f ca="1"/>
        <v>523333210336</v>
      </c>
      <c r="H139" s="30" t="str">
        <f ca="1"/>
        <v>Semana de niños y niñas (21-25) Julio, Jóvenes de 13 – 17 años / SEM1/ (28 Julio a 02 de agosto)</v>
      </c>
      <c r="I139" s="30" t="str">
        <f ca="1"/>
        <v>Hora Silenciosa</v>
      </c>
      <c r="J139" s="30" t="str">
        <f ca="1"/>
        <v>Iglesia Vida</v>
      </c>
      <c r="K139" s="30" t="str">
        <f ca="1"/>
        <v>Neftalí Rubio</v>
      </c>
      <c r="L139" s="30">
        <f ca="1"/>
        <v>524411036024</v>
      </c>
      <c r="M139" s="30" t="str">
        <f ca="1"/>
        <v>nefaly7@me.com</v>
      </c>
      <c r="N139" s="30" t="str">
        <f ca="1"/>
        <v>Actualmente tengo 2 iglesias, una en Guatemala en la cual soy parte de la alabanza, club bíblico, enseñanza en escuela dominical. Y en mi iglesia en Mexico cuando puedo estar por alla, soy parte de la cafetería, bienvenida, y El Tren de Salvacion.</v>
      </c>
      <c r="O139" s="30" t="str">
        <f ca="1"/>
        <v>Crecí en un hogar cristiano, pero no fue hasta la edad de 16 años que realmente fui transformada por el evangelio. A partir de allí comenzó en mi un deseo genuino y ferviente por conocer a Dios y servirle.</v>
      </c>
      <c r="P139" s="30" t="str">
        <f ca="1"/>
        <v>He tenido la experiencia de ser parte, y es un gozo poder invertir mi tiempo en expandir su Reino desde el área que Dios me ha permitido estar. Disfruto servir y caminar con otras personas en el proceso de salvación y discipulado.</v>
      </c>
      <c r="Q139" s="30" t="str">
        <f ca="1"/>
        <v>No</v>
      </c>
      <c r="R139" s="30">
        <v>0</v>
      </c>
      <c r="S139" s="30" t="str">
        <f ca="1"/>
        <v>No</v>
      </c>
      <c r="T139" s="30">
        <v>0</v>
      </c>
      <c r="U139" s="30" t="str">
        <f ca="1"/>
        <v>Por el momento nada.</v>
      </c>
      <c r="V139" s="30" t="str">
        <f ca="1"/>
        <v>Limpieza y orden, deporte, consejería.</v>
      </c>
      <c r="W139" s="16" t="str">
        <f ca="1"/>
        <v>A. Soy un discipulador activo, B. Me gusta animar a las personas, D. Me gustan los deportes, E. Me gusta el trabajo con niños, G. Soy más eficiente en el trabajo individual, H. Soy organizado (a), J. Me gusta la atención a las personas, O. Puedo enseñar con facilidad</v>
      </c>
      <c r="X139" s="16" t="str">
        <f ca="1"/>
        <v>Si, 2022 y 2023</v>
      </c>
      <c r="Y139" s="30">
        <v>0</v>
      </c>
      <c r="Z139" s="23" t="s">
        <v>26</v>
      </c>
      <c r="AA139" s="23"/>
      <c r="AB139" s="23"/>
      <c r="AC139" s="23"/>
      <c r="AD139" s="23"/>
      <c r="AE139" s="23"/>
      <c r="AF139" s="23"/>
      <c r="AG139" s="23"/>
      <c r="AH139" s="23"/>
      <c r="AI139" s="23"/>
      <c r="AJ139" s="16" t="s">
        <v>134</v>
      </c>
      <c r="AK139" s="16"/>
      <c r="AL139" s="17"/>
    </row>
    <row r="140" spans="1:38" ht="12.75" x14ac:dyDescent="0.35">
      <c r="A140" s="9">
        <v>139</v>
      </c>
      <c r="B140" s="34" t="str">
        <f ca="1"/>
        <v>Genesis Jemima, Bolaños Martinez</v>
      </c>
      <c r="C140" s="35">
        <f ca="1"/>
        <v>18</v>
      </c>
      <c r="D140" s="34" t="str">
        <f ca="1"/>
        <v>Mujer</v>
      </c>
      <c r="E140" s="34" t="str">
        <f ca="1"/>
        <v>Mexico, Mexico</v>
      </c>
      <c r="F140" s="34" t="str">
        <f ca="1"/>
        <v>genesis.bomar@gmail.com</v>
      </c>
      <c r="G140" s="34">
        <f ca="1"/>
        <v>525570110978</v>
      </c>
      <c r="H140" s="34" t="str">
        <f ca="1"/>
        <v>Comunidad Jóvenes + 18 (14-19) Julio, Semana de niños y niñas (21-25) Julio, Jóvenes de 13 – 17 años / SEM1/ (28 Julio a 02 de agosto), Jóvenes de 13 – 17 años / SEM2/ (4 - 09 agosto), Jóvenes de 13 – 17 años / SEM3/ (11 - 16 agosto)</v>
      </c>
      <c r="I140" s="34" t="str">
        <f ca="1"/>
        <v>Un año de cambios</v>
      </c>
      <c r="J140" s="34" t="str">
        <f ca="1"/>
        <v>Centro de Fe, Esperanza y Amor "Ecatepec"</v>
      </c>
      <c r="K140" s="34" t="str">
        <f ca="1"/>
        <v>Martin del Rey</v>
      </c>
      <c r="L140" s="34">
        <f ca="1"/>
        <v>525557875166</v>
      </c>
      <c r="M140" s="34" t="str">
        <f ca="1"/>
        <v>cfeaecatepec@gmail.com</v>
      </c>
      <c r="N140" s="34" t="str">
        <f ca="1"/>
        <v>Por el momento ninguno</v>
      </c>
      <c r="O140" s="34" t="str">
        <f ca="1"/>
        <v>Hace tres años me juntaba con un grupo de amigas que al principio creí que eran buenas. Con el tiempo, empezaron a invitarme a antros, fiestas y a tomar alcohol. Aunque yo nunca había fumado ni tomado, por miedo a quedarme sola terminé haciéndolo, aunque en el fondo sabía que eso no era para mí.
Un domingo en la iglesia, el mensaje fue sobre las amistades. Al final, oramos, y yo le pedí a Dios que quitara de mi vida cualquier carga y personas que no me ayudaran a acercarme a Él. Dos días después, esas amigas dejaron de hablarme. Me dolió mucho, pero con el tiempo entendí que esa fue la respuesta a mi oración.
Hoy sé que Dios me apartó de lo que me alejaba de Él. Aunque me sentí sola, nunca estuve sola. Él estuvo conmigo, me levantó y me dio nuevas amistades y un propósito más claro. Aprendí que, aunque duela, cuando Dios responde, siempre lo hace para nuestro bien.</v>
      </c>
      <c r="P140" s="34" t="str">
        <f ca="1"/>
        <v>Porque cuando fui por primera vez, yo ni siquiera quería ir. Pero Dios usó esa experiencia para cambiar mi vida. Tuve una consejera increíble que me marcó profundamente, y desde ese momento supe que yo también quería ser una consejera algún día. El campamento fue, y sigue siendo, una de las mejores semanas de mi vida.
Volví a casa con un anhelo fuerte de servir a Dios, y hasta consideré ir al instituto bíblico. Para mí, servir  sea mucho o poco, ya es un privilegio. Quiero ser parte de lo que Dios hace en la vida de otros jóvenes, así como alguien lo fue para mí. Quiero estar ahí, no solo para ayudar, sino para sembrar algo en sus corazones que solo Dios puede hacer crecer.</v>
      </c>
      <c r="Q140" s="34" t="str">
        <f ca="1"/>
        <v>Si</v>
      </c>
      <c r="R140" s="34" t="str">
        <f ca="1"/>
        <v>Karate, Futbol y volleyball de sala</v>
      </c>
      <c r="S140" s="34" t="str">
        <f ca="1"/>
        <v>No</v>
      </c>
      <c r="T140" s="34">
        <v>0</v>
      </c>
      <c r="U140" s="34" t="str">
        <f ca="1"/>
        <v>Licenciatura en educación primaria</v>
      </c>
      <c r="V140" s="34" t="str">
        <f ca="1"/>
        <v>Soy instructora de karate con experiencia trabajando con niños y adolescentes. Me encanta el deporte, la enseñanza y el servicio. Soy una persona organizada, creativa, servicial y con habilidades de liderazgo</v>
      </c>
      <c r="W140" s="36" t="str">
        <f ca="1"/>
        <v>B. Me gusta animar a las personas, C. Suelo buscar que el trabajo se realice en equipo, D. Me gustan los deportes, E. Me gusta el trabajo con niños, H. Soy organizado (a), I. Se me facilita el trabajo físico, J. Me gusta la atención a las personas, K. Soy creativo (a), N. Suelo llevar el liderazgo en un grupo, O. Puedo enseñar con facilidad</v>
      </c>
      <c r="X140" s="36" t="str">
        <f ca="1"/>
        <v>Sip 2019,2020, 2022, 2024</v>
      </c>
      <c r="Y140" s="34">
        <v>0</v>
      </c>
      <c r="Z140" s="37" t="s">
        <v>28</v>
      </c>
      <c r="AA140" s="37"/>
      <c r="AB140" s="37"/>
      <c r="AC140" s="37"/>
      <c r="AD140" s="23"/>
      <c r="AE140" s="23"/>
      <c r="AF140" s="23"/>
      <c r="AG140" s="23"/>
      <c r="AH140" s="23"/>
      <c r="AI140" s="23"/>
      <c r="AJ140" s="16"/>
      <c r="AK140" s="16"/>
      <c r="AL140" s="17"/>
    </row>
    <row r="141" spans="1:38" ht="12.75" x14ac:dyDescent="0.35">
      <c r="A141" s="9">
        <v>140</v>
      </c>
      <c r="B141" s="30" t="str">
        <f ca="1"/>
        <v>Heriberto Iván, Maldonado Nazario</v>
      </c>
      <c r="C141" s="31">
        <f ca="1"/>
        <v>25</v>
      </c>
      <c r="D141" s="30" t="str">
        <f ca="1"/>
        <v>Hombre</v>
      </c>
      <c r="E141" s="30" t="str">
        <f ca="1"/>
        <v>Mexico City, Mexico</v>
      </c>
      <c r="F141" s="30" t="str">
        <f ca="1"/>
        <v>maldonadoheriberto58@gmail.com</v>
      </c>
      <c r="G141" s="30">
        <f ca="1"/>
        <v>525535659123</v>
      </c>
      <c r="H141" s="30" t="str">
        <f ca="1"/>
        <v>Comunidad Jóvenes + 18 (14-19) Julio</v>
      </c>
      <c r="I141" s="30" t="str">
        <f ca="1"/>
        <v>Cómo orar C.S. Lewis</v>
      </c>
      <c r="J141" s="30" t="str">
        <f ca="1"/>
        <v>Iglesia cristiana 24 siete</v>
      </c>
      <c r="K141" s="30" t="str">
        <f ca="1"/>
        <v>Pastor Josué Álvarez</v>
      </c>
      <c r="L141" s="30">
        <f ca="1"/>
        <v>525543555907</v>
      </c>
      <c r="M141" s="30" t="str">
        <f ca="1"/>
        <v>maldonadoheriberto58@gmail.com</v>
      </c>
      <c r="N141" s="30" t="str">
        <f ca="1"/>
        <v>Grupo de jóvenes y alabanza</v>
      </c>
      <c r="O141" s="30" t="str">
        <f ca="1"/>
        <v>El Señor trabajó conmigo muchos años pero cuando realmente tuve un encuentro con él fue en el campamento de Bernal del 2018 en una fogata, fue la primera vez que fui como campero y posteriormente como equipante, fue ahí donde el Señor me salvó y llamó a su obra</v>
      </c>
      <c r="P141" s="30" t="str">
        <f ca="1"/>
        <v>Cada año El Señor y ustedes me han permitido servir, es una forma en la cual es gratitud que ahí encontré a Cristo, y me gusta poder servirle al Señor y a mis amigos y personas nuevas que conozca</v>
      </c>
      <c r="Q141" s="30" t="str">
        <f ca="1"/>
        <v>Si</v>
      </c>
      <c r="R141" s="30" t="str">
        <f ca="1"/>
        <v>Fútbol Americano</v>
      </c>
      <c r="S141" s="30" t="str">
        <f ca="1"/>
        <v>Si</v>
      </c>
      <c r="T141" s="30" t="str">
        <f ca="1"/>
        <v>Batería</v>
      </c>
      <c r="U141" s="30" t="str">
        <f ca="1"/>
        <v>Teología en el instituto paulino</v>
      </c>
      <c r="V141" s="30" t="str">
        <f ca="1"/>
        <v>Me dedico de manera industrial a la soldadura por lo cual sé soldar</v>
      </c>
      <c r="W141" s="16" t="str">
        <f ca="1"/>
        <v>A. Soy un discipulador activo, B. Me gusta animar a las personas, I. Se me facilita el trabajo físico, J. Me gusta la atención a las personas, L. Soy bueno (a) en canto o algún instrumento, N. Suelo llevar el liderazgo en un grupo, O. Puedo enseñar con facilidad</v>
      </c>
      <c r="X141" s="16" t="str">
        <f ca="1"/>
        <v>Sí, he sido campero en el 2018</v>
      </c>
      <c r="Y141" s="30">
        <v>0</v>
      </c>
      <c r="Z141" s="23" t="s">
        <v>51</v>
      </c>
      <c r="AA141" s="23" t="s">
        <v>45</v>
      </c>
      <c r="AB141" s="23"/>
      <c r="AC141" s="23"/>
      <c r="AD141" s="23"/>
      <c r="AE141" s="23"/>
      <c r="AF141" s="23"/>
      <c r="AG141" s="23"/>
      <c r="AH141" s="23"/>
      <c r="AI141" s="23"/>
      <c r="AJ141" s="16" t="s">
        <v>135</v>
      </c>
      <c r="AK141" s="16"/>
      <c r="AL141" s="17"/>
    </row>
    <row r="142" spans="1:38" ht="25.5" x14ac:dyDescent="0.35">
      <c r="A142" s="9">
        <v>141</v>
      </c>
      <c r="B142" s="30" t="str">
        <f ca="1"/>
        <v>Keila, Velasco</v>
      </c>
      <c r="C142" s="31">
        <f ca="1"/>
        <v>30</v>
      </c>
      <c r="D142" s="30" t="str">
        <f ca="1"/>
        <v>Mujer</v>
      </c>
      <c r="E142" s="30" t="str">
        <f ca="1"/>
        <v>Queretaro, Mexico</v>
      </c>
      <c r="F142" s="30" t="str">
        <f ca="1"/>
        <v>keilavelasco.03g@gmail.com</v>
      </c>
      <c r="G142" s="30" t="str">
        <f ca="1"/>
        <v>#ERROR!</v>
      </c>
      <c r="H142" s="30" t="str">
        <f ca="1"/>
        <v>Comunidad Jóvenes + 18 (14-19) Julio, Semana de niños y niñas (21-25) Julio</v>
      </c>
      <c r="I142" s="30" t="str">
        <f ca="1"/>
        <v>Devocional personal</v>
      </c>
      <c r="J142" s="30" t="str">
        <f ca="1"/>
        <v>City Church</v>
      </c>
      <c r="K142" s="30" t="str">
        <f ca="1"/>
        <v>Joel Salazar</v>
      </c>
      <c r="L142" s="30">
        <f ca="1"/>
        <v>52524411299086</v>
      </c>
      <c r="M142" s="30" t="str">
        <f ca="1"/>
        <v>keilavelasco.03g@gmail.com</v>
      </c>
      <c r="N142" s="30" t="str">
        <f ca="1"/>
        <v>Ministerio de enseñanza</v>
      </c>
      <c r="O142" s="30" t="str">
        <f ca="1"/>
        <v>Nací en un hogar cristiano, sin embargo mi encuentro personal con Dios fue a los 17 años, cuando estaba por entrar a la universidad y en donde mi identidad en Cristo tenía que ser real, fue un momento con muchas luchas, pero comprendí el amor de Dios por mi y la venda de religiosidad fue quitada. Posteriormente mi relación con Dios cambio, fue genuina y hubo un cambio en mi. 
A los 24 años estudie en el instituto bíblico y ahora estoy sirviendo como misionera en Querétaro.</v>
      </c>
      <c r="P142" s="30" t="str">
        <f ca="1"/>
        <v>Me gustaría seguir sirviendo a Dios y poder conocerle cada día más, siento que el campamento es una gran oportunidad</v>
      </c>
      <c r="Q142" s="30" t="str">
        <f ca="1"/>
        <v>No</v>
      </c>
      <c r="R142" s="30">
        <v>0</v>
      </c>
      <c r="S142" s="30" t="str">
        <f ca="1"/>
        <v>No</v>
      </c>
      <c r="T142" s="30">
        <v>0</v>
      </c>
      <c r="U142" s="30" t="str">
        <f ca="1"/>
        <v>Estudie en el instituto bíblico y también una licenciatura en desarrollo sustentable</v>
      </c>
      <c r="V142" s="30" t="str">
        <f ca="1"/>
        <v>Licenciatura en desarrollo sustentable y en teología</v>
      </c>
      <c r="W142" s="16" t="str">
        <f ca="1"/>
        <v>A. Soy un discipulador activo, B. Me gusta animar a las personas, C. Suelo buscar que el trabajo se realice en equipo, E. Me gusta el trabajo con niños, H. Soy organizado (a), J. Me gusta la atención a las personas, N. Suelo llevar el liderazgo en un grupo</v>
      </c>
      <c r="X142" s="16" t="str">
        <f ca="1"/>
        <v>No</v>
      </c>
      <c r="Y142" s="30">
        <v>0</v>
      </c>
      <c r="Z142" s="23" t="s">
        <v>51</v>
      </c>
      <c r="AA142" s="23" t="s">
        <v>26</v>
      </c>
      <c r="AB142" s="23"/>
      <c r="AC142" s="23"/>
      <c r="AD142" s="23"/>
      <c r="AE142" s="23"/>
      <c r="AF142" s="23"/>
      <c r="AG142" s="23"/>
      <c r="AH142" s="23"/>
      <c r="AI142" s="23"/>
      <c r="AJ142" s="16" t="s">
        <v>136</v>
      </c>
      <c r="AK142" s="16"/>
      <c r="AL142" s="17"/>
    </row>
    <row r="143" spans="1:38" ht="12.75" x14ac:dyDescent="0.35">
      <c r="A143" s="9">
        <v>142</v>
      </c>
      <c r="B143" s="30" t="str">
        <f ca="1"/>
        <v>Renata, Aquino Molina</v>
      </c>
      <c r="C143" s="31">
        <f ca="1"/>
        <v>18</v>
      </c>
      <c r="D143" s="30" t="str">
        <f ca="1"/>
        <v>Mujer</v>
      </c>
      <c r="E143" s="30" t="str">
        <f ca="1"/>
        <v>Oaxaca, Mexico</v>
      </c>
      <c r="F143" s="30" t="str">
        <f ca="1"/>
        <v>aquinomolinarenata@gmail.com</v>
      </c>
      <c r="G143" s="30">
        <f ca="1"/>
        <v>529511579052</v>
      </c>
      <c r="H143" s="30" t="str">
        <f ca="1"/>
        <v>Semana de niños y niñas (21-25) Julio, Jóvenes de 13 – 17 años / SEM1/ (28 Julio a 02 de agosto)</v>
      </c>
      <c r="I143" s="30" t="str">
        <f ca="1"/>
        <v>Ninguno</v>
      </c>
      <c r="J143" s="30" t="str">
        <f ca="1"/>
        <v>Campamento de Dios</v>
      </c>
      <c r="K143" s="30" t="str">
        <f ca="1"/>
        <v>Jorge Carranza</v>
      </c>
      <c r="L143" s="30">
        <f ca="1"/>
        <v>527555572728</v>
      </c>
      <c r="M143" s="30" t="str">
        <f ca="1"/>
        <v>Pastorjorgecarranza@hotmail.com</v>
      </c>
      <c r="N143" s="30" t="str">
        <f ca="1"/>
        <v>Ayudo en medios</v>
      </c>
      <c r="O143" s="30" t="str">
        <f ca="1"/>
        <v>Tras una escuelita biblica de vacaciones recibí a Cristo de camino a mi casa, hice una oración en mi auto.</v>
      </c>
      <c r="P143" s="30" t="str">
        <f ca="1"/>
        <v>Para ayudar</v>
      </c>
      <c r="Q143" s="30" t="str">
        <f ca="1"/>
        <v>No</v>
      </c>
      <c r="R143" s="30">
        <v>0</v>
      </c>
      <c r="S143" s="30" t="str">
        <f ca="1"/>
        <v>No</v>
      </c>
      <c r="T143" s="30">
        <v>0</v>
      </c>
      <c r="U143" s="30" t="str">
        <f ca="1"/>
        <v>Acabo de terminar la preparatoria</v>
      </c>
      <c r="V143" s="30" t="str">
        <f ca="1"/>
        <v>Canto</v>
      </c>
      <c r="W143" s="16" t="str">
        <f ca="1"/>
        <v>L. Soy bueno (a) en canto o algún instrumento</v>
      </c>
      <c r="X143" s="16" t="str">
        <f ca="1"/>
        <v>Si, el año pasado</v>
      </c>
      <c r="Y143" s="30">
        <v>0</v>
      </c>
      <c r="Z143" s="23" t="s">
        <v>51</v>
      </c>
      <c r="AA143" s="23" t="s">
        <v>25</v>
      </c>
      <c r="AB143" s="23"/>
      <c r="AC143" s="23"/>
      <c r="AD143" s="23"/>
      <c r="AE143" s="23"/>
      <c r="AF143" s="23"/>
      <c r="AG143" s="23"/>
      <c r="AH143" s="23"/>
      <c r="AI143" s="23"/>
      <c r="AJ143" s="16" t="s">
        <v>137</v>
      </c>
      <c r="AK143" s="16"/>
      <c r="AL143" s="17"/>
    </row>
    <row r="144" spans="1:38" ht="12.75" x14ac:dyDescent="0.35">
      <c r="A144" s="9">
        <v>143</v>
      </c>
      <c r="B144" s="30" t="str">
        <f ca="1"/>
        <v>Keren Raquel, Pineda Flores</v>
      </c>
      <c r="C144" s="31">
        <f ca="1"/>
        <v>18</v>
      </c>
      <c r="D144" s="30" t="str">
        <f ca="1"/>
        <v>Mujer</v>
      </c>
      <c r="E144" s="30" t="str">
        <f ca="1"/>
        <v>Mexico City, Mexico</v>
      </c>
      <c r="F144" s="30" t="str">
        <f ca="1"/>
        <v>kerenflores7906@gmail.com</v>
      </c>
      <c r="G144" s="30">
        <f ca="1"/>
        <v>525576866581</v>
      </c>
      <c r="H144" s="30" t="str">
        <f ca="1"/>
        <v>Semana de entrenamiento (07 - 13) Julio, Comunidad Jóvenes + 18 (14-19) Julio, Semana de niños y niñas (21-25) Julio</v>
      </c>
      <c r="I144" s="30" t="str">
        <f ca="1"/>
        <v>hora silenciosa</v>
      </c>
      <c r="J144" s="30" t="str">
        <f ca="1"/>
        <v>Iglesia Cristiana Bautista de San Juan Ixtayopan</v>
      </c>
      <c r="K144" s="30" t="str">
        <f ca="1"/>
        <v>Pedro Ramirez Perez</v>
      </c>
      <c r="L144" s="30">
        <f ca="1"/>
        <v>525535075750</v>
      </c>
      <c r="M144" s="30" t="str">
        <f ca="1"/>
        <v>Pedroclasic@gmail.com</v>
      </c>
      <c r="N144" s="30" t="str">
        <f ca="1"/>
        <v>Maestra de escuela dominical de niños de 2 años a 6</v>
      </c>
      <c r="O144" s="30" t="str">
        <f ca="1"/>
        <v>Yo he sido una chica que desde bebe fue a la iglesia,desde chica he escuchado las historias de la biblia e incluso el evangelio, pero realmente yo no creia, aunque con mis papas siempre teniamos nuestro nevocional,pues solo lo hacia por obligacion, en 2019 mis papas se divorciaron y llego un punto en el que mi hermano se queria ir con mi papa y eso hizo que mi papa no me dejara ver a mi hermano, ni a él y me dijo que mientras yo no tomara la decision de vivir con él, no me hablaria ni veria por mi,para mi fue muy doloroso,me sentia triste todo el tiempo y lo que mi papa cada vez me decia era mas doloroso, llego un punto en donde ya no queria sentirme asi y fue que vi una hora silencia y recorde lo que mi lider decia sobre el tiempo con el Señor y por mi cabeza paso no se si sea cierto esto o si realmente cambie algo en mí o en mi vida pero voy intentar, entonces recuerdo haber hecho mi HS y justo hablaba del amor de Dios, recuerdo que al leer que habia alguien que me amaba tal y como soy y sin ninguna condición, ese espacio que se sentia vacio se lleno, ore al Señor expresando todo lo que sentia y le pedi a mi lider que orara por mí que realmente queria saber de Dios y que queria tenerlo en mi vida y fue asi como acepte a Cristo en mi corazón así hasta el día de hoy he podido aprender a vivir conforme Dios nos mandó y a permanecer en él.</v>
      </c>
      <c r="P144" s="30" t="str">
        <f ca="1"/>
        <v>Por que me gusta servir a Dios y tambien me gustaría compartir como Dios obra de maneras difentes en nuestras vidas.
En mi corazon esta la dispocision de servir toda la temporada pero por lo economico, no se puede.</v>
      </c>
      <c r="Q144" s="30" t="str">
        <f ca="1"/>
        <v>Si</v>
      </c>
      <c r="R144" s="30" t="str">
        <f ca="1"/>
        <v>gym y basquetboll</v>
      </c>
      <c r="S144" s="30" t="str">
        <f ca="1"/>
        <v>No</v>
      </c>
      <c r="T144" s="30">
        <v>0</v>
      </c>
      <c r="U144" s="30" t="str">
        <f ca="1"/>
        <v>primer año de Ingenieria Informatica</v>
      </c>
      <c r="V144" s="30" t="str">
        <f ca="1"/>
        <v>Facilidad para interactuar con la gente</v>
      </c>
      <c r="W144" s="16" t="str">
        <f ca="1"/>
        <v>A. Soy un discipulador activo, B. Me gusta animar a las personas, C. Suelo buscar que el trabajo se realice en equipo, D. Me gustan los deportes, H. Soy organizado (a), I. Se me facilita el trabajo físico, J. Me gusta la atención a las personas, K. Soy creativo (a)</v>
      </c>
      <c r="X144" s="16" t="str">
        <f ca="1"/>
        <v>sí, he ido varios años y el ultimo fue Reinos</v>
      </c>
      <c r="Y144" s="30">
        <v>0</v>
      </c>
      <c r="Z144" s="23" t="s">
        <v>51</v>
      </c>
      <c r="AA144" s="23" t="s">
        <v>25</v>
      </c>
      <c r="AB144" s="23"/>
      <c r="AC144" s="23"/>
      <c r="AD144" s="23"/>
      <c r="AE144" s="23"/>
      <c r="AF144" s="23"/>
      <c r="AG144" s="23"/>
      <c r="AH144" s="23"/>
      <c r="AI144" s="23"/>
      <c r="AJ144" s="16"/>
      <c r="AK144" s="16"/>
      <c r="AL144" s="17"/>
    </row>
    <row r="145" spans="1:38" ht="12.75" x14ac:dyDescent="0.35">
      <c r="A145" s="9">
        <v>144</v>
      </c>
      <c r="B145" s="30" t="str">
        <f ca="1"/>
        <v>Aaron, Chavez</v>
      </c>
      <c r="C145" s="31">
        <f ca="1"/>
        <v>17</v>
      </c>
      <c r="D145" s="30" t="str">
        <f ca="1"/>
        <v>Hombre</v>
      </c>
      <c r="E145" s="30" t="str">
        <f ca="1"/>
        <v>Queretaro, Mexico</v>
      </c>
      <c r="F145" s="30" t="str">
        <f ca="1"/>
        <v>aaronchco08@gmail.com</v>
      </c>
      <c r="G145" s="30">
        <f ca="1"/>
        <v>524421455000</v>
      </c>
      <c r="H145" s="30" t="str">
        <f ca="1"/>
        <v>Semana de niños y niñas (21-25) Julio, Jóvenes de 13 – 17 años / SEM1/ (28 Julio a 02 de agosto), Jóvenes de 13 – 17 años / SEM2/ (4 - 09 agosto)</v>
      </c>
      <c r="I145" s="30" t="str">
        <f ca="1"/>
        <v>YouVersion</v>
      </c>
      <c r="J145" s="30" t="str">
        <f ca="1"/>
        <v>Iglesia Bliblica Vida Nueva Queretaro</v>
      </c>
      <c r="K145" s="30" t="str">
        <f ca="1"/>
        <v>Héctor Villanueva</v>
      </c>
      <c r="L145" s="30">
        <f ca="1"/>
        <v>52524421578292</v>
      </c>
      <c r="M145" s="30" t="str">
        <f ca="1"/>
        <v>hectorjvj@gmail.com</v>
      </c>
      <c r="N145" s="30" t="str">
        <f ca="1"/>
        <v>Jóvenes +17</v>
      </c>
      <c r="O145" s="30" t="str">
        <f ca="1"/>
        <v>pues a los 13 años acepte a Dios en un campamento de Pv</v>
      </c>
      <c r="P145" s="30" t="str">
        <f ca="1"/>
        <v>porque estuve el año pasado y quiero este tmb</v>
      </c>
      <c r="Q145" s="30" t="str">
        <f ca="1"/>
        <v>Si</v>
      </c>
      <c r="R145" s="30" t="str">
        <f ca="1"/>
        <v>Todo</v>
      </c>
      <c r="S145" s="30" t="str">
        <f ca="1"/>
        <v>Si</v>
      </c>
      <c r="T145" s="30" t="str">
        <f ca="1"/>
        <v>piano y guitarra</v>
      </c>
      <c r="U145" s="30" t="str">
        <f ca="1"/>
        <v>Preparatoria</v>
      </c>
      <c r="V145" s="30" t="str">
        <f ca="1"/>
        <v>Aprendo Rápido a hacer las vozas</v>
      </c>
      <c r="W145" s="16" t="str">
        <f ca="1"/>
        <v>B. Me gusta animar a las personas, C. Suelo buscar que el trabajo se realice en equipo, D. Me gustan los deportes, E. Me gusta el trabajo con niños, I. Se me facilita el trabajo físico, L. Soy bueno (a) en canto o algún instrumento, M. Soy bueno (a) con los números, O. Puedo enseñar con facilidad</v>
      </c>
      <c r="X145" s="16" t="str">
        <f ca="1"/>
        <v>La pasada osea 2024</v>
      </c>
      <c r="Y145" s="30">
        <v>0</v>
      </c>
      <c r="Z145" s="23" t="s">
        <v>51</v>
      </c>
      <c r="AA145" s="23" t="s">
        <v>50</v>
      </c>
      <c r="AB145" s="23"/>
      <c r="AC145" s="23"/>
      <c r="AD145" s="23"/>
      <c r="AE145" s="23"/>
      <c r="AF145" s="23"/>
      <c r="AG145" s="23"/>
      <c r="AH145" s="23"/>
      <c r="AI145" s="23"/>
      <c r="AJ145" s="16"/>
      <c r="AK145" s="16"/>
      <c r="AL145" s="17"/>
    </row>
    <row r="146" spans="1:38" ht="12.75" x14ac:dyDescent="0.35">
      <c r="A146" s="9">
        <v>145</v>
      </c>
      <c r="B146" s="30" t="str">
        <f ca="1"/>
        <v>Pablo Esaú, Rueda Vazquez</v>
      </c>
      <c r="C146" s="31">
        <f ca="1"/>
        <v>23</v>
      </c>
      <c r="D146" s="30" t="str">
        <f ca="1"/>
        <v>Hombre</v>
      </c>
      <c r="E146" s="30" t="str">
        <f ca="1"/>
        <v>Mexico, Mexico</v>
      </c>
      <c r="F146" s="30" t="str">
        <f ca="1"/>
        <v>Pabloruvaz@gmail.com</v>
      </c>
      <c r="G146" s="30">
        <f ca="1"/>
        <v>527201527830</v>
      </c>
      <c r="H146" s="30" t="str">
        <f ca="1"/>
        <v>Semana de entrenamiento (07 - 13) Julio, Comunidad Jóvenes + 18 (14-19) Julio</v>
      </c>
      <c r="I146" s="30" t="str">
        <f ca="1"/>
        <v>Ebenezer</v>
      </c>
      <c r="J146" s="30" t="str">
        <f ca="1"/>
        <v>Iglesia Bautista Dunamis</v>
      </c>
      <c r="K146" s="30" t="str">
        <f ca="1"/>
        <v>Luis Emmanuel López Chaparro</v>
      </c>
      <c r="L146" s="30">
        <f ca="1"/>
        <v>525528054570</v>
      </c>
      <c r="M146" s="30" t="str">
        <f ca="1"/>
        <v>emmanuellopezchaparro@gmail.com</v>
      </c>
      <c r="N146" s="30" t="str">
        <f ca="1"/>
        <v>Maestro de Niños/ministerio infantil</v>
      </c>
      <c r="O146" s="30" t="str">
        <f ca="1"/>
        <v>Agradezco a Dios por nunca soltarme ni apartarse de mi, cuando mi juicio se vió nublado por mis acciones e intenté apartarme nunca lo conseguí y ahora entiendo que fue Dios y siempre ha sido Dios, mi lugar está en su presciencia sirviéndole</v>
      </c>
      <c r="P146" s="30" t="str">
        <f ca="1"/>
        <v>A principios de año surgió junto con un amigo, ir a servir ahora juntos y en mi caso volver a compartir, bendecir, aprender y crecer en sabiduría con los verdaderos amigos</v>
      </c>
      <c r="Q146" s="30" t="str">
        <f ca="1"/>
        <v>Si</v>
      </c>
      <c r="R146" s="30" t="str">
        <f ca="1"/>
        <v>Fútbol</v>
      </c>
      <c r="S146" s="30" t="str">
        <f ca="1"/>
        <v>No</v>
      </c>
      <c r="T146" s="30">
        <v>0</v>
      </c>
      <c r="U146" s="30" t="str">
        <f ca="1"/>
        <v>Sociología</v>
      </c>
      <c r="V146" s="30" t="str">
        <f ca="1"/>
        <v>Habilidades con el uso de herramientas básicas</v>
      </c>
      <c r="W146" s="16" t="str">
        <f ca="1"/>
        <v>A. Soy un discipulador activo, D. Me gustan los deportes, E. Me gusta el trabajo con niños, F. Soy eficiente en el trabajo con herramientas, equipos y maquinarias, I. Se me facilita el trabajo físico, J. Me gusta la atención a las personas, N. Suelo llevar el liderazgo en un grupo</v>
      </c>
      <c r="X146" s="16" t="str">
        <f ca="1"/>
        <v>En el año 2022 en el campamento Vuelve</v>
      </c>
      <c r="Y146" s="30">
        <v>0</v>
      </c>
      <c r="Z146" s="23" t="s">
        <v>51</v>
      </c>
      <c r="AA146" s="23" t="s">
        <v>50</v>
      </c>
      <c r="AB146" s="23" t="s">
        <v>45</v>
      </c>
      <c r="AC146" s="23"/>
      <c r="AD146" s="23"/>
      <c r="AE146" s="23"/>
      <c r="AF146" s="23"/>
      <c r="AG146" s="23"/>
      <c r="AH146" s="23"/>
      <c r="AI146" s="23"/>
      <c r="AJ146" s="16"/>
      <c r="AK146" s="16"/>
      <c r="AL146" s="17"/>
    </row>
    <row r="147" spans="1:38" ht="12.75" x14ac:dyDescent="0.35">
      <c r="A147" s="9">
        <v>146</v>
      </c>
      <c r="B147" s="41" t="str">
        <f ca="1"/>
        <v>Sofía Regina, Tapia Páramo</v>
      </c>
      <c r="C147" s="42">
        <f ca="1"/>
        <v>20</v>
      </c>
      <c r="D147" s="41" t="str">
        <f ca="1"/>
        <v>Mujer</v>
      </c>
      <c r="E147" s="41" t="str">
        <f ca="1"/>
        <v>Mexico City, Mexico</v>
      </c>
      <c r="F147" s="41" t="str">
        <f ca="1"/>
        <v>reginatp@icloud.com</v>
      </c>
      <c r="G147" s="41">
        <f ca="1"/>
        <v>525573936365</v>
      </c>
      <c r="H147" s="41" t="str">
        <f ca="1"/>
        <v>Comunidad Jóvenes + 18 (14-19) Julio, Jóvenes de 13 – 17 años / SEM1/ (28 Julio a 02 de agosto), Jóvenes de 13 – 17 años / SEM2/ (4 - 09 agosto)</v>
      </c>
      <c r="I147" s="41" t="str">
        <f ca="1"/>
        <v>Biblia</v>
      </c>
      <c r="J147" s="41" t="str">
        <f ca="1"/>
        <v>Poema Mx</v>
      </c>
      <c r="K147" s="41" t="str">
        <f ca="1"/>
        <v>Barush Daniel Sánchez</v>
      </c>
      <c r="L147" s="41">
        <f ca="1"/>
        <v>525573936365</v>
      </c>
      <c r="M147" s="41" t="str">
        <f ca="1"/>
        <v>reginatp@icloud.com</v>
      </c>
      <c r="N147" s="41" t="str">
        <f ca="1"/>
        <v>Alabanza y niños</v>
      </c>
      <c r="O147" s="41" t="str">
        <f ca="1"/>
        <v>Conocí al Señor en una escuela cristiana durante una prédica que hubo. Ahí entendí el mensaje y recibí al Señor.</v>
      </c>
      <c r="P147" s="41" t="str">
        <f ca="1"/>
        <v>He ido en otras ocasiones y es un lugar donde me siento segura y se me da la oportunidad de de servir junto a otros jóvenes de mi edad.</v>
      </c>
      <c r="Q147" s="41" t="str">
        <f ca="1"/>
        <v>Si</v>
      </c>
      <c r="R147" s="41" t="str">
        <f ca="1"/>
        <v>Levantamiento de pesas</v>
      </c>
      <c r="S147" s="41" t="str">
        <f ca="1"/>
        <v>Si</v>
      </c>
      <c r="T147" s="41" t="str">
        <f ca="1"/>
        <v>Guitarra</v>
      </c>
      <c r="U147" s="41" t="str">
        <f ca="1"/>
        <v>Estudio Psicología</v>
      </c>
      <c r="V147" s="41" t="str">
        <f ca="1"/>
        <v>He trabajado en cafeterías, he sido mesera, por la escuela tengo prácticas en hospitales y a guarderías, y también trabajo como niñera</v>
      </c>
      <c r="W147" s="43" t="str">
        <f ca="1"/>
        <v>A. Soy un discipulador activo, B. Me gusta animar a las personas, D. Me gustan los deportes, H. Soy organizado (a), I. Se me facilita el trabajo físico, J. Me gusta la atención a las personas, K. Soy creativo (a), L. Soy bueno (a) en canto o algún instrumento, N. Suelo llevar el liderazgo en un grupo, O. Puedo enseñar con facilidad</v>
      </c>
      <c r="X147" s="43" t="str">
        <f ca="1"/>
        <v>Fui hace dos y tres años atrás al campamento de +18</v>
      </c>
      <c r="Y147" s="41">
        <v>0</v>
      </c>
      <c r="Z147" s="44" t="s">
        <v>51</v>
      </c>
      <c r="AA147" s="44"/>
      <c r="AB147" s="44"/>
      <c r="AC147" s="44"/>
      <c r="AD147" s="44"/>
      <c r="AE147" s="44"/>
      <c r="AF147" s="44"/>
      <c r="AG147" s="23" t="s">
        <v>28</v>
      </c>
      <c r="AH147" s="23"/>
      <c r="AI147" s="23"/>
      <c r="AJ147" s="16" t="s">
        <v>138</v>
      </c>
      <c r="AK147" s="16"/>
      <c r="AL147" s="17"/>
    </row>
    <row r="148" spans="1:38" ht="12.75" x14ac:dyDescent="0.35">
      <c r="A148" s="9">
        <v>147</v>
      </c>
      <c r="B148" s="30" t="str">
        <f ca="1"/>
        <v>Josue Isaias, Rojo Garcia</v>
      </c>
      <c r="C148" s="31">
        <f ca="1"/>
        <v>25</v>
      </c>
      <c r="D148" s="30" t="str">
        <f ca="1"/>
        <v>Hombre</v>
      </c>
      <c r="E148" s="30" t="str">
        <f ca="1"/>
        <v>Hidalgo, Mexico</v>
      </c>
      <c r="F148" s="30" t="str">
        <f ca="1"/>
        <v>josue.isaias.rojo.garcia@gmail.com</v>
      </c>
      <c r="G148" s="30">
        <f ca="1"/>
        <v>527731017883</v>
      </c>
      <c r="H148" s="30" t="str">
        <f ca="1"/>
        <v>Semana de entrenamiento (07 - 13) Julio, Jóvenes de 13 – 17 años / SEM1/ (28 Julio a 02 de agosto)</v>
      </c>
      <c r="I148" s="30" t="str">
        <f ca="1"/>
        <v>Alza tus ojos - Christopher Shaw</v>
      </c>
      <c r="J148" s="30" t="str">
        <f ca="1"/>
        <v>Iglesia Bíblica de Tecozautla</v>
      </c>
      <c r="K148" s="30" t="str">
        <f ca="1"/>
        <v>Salomón Hernández Reséndiz</v>
      </c>
      <c r="L148" s="30">
        <f ca="1"/>
        <v>527731442780</v>
      </c>
      <c r="M148" s="30" t="str">
        <f ca="1"/>
        <v>josai.1708@gmail.com</v>
      </c>
      <c r="N148" s="30" t="str">
        <f ca="1"/>
        <v>Alabanza</v>
      </c>
      <c r="O148" s="30" t="str">
        <f ca="1"/>
        <v>Al crecer en un entorno cristiano fui educado bajo buenos principios, pero con el paso del tiempo entendí que no bastaba con ser una buena persona, había cosas en mi vida que impedían que tuviera una relación con Dios. Ahora entiendo que solo por su gracia y el sacrificio que Jesús hizo por mí, habiendo aceptado que soy pecador, él me ha salvado. A partir de ese momento Dios ha ido trabajando en mi vida, y ahora las cosas que hago las realizo por amor a Él, y no solo por tratar de hacer algo bueno.</v>
      </c>
      <c r="P148" s="30" t="str">
        <f ca="1"/>
        <v>Porque he visto el impacto que puede tener un campamento en la vida de un cristiano o alguien que aún no conoce de Jesús. Y me gustaría apoyar para que más personas puedan conocerle.</v>
      </c>
      <c r="Q148" s="30" t="str">
        <f ca="1"/>
        <v>Si</v>
      </c>
      <c r="R148" s="30" t="str">
        <f ca="1"/>
        <v>Basquetbol</v>
      </c>
      <c r="S148" s="30" t="str">
        <f ca="1"/>
        <v>No</v>
      </c>
      <c r="T148" s="30">
        <v>0</v>
      </c>
      <c r="U148" s="30" t="str">
        <f ca="1"/>
        <v>Estudié una carrera a fin a la tecnología, electrónica y software.</v>
      </c>
      <c r="V148" s="30" t="str">
        <f ca="1"/>
        <v>Eficiente en tareas repetitivas ya que busco la forma de hacer las cosas más rápido, bueno para trabajo en computadoras y cualquier tipo de software, equipo audio visual para alabanza, cocina y volar drones por si se ocupa jeje.</v>
      </c>
      <c r="W148" s="16" t="str">
        <f ca="1"/>
        <v>C. Suelo buscar que el trabajo se realice en equipo, D. Me gustan los deportes, H. Soy organizado (a), I. Se me facilita el trabajo físico, L. Soy bueno (a) en canto o algún instrumento, M. Soy bueno (a) con los números, N. Suelo llevar el liderazgo en un grupo</v>
      </c>
      <c r="X148" s="16" t="str">
        <f ca="1"/>
        <v>No</v>
      </c>
      <c r="Y148" s="30">
        <v>0</v>
      </c>
      <c r="Z148" s="23" t="s">
        <v>51</v>
      </c>
      <c r="AA148" s="23" t="s">
        <v>50</v>
      </c>
      <c r="AB148" s="23"/>
      <c r="AC148" s="23"/>
      <c r="AD148" s="23"/>
      <c r="AE148" s="23"/>
      <c r="AF148" s="23"/>
      <c r="AG148" s="23"/>
      <c r="AH148" s="23"/>
      <c r="AI148" s="23"/>
      <c r="AJ148" s="16" t="s">
        <v>139</v>
      </c>
      <c r="AK148" s="16"/>
      <c r="AL148" s="17"/>
    </row>
    <row r="149" spans="1:38" ht="12.75" x14ac:dyDescent="0.35">
      <c r="A149" s="9">
        <v>148</v>
      </c>
      <c r="B149" s="30" t="str">
        <f ca="1"/>
        <v>Grace, Vega Aguilar</v>
      </c>
      <c r="C149" s="31">
        <f ca="1"/>
        <v>17</v>
      </c>
      <c r="D149" s="30" t="str">
        <f ca="1"/>
        <v>Mujer</v>
      </c>
      <c r="E149" s="30" t="str">
        <f ca="1"/>
        <v>Mexico City, Mexico</v>
      </c>
      <c r="F149" s="30" t="str">
        <f ca="1"/>
        <v>vegaaguilargrace@gmail.com</v>
      </c>
      <c r="G149" s="30">
        <f ca="1"/>
        <v>525547128660</v>
      </c>
      <c r="H149" s="30" t="str">
        <f ca="1"/>
        <v>Semana de niños y niñas (21-25) Julio, Jóvenes de 13 – 17 años / SEM1/ (28 Julio a 02 de agosto)</v>
      </c>
      <c r="I149" s="30" t="str">
        <f ca="1"/>
        <v>Chicas sabias en un mundo salvaje</v>
      </c>
      <c r="J149" s="30" t="str">
        <f ca="1"/>
        <v>Vida nueva CDMX</v>
      </c>
      <c r="K149" s="30" t="str">
        <f ca="1"/>
        <v>Mario del Valle</v>
      </c>
      <c r="L149" s="30">
        <f ca="1"/>
        <v>525624927344</v>
      </c>
      <c r="M149" s="30" t="str">
        <f ca="1"/>
        <v>Mariohdelvalle1@gmail.com</v>
      </c>
      <c r="N149" s="30" t="str">
        <f ca="1"/>
        <v>Traducción</v>
      </c>
      <c r="O149" s="30" t="str">
        <f ca="1"/>
        <v>Aún no tengo un testimonio de salvación completo, pero estoy trabajando en mi relación con Dios. He sentido Su llamado y quiero seguir creciendo espiritualmente. He servido en dos campañas de evangelización en mi iglesia, y eso me ha motivado aún más a buscar de Él. Quiero estar en un entorno que me acerque más a Dios y rodearme de personas que compartan ese mismo deseo.</v>
      </c>
      <c r="P149" s="30" t="str">
        <f ca="1"/>
        <v>Mi principal objetivo es ayudar apoyar a los niños para que puedan tener un muy bonito verano, y de igual forma divertirme</v>
      </c>
      <c r="Q149" s="30" t="str">
        <f ca="1"/>
        <v>Si</v>
      </c>
      <c r="R149" s="30" t="str">
        <f ca="1"/>
        <v>Natación, tenis, indoor cycling, Pilates, yoga y gym</v>
      </c>
      <c r="S149" s="30" t="str">
        <f ca="1"/>
        <v>No</v>
      </c>
      <c r="T149" s="30">
        <v>0</v>
      </c>
      <c r="U149" s="30" t="str">
        <f ca="1"/>
        <v>Estoy terminando la preparatoria</v>
      </c>
      <c r="V149" s="30" t="str">
        <f ca="1"/>
        <v>Creatividad, trabajo en equipo</v>
      </c>
      <c r="W149" s="16" t="str">
        <f ca="1"/>
        <v>B. Me gusta animar a las personas, D. Me gustan los deportes, E. Me gusta el trabajo con niños, K. Soy creativo (a)</v>
      </c>
      <c r="X149" s="16">
        <f ca="1"/>
        <v>2022.2022999999999</v>
      </c>
      <c r="Y149" s="30">
        <v>0</v>
      </c>
      <c r="Z149" s="23" t="s">
        <v>51</v>
      </c>
      <c r="AA149" s="23" t="s">
        <v>25</v>
      </c>
      <c r="AB149" s="23"/>
      <c r="AC149" s="23"/>
      <c r="AD149" s="23"/>
      <c r="AE149" s="23"/>
      <c r="AF149" s="23"/>
      <c r="AG149" s="23"/>
      <c r="AH149" s="23"/>
      <c r="AI149" s="23"/>
      <c r="AJ149" s="16" t="s">
        <v>140</v>
      </c>
      <c r="AK149" s="16"/>
      <c r="AL149" s="17"/>
    </row>
    <row r="150" spans="1:38" ht="12.75" x14ac:dyDescent="0.35">
      <c r="A150" s="9">
        <v>149</v>
      </c>
      <c r="B150" s="30" t="str">
        <f ca="1"/>
        <v>Dana, Segura Hernández</v>
      </c>
      <c r="C150" s="31">
        <f ca="1"/>
        <v>19</v>
      </c>
      <c r="D150" s="30" t="str">
        <f ca="1"/>
        <v>Mujer</v>
      </c>
      <c r="E150" s="30" t="str">
        <f ca="1"/>
        <v>San Luis Potosi, Mexico</v>
      </c>
      <c r="F150" s="30" t="str">
        <f ca="1"/>
        <v>danrousses@gmail.com</v>
      </c>
      <c r="G150" s="30">
        <f ca="1"/>
        <v>524401804184</v>
      </c>
      <c r="H150" s="30" t="str">
        <f ca="1"/>
        <v>Semana de entrenamiento (07 - 13) Julio, Comunidad Jóvenes + 18 (14-19) Julio</v>
      </c>
      <c r="I150" s="30" t="str">
        <f ca="1"/>
        <v>Biblia</v>
      </c>
      <c r="J150" s="30" t="str">
        <f ca="1"/>
        <v>Iglesia bíblica bautista de San Luis Potosí</v>
      </c>
      <c r="K150" s="40" t="str">
        <f ca="1"/>
        <v>Luis Ramos Cisneros</v>
      </c>
      <c r="L150" s="40">
        <f ca="1"/>
        <v>524441306627</v>
      </c>
      <c r="M150" s="30" t="str">
        <f ca="1"/>
        <v>ibb_pastor@yahoo.com.mx</v>
      </c>
      <c r="N150" s="30" t="str">
        <f ca="1"/>
        <v>Ministerio de Ruta y escuela dominical</v>
      </c>
      <c r="O150" s="30" t="str">
        <f ca="1"/>
        <v>Acepte a Jesús en mi corazón a la edad de 8 años, a pesar de mi corta edad,comprendí que era pecadora y metecia un castigo,le pedí que me perdonará y entrara a mi corazón.</v>
      </c>
      <c r="P150" s="30" t="str">
        <f ca="1"/>
        <v>Quiero ir a servir al campamento, porque servir es algo que me llena, me hace crecer y es parte del propósito que Dios ha puesto en mi vida. Sé que a través del servicio no solo puedo ser de bendición para otros, sino también acercarme más a lo que Dios quiere para mí.</v>
      </c>
      <c r="Q150" s="30" t="str">
        <f ca="1"/>
        <v>No</v>
      </c>
      <c r="R150" s="30">
        <v>0</v>
      </c>
      <c r="S150" s="30" t="str">
        <f ca="1"/>
        <v>No</v>
      </c>
      <c r="T150" s="30">
        <v>0</v>
      </c>
      <c r="U150" s="30" t="str">
        <f ca="1"/>
        <v>Carrera técnica de alimentos</v>
      </c>
      <c r="V150" s="30" t="str">
        <f ca="1"/>
        <v>Estudie un mini curso de bautismo</v>
      </c>
      <c r="W150" s="16" t="str">
        <f ca="1"/>
        <v>B. Me gusta animar a las personas, G. Soy más eficiente en el trabajo individual, H. Soy organizado (a), J. Me gusta la atención a las personas, K. Soy creativo (a), O. Puedo enseñar con facilidad</v>
      </c>
      <c r="X150" s="16" t="str">
        <f ca="1"/>
        <v>2023-2024</v>
      </c>
      <c r="Y150" s="30">
        <v>0</v>
      </c>
      <c r="Z150" s="23" t="s">
        <v>51</v>
      </c>
      <c r="AA150" s="23" t="s">
        <v>25</v>
      </c>
      <c r="AB150" s="23"/>
      <c r="AC150" s="23"/>
      <c r="AD150" s="23"/>
      <c r="AE150" s="23"/>
      <c r="AF150" s="23"/>
      <c r="AG150" s="23"/>
      <c r="AH150" s="23"/>
      <c r="AI150" s="23"/>
      <c r="AJ150" s="16"/>
      <c r="AK150" s="16"/>
      <c r="AL150" s="17"/>
    </row>
    <row r="151" spans="1:38" ht="12.75" x14ac:dyDescent="0.35">
      <c r="A151" s="9">
        <v>150</v>
      </c>
      <c r="B151" s="30" t="str">
        <f ca="1"/>
        <v>Angel, Castellanos</v>
      </c>
      <c r="C151" s="31">
        <f ca="1"/>
        <v>20</v>
      </c>
      <c r="D151" s="30" t="str">
        <f ca="1"/>
        <v>Hombre</v>
      </c>
      <c r="E151" s="30" t="str">
        <f ca="1"/>
        <v>Mexico City, Mexico</v>
      </c>
      <c r="F151" s="30" t="str">
        <f ca="1"/>
        <v>aangel.cc05@gmail.com</v>
      </c>
      <c r="G151" s="30">
        <f ca="1"/>
        <v>525656748671</v>
      </c>
      <c r="H151" s="30" t="str">
        <f ca="1"/>
        <v>Jóvenes de 13 – 17 años / SEM1/ (28 Julio a 02 de agosto)</v>
      </c>
      <c r="I151" s="30" t="str">
        <f ca="1"/>
        <v>Hora Silenciosa</v>
      </c>
      <c r="J151" s="30" t="str">
        <f ca="1"/>
        <v>IGLESIA CRISTIANA DE SAN JUAN IXTAYOPAN</v>
      </c>
      <c r="K151" s="30" t="str">
        <f ca="1"/>
        <v>Pedro Rojas</v>
      </c>
      <c r="L151" s="30">
        <f ca="1"/>
        <v>525535075750</v>
      </c>
      <c r="M151" s="30" t="str">
        <f ca="1"/>
        <v>Pedroclasic@gmail.com</v>
      </c>
      <c r="N151" s="30" t="str">
        <f ca="1"/>
        <v>Servidor</v>
      </c>
      <c r="O151" s="30" t="str">
        <f ca="1"/>
        <v>Pues pase por muchas cosas desde chico he crecido en una familia cristiana uno un momento de mi adolescencia en el que me separó de Dios, me junto con personas que no hasta que pasan muchas cosas y me arrepiento y le pido perdón a Dios de corazón y Dios me estaba esperando con los brazos abiertos</v>
      </c>
      <c r="P151" s="30" t="str">
        <f ca="1"/>
        <v>Pues me gusta ayudar, participar y me gustaría hablarle a los demás y contarles lo que me pasó y que se den cuenta que tenemos un Dios muy grande.</v>
      </c>
      <c r="Q151" s="30" t="str">
        <f ca="1"/>
        <v>Si</v>
      </c>
      <c r="R151" s="30" t="str">
        <f ca="1"/>
        <v>Futbol, frontón, básquet</v>
      </c>
      <c r="S151" s="30" t="str">
        <f ca="1"/>
        <v>No</v>
      </c>
      <c r="T151" s="30">
        <v>0</v>
      </c>
      <c r="U151" s="30" t="str">
        <f ca="1"/>
        <v>Termine la prepa, voy entrar a la universidad</v>
      </c>
      <c r="V151" s="30" t="str">
        <f ca="1"/>
        <v>Electricidad</v>
      </c>
      <c r="W151" s="16" t="str">
        <f ca="1"/>
        <v>B. Me gusta animar a las personas, D. Me gustan los deportes, F. Soy eficiente en el trabajo con herramientas, equipos y maquinarias, I. Se me facilita el trabajo físico, K. Soy creativo (a)</v>
      </c>
      <c r="X151" s="16" t="str">
        <f ca="1"/>
        <v>Si, ya van 6 años seguidos</v>
      </c>
      <c r="Y151" s="30">
        <v>0</v>
      </c>
      <c r="Z151" s="23" t="s">
        <v>51</v>
      </c>
      <c r="AA151" s="23"/>
      <c r="AB151" s="23"/>
      <c r="AC151" s="23" t="s">
        <v>50</v>
      </c>
      <c r="AD151" s="23"/>
      <c r="AE151" s="23"/>
      <c r="AF151" s="23"/>
      <c r="AG151" s="23"/>
      <c r="AH151" s="23"/>
      <c r="AI151" s="23"/>
      <c r="AJ151" s="16"/>
      <c r="AK151" s="16"/>
      <c r="AL151" s="17"/>
    </row>
    <row r="152" spans="1:38" ht="12.75" x14ac:dyDescent="0.35">
      <c r="A152" s="9">
        <v>151</v>
      </c>
      <c r="B152" s="30" t="str">
        <f ca="1"/>
        <v>Haliel, Pichardo Jaime</v>
      </c>
      <c r="C152" s="31">
        <f ca="1"/>
        <v>23</v>
      </c>
      <c r="D152" s="30" t="str">
        <f ca="1"/>
        <v>Mujer</v>
      </c>
      <c r="E152" s="30" t="str">
        <f ca="1"/>
        <v>Mexico City, Mexico</v>
      </c>
      <c r="F152" s="30" t="str">
        <f ca="1"/>
        <v>haliel@live.com</v>
      </c>
      <c r="G152" s="30">
        <f ca="1"/>
        <v>525573365872</v>
      </c>
      <c r="H152" s="30" t="str">
        <f ca="1"/>
        <v>Comunidad Jóvenes + 18 (14-19) Julio</v>
      </c>
      <c r="I152" s="30" t="str">
        <f ca="1"/>
        <v>No sigo un devocional estructurado. Lo que hago es leer la Biblia en orden y escribo en un cuaderno lo que Dios me va hablando</v>
      </c>
      <c r="J152" s="30" t="str">
        <f ca="1"/>
        <v>Iglesia Bautista Vida Nueva</v>
      </c>
      <c r="K152" s="30" t="str">
        <f ca="1"/>
        <v>Ricardo Pichardo</v>
      </c>
      <c r="L152" s="30">
        <f ca="1"/>
        <v>525523155872</v>
      </c>
      <c r="M152" s="30" t="str">
        <f ca="1"/>
        <v>rickpichardo@hotmail.com</v>
      </c>
      <c r="N152" s="30" t="str">
        <f ca="1"/>
        <v>Multimedias y apoyo en la organización de reuniones o eventos</v>
      </c>
      <c r="O152" s="30" t="str">
        <f ca="1"/>
        <v>Desde pequeña he asistido a la iglesia pero fue hasta los 12 años que realmente entendí el sacrificio de Jesús por nosotros y decidí entregarle mi vida y ser bautizada. Desde entonces ha sido una vida de muchos retos y pruebas pero siempre con la certeza de que el Espíritu Santo vive en mi y me convence de pecado y que nada me puede separar del amor de Dios.</v>
      </c>
      <c r="P152" s="30" t="str">
        <f ca="1"/>
        <v>Porque es una oportunidad de poner mis habilidades al servicio de Dios y de los demás y de seguir creciendo espiritualmente al estar rodeada de una comunidad cristiana, aprendiendo de otros y creando lazos que edifican.</v>
      </c>
      <c r="Q152" s="30" t="str">
        <f ca="1"/>
        <v>No</v>
      </c>
      <c r="R152" s="30">
        <v>0</v>
      </c>
      <c r="S152" s="30" t="str">
        <f ca="1"/>
        <v>No</v>
      </c>
      <c r="T152" s="30">
        <v>0</v>
      </c>
      <c r="U152" s="30" t="str">
        <f ca="1"/>
        <v>Estudié Contaduría Pública y Finanzas</v>
      </c>
      <c r="V152" s="30" t="str">
        <f ca="1"/>
        <v>Soy buena con los números y las cuentas, con la actividad física, los deportes específicamente voley y fut, y las manualidades o decoraciones.</v>
      </c>
      <c r="W152" s="16" t="str">
        <f ca="1"/>
        <v>A. Soy un discipulador activo, C. Suelo buscar que el trabajo se realice en equipo, D. Me gustan los deportes, I. Se me facilita el trabajo físico, M. Soy bueno (a) con los números</v>
      </c>
      <c r="X152" s="16" t="str">
        <f ca="1"/>
        <v>Si, en 2018, 2019 y 2022</v>
      </c>
      <c r="Y152" s="30">
        <v>0</v>
      </c>
      <c r="Z152" s="23" t="s">
        <v>51</v>
      </c>
      <c r="AA152" s="23" t="s">
        <v>25</v>
      </c>
      <c r="AB152" s="23"/>
      <c r="AC152" s="23"/>
      <c r="AD152" s="23"/>
      <c r="AE152" s="23"/>
      <c r="AF152" s="23"/>
      <c r="AG152" s="23"/>
      <c r="AH152" s="23"/>
      <c r="AI152" s="23"/>
      <c r="AJ152" s="16"/>
      <c r="AK152" s="16"/>
      <c r="AL152" s="17"/>
    </row>
    <row r="153" spans="1:38" ht="12.75" x14ac:dyDescent="0.35">
      <c r="A153" s="9">
        <v>152</v>
      </c>
      <c r="B153" s="30" t="str">
        <f ca="1"/>
        <v>Franco Daniel, Zamora Ortega</v>
      </c>
      <c r="C153" s="31">
        <f ca="1"/>
        <v>17</v>
      </c>
      <c r="D153" s="30" t="str">
        <f ca="1"/>
        <v>Hombre</v>
      </c>
      <c r="E153" s="30" t="str">
        <f ca="1"/>
        <v>Queretaro, Mexico</v>
      </c>
      <c r="F153" s="30" t="str">
        <f ca="1"/>
        <v>f.danizamora@gmail.com</v>
      </c>
      <c r="G153" s="30">
        <f ca="1"/>
        <v>524425718399</v>
      </c>
      <c r="H153" s="30" t="str">
        <f ca="1"/>
        <v>Jóvenes de 13 – 17 años / SEM1/ (28 Julio a 02 de agosto), Jóvenes de 13 – 17 años / SEM2/ (4 - 09 agosto)</v>
      </c>
      <c r="I153" s="30" t="str">
        <f ca="1"/>
        <v>Mi Biblia</v>
      </c>
      <c r="J153" s="30" t="str">
        <f ca="1"/>
        <v>MásCristo</v>
      </c>
      <c r="K153" s="30" t="str">
        <f ca="1"/>
        <v>Marcelino Muñoz</v>
      </c>
      <c r="L153" s="30">
        <f ca="1"/>
        <v>524426087048</v>
      </c>
      <c r="M153" s="30" t="str">
        <f ca="1"/>
        <v>marce@cristoesmejor.com</v>
      </c>
      <c r="N153" s="30" t="str">
        <f ca="1"/>
        <v>Iglesia de Niños</v>
      </c>
      <c r="O153" s="30" t="str">
        <f ca="1"/>
        <v>Vengo de una familia rota, con papás divorciados, y con un corazón que alguna vez estuvo perdido en distintas cosas, pecados, y buscar en lugares algo que solo Dios me puede dar. Ahora puedo decir que a pesar de que mi familia sigue rota, mi corazón está siendo sanado por Él, y puedo ver la diferencia de cómo yo era antes, y quien está haciendo Dios de mi ahora, aunque a veces me cuesta. Estoy en proceso de poder deleitarme en Él cada vez más:).</v>
      </c>
      <c r="P153" s="30" t="str">
        <f ca="1"/>
        <v>Quiero servir:). Me encanta el poder estar allá sirviendo casi todo mi día y estar activo en ello. Quiero servir a los camperos en lugar deser servido como campero este año:). Quiero mostrar el amor de Cristo también así.</v>
      </c>
      <c r="Q153" s="30" t="str">
        <f ca="1"/>
        <v>Si</v>
      </c>
      <c r="R153" s="30" t="str">
        <f ca="1"/>
        <v>Basket, pero recientemente cambié a Tocho</v>
      </c>
      <c r="S153" s="30" t="str">
        <f ca="1"/>
        <v>Si</v>
      </c>
      <c r="T153" s="30" t="str">
        <f ca="1"/>
        <v>Guitarra, pero no soy tan experimentado</v>
      </c>
      <c r="U153" s="30" t="str">
        <f ca="1"/>
        <v>Preparatoria</v>
      </c>
      <c r="V153" s="30" t="str">
        <f ca="1"/>
        <v>Aprendo rápido, me gusta servir y estar activo en ello, me gusta escuchar a la gente, soy empático, atlético, creativo, y sociable</v>
      </c>
      <c r="W153" s="16" t="str">
        <f ca="1"/>
        <v>B. Me gusta animar a las personas, D. Me gustan los deportes, E. Me gusta el trabajo con niños, I. Se me facilita el trabajo físico, J. Me gusta la atención a las personas, K. Soy creativo (a)</v>
      </c>
      <c r="X153" s="16" t="str">
        <f ca="1"/>
        <v>Si, en las temporadas de 2023 y 2024</v>
      </c>
      <c r="Y153" s="30">
        <v>0</v>
      </c>
      <c r="Z153" s="23" t="s">
        <v>51</v>
      </c>
      <c r="AA153" s="23"/>
      <c r="AB153" s="23"/>
      <c r="AC153" s="23" t="s">
        <v>50</v>
      </c>
      <c r="AD153" s="23"/>
      <c r="AE153" s="23"/>
      <c r="AF153" s="23"/>
      <c r="AG153" s="23"/>
      <c r="AH153" s="23"/>
      <c r="AI153" s="23" t="s">
        <v>45</v>
      </c>
      <c r="AJ153" s="16"/>
      <c r="AK153" s="16"/>
      <c r="AL153" s="17"/>
    </row>
    <row r="154" spans="1:38" ht="12.75" x14ac:dyDescent="0.35">
      <c r="A154" s="9">
        <v>153</v>
      </c>
      <c r="B154" s="30" t="str">
        <f ca="1"/>
        <v>Yael Emiliano, Alvarez Avila</v>
      </c>
      <c r="C154" s="31">
        <f ca="1"/>
        <v>15</v>
      </c>
      <c r="D154" s="30" t="str">
        <f ca="1"/>
        <v>Hombre</v>
      </c>
      <c r="E154" s="30" t="str">
        <f ca="1"/>
        <v>Queretaro, Mexico</v>
      </c>
      <c r="F154" s="30" t="str">
        <f ca="1"/>
        <v>yaelalvarez1207@gmail.com</v>
      </c>
      <c r="G154" s="30">
        <f ca="1"/>
        <v>525611908835</v>
      </c>
      <c r="H154" s="30" t="str">
        <f ca="1"/>
        <v>Comunidad Jóvenes + 18 (14-19) Julio, Semana de niños y niñas (21-25) Julio</v>
      </c>
      <c r="I154" s="30" t="str">
        <f ca="1"/>
        <v>Quiet time</v>
      </c>
      <c r="J154" s="30" t="str">
        <f ca="1"/>
        <v>Vida nueva para el mundo Querétaro</v>
      </c>
      <c r="K154" s="30" t="str">
        <f ca="1"/>
        <v>David Alducin</v>
      </c>
      <c r="L154" s="30">
        <f ca="1"/>
        <v>527229808024</v>
      </c>
      <c r="M154" s="30" t="str">
        <f ca="1"/>
        <v>davealducin@gmail.com</v>
      </c>
      <c r="N154" s="30" t="str">
        <f ca="1"/>
        <v>No tengo un ministerio actualmente</v>
      </c>
      <c r="O154" s="30" t="str">
        <f ca="1"/>
        <v>Mi abuela oro durante mucho tiempo para que mi familia pudiera conocer de Dios,un domingo llevamos a mi abuela a la congregación y nos quedamos con ella al servicio y así empezamos a ir cada domingo a la congregación y conocer de Dios</v>
      </c>
      <c r="P154" s="30" t="str">
        <f ca="1"/>
        <v>Me gustaría ayudar a que más personas puedan conocer de Dios y ayudar en lo que yo pueda para que esto se cumpla</v>
      </c>
      <c r="Q154" s="30" t="str">
        <f ca="1"/>
        <v>Si</v>
      </c>
      <c r="R154" s="30" t="str">
        <f ca="1"/>
        <v>Esgrima y futbol</v>
      </c>
      <c r="S154" s="30" t="str">
        <f ca="1"/>
        <v>No</v>
      </c>
      <c r="T154" s="30">
        <v>0</v>
      </c>
      <c r="U154" s="30" t="str">
        <f ca="1"/>
        <v>La preparatoria</v>
      </c>
      <c r="V154" s="30" t="str">
        <f ca="1"/>
        <v>Habilidades deportivas</v>
      </c>
      <c r="W154" s="16" t="str">
        <f ca="1"/>
        <v>B. Me gusta animar a las personas, D. Me gustan los deportes, G. Soy más eficiente en el trabajo individual, I. Se me facilita el trabajo físico, N. Suelo llevar el liderazgo en un grupo</v>
      </c>
      <c r="X154" s="16" t="str">
        <f ca="1"/>
        <v>2019,2022,2023</v>
      </c>
      <c r="Y154" s="30">
        <v>0</v>
      </c>
      <c r="Z154" s="23" t="s">
        <v>51</v>
      </c>
      <c r="AA154" s="23"/>
      <c r="AB154" s="23"/>
      <c r="AC154" s="23"/>
      <c r="AD154" s="23" t="s">
        <v>50</v>
      </c>
      <c r="AE154" s="23"/>
      <c r="AF154" s="23"/>
      <c r="AG154" s="23"/>
      <c r="AH154" s="23"/>
      <c r="AI154" s="23"/>
      <c r="AJ154" s="16"/>
      <c r="AK154" s="16"/>
      <c r="AL154" s="17"/>
    </row>
    <row r="155" spans="1:38" ht="38.25" x14ac:dyDescent="0.35">
      <c r="A155" s="9">
        <v>154</v>
      </c>
      <c r="B155" s="30" t="str">
        <f ca="1"/>
        <v>Alexa, Pérez Reséndiz</v>
      </c>
      <c r="C155" s="31">
        <f ca="1"/>
        <v>17</v>
      </c>
      <c r="D155" s="30" t="str">
        <f ca="1"/>
        <v>Mujer</v>
      </c>
      <c r="E155" s="30" t="str">
        <f ca="1"/>
        <v>Queretaro, Mexico</v>
      </c>
      <c r="F155" s="30" t="str">
        <f ca="1"/>
        <v>lovecanada090718@gmail.com</v>
      </c>
      <c r="G155" s="30">
        <f ca="1"/>
        <v>524272015004</v>
      </c>
      <c r="H155" s="30" t="str">
        <f ca="1"/>
        <v>Comunidad Jóvenes + 18 (14-19) Julio, Jóvenes de 13 – 17 años / SEM2/ (4 - 09 agosto)</v>
      </c>
      <c r="I155" s="30" t="str">
        <f ca="1"/>
        <v>Holy Bible</v>
      </c>
      <c r="J155" s="30" t="str">
        <f ca="1"/>
        <v>Más vida Qro</v>
      </c>
      <c r="K155" s="30" t="str">
        <f ca="1"/>
        <v>Andrés Spyker</v>
      </c>
      <c r="L155" s="30">
        <f ca="1"/>
        <v>524271521253</v>
      </c>
      <c r="M155" s="30" t="str">
        <f ca="1"/>
        <v>jasy2087@gmail.com</v>
      </c>
      <c r="N155" s="30" t="str">
        <f ca="1"/>
        <v>Ayudo en producción recogiendo equipo</v>
      </c>
      <c r="O155" s="30" t="str">
        <f ca="1"/>
        <v>Nací prácticamente en cuna cristiana , mis papás me enseñaban de la biblia desde muy chica . yo lo entendí después del campamento del 2022 , y a mis 14 años el 6 de septiembre del 2022 me convertí en Cristiana , entendí que  él es el creador y que soy una pecadora que lo necesita.</v>
      </c>
      <c r="P155" s="30" t="str">
        <f ca="1"/>
        <v>Me gustaría decir al Señor en esas dos semanas porque sé que cada párate del cuerpo de Cristo cuenta , y aunque  sea algo pequeña mi aportación sé que muchas pequeñas aportaciones hacen algo grande .Me encantaría seguir aprendiendo de él y conocer gente nueva .</v>
      </c>
      <c r="Q155" s="30" t="str">
        <f ca="1"/>
        <v>Si</v>
      </c>
      <c r="R155" s="30" t="str">
        <f ca="1"/>
        <v>Voy al gimnasio se pádel , Tennis</v>
      </c>
      <c r="S155" s="30" t="str">
        <f ca="1"/>
        <v>No</v>
      </c>
      <c r="T155" s="30">
        <v>0</v>
      </c>
      <c r="U155" s="30" t="str">
        <f ca="1"/>
        <v>Estoy en 5 semestre</v>
      </c>
      <c r="V155" s="30" t="str">
        <f ca="1"/>
        <v>Soy buena en las ventas , también organizando ,  , me gusta la actividad física y la cocina</v>
      </c>
      <c r="W155" s="16" t="str">
        <f ca="1"/>
        <v>B. Me gusta animar a las personas, C. Suelo buscar que el trabajo se realice en equipo, D. Me gustan los deportes, H. Soy organizado (a), I. Se me facilita el trabajo físico, J. Me gusta la atención a las personas, K. Soy creativo (a), N. Suelo llevar el liderazgo en un grupo</v>
      </c>
      <c r="X155" s="16" t="str">
        <f ca="1"/>
        <v>Estuve en el 2014,2019,2022,2023,2024</v>
      </c>
      <c r="Y155" s="30">
        <v>0</v>
      </c>
      <c r="Z155" s="23" t="s">
        <v>51</v>
      </c>
      <c r="AA155" s="23" t="s">
        <v>25</v>
      </c>
      <c r="AB155" s="23"/>
      <c r="AC155" s="23"/>
      <c r="AD155" s="23"/>
      <c r="AE155" s="23"/>
      <c r="AF155" s="23"/>
      <c r="AG155" s="23"/>
      <c r="AH155" s="23"/>
      <c r="AI155" s="23"/>
      <c r="AJ155" s="16" t="s">
        <v>141</v>
      </c>
      <c r="AK155" s="16"/>
      <c r="AL155" s="17"/>
    </row>
    <row r="156" spans="1:38" ht="12.75" x14ac:dyDescent="0.35">
      <c r="A156" s="9">
        <v>155</v>
      </c>
      <c r="B156" s="30" t="str">
        <f ca="1"/>
        <v>Keren Zoe, Hernandez Palacio</v>
      </c>
      <c r="C156" s="31">
        <f ca="1"/>
        <v>18</v>
      </c>
      <c r="D156" s="30" t="str">
        <f ca="1"/>
        <v>Mujer</v>
      </c>
      <c r="E156" s="30" t="str">
        <f ca="1"/>
        <v>Aguascalientes, Mexico</v>
      </c>
      <c r="F156" s="30" t="str">
        <f ca="1"/>
        <v>hkerenzoe@gmail.com</v>
      </c>
      <c r="G156" s="30">
        <f ca="1"/>
        <v>524495439150</v>
      </c>
      <c r="H156" s="30" t="str">
        <f ca="1"/>
        <v>Semana de entrenamiento (07 - 13) Julio, Comunidad Jóvenes + 18 (14-19) Julio, Semana de niños y niñas (21-25) Julio, Jóvenes de 13 – 17 años / SEM1/ (28 Julio a 02 de agosto), Jóvenes de 13 – 17 años / SEM2/ (4 - 09 agosto)</v>
      </c>
      <c r="I156" s="30" t="str">
        <f ca="1"/>
        <v>Nuevas misericordias cada mañana</v>
      </c>
      <c r="J156" s="30" t="str">
        <f ca="1"/>
        <v>Iglesia bíblica cristiana</v>
      </c>
      <c r="K156" s="30" t="str">
        <f ca="1"/>
        <v>Salvador gonzalez</v>
      </c>
      <c r="L156" s="30">
        <f ca="1"/>
        <v>524427508803</v>
      </c>
      <c r="M156" s="30" t="str">
        <f ca="1"/>
        <v>siervos.ibc.2018@gmail.com</v>
      </c>
      <c r="N156" s="30" t="str">
        <f ca="1"/>
        <v>Por ahora ninguno</v>
      </c>
      <c r="O156" s="30" t="str">
        <f ca="1"/>
        <v>Me convertí en creyente a los 10 años en la iglesia de Guadalajara actualmente recientemente me mude a vivir a Aguas calientes</v>
      </c>
      <c r="P156" s="30" t="str">
        <f ca="1"/>
        <v>Porque quiero servir, y conocer mas de cristo y relacionarme con personas que me va a alentar a seguirlo</v>
      </c>
      <c r="Q156" s="30" t="str">
        <f ca="1"/>
        <v>No</v>
      </c>
      <c r="R156" s="30">
        <v>0</v>
      </c>
      <c r="S156" s="30" t="str">
        <f ca="1"/>
        <v>No</v>
      </c>
      <c r="T156" s="30">
        <v>0</v>
      </c>
      <c r="U156" s="30" t="str">
        <f ca="1"/>
        <v>Preparatoria</v>
      </c>
      <c r="V156" s="30" t="str">
        <f ca="1"/>
        <v>No</v>
      </c>
      <c r="W156" s="16" t="str">
        <f ca="1"/>
        <v>B. Me gusta animar a las personas, E. Me gusta el trabajo con niños, J. Me gusta la atención a las personas</v>
      </c>
      <c r="X156" s="16" t="str">
        <f ca="1"/>
        <v>No</v>
      </c>
      <c r="Y156" s="30">
        <v>0</v>
      </c>
      <c r="Z156" s="23" t="s">
        <v>51</v>
      </c>
      <c r="AA156" s="23" t="s">
        <v>25</v>
      </c>
      <c r="AB156" s="23"/>
      <c r="AC156" s="23"/>
      <c r="AD156" s="23"/>
      <c r="AE156" s="23"/>
      <c r="AF156" s="23"/>
      <c r="AG156" s="23"/>
      <c r="AH156" s="23"/>
      <c r="AI156" s="23"/>
      <c r="AJ156" s="16"/>
      <c r="AK156" s="16"/>
      <c r="AL156" s="17"/>
    </row>
    <row r="157" spans="1:38" ht="38.25" x14ac:dyDescent="0.35">
      <c r="A157" s="9">
        <v>156</v>
      </c>
      <c r="B157" s="30" t="str">
        <f ca="1"/>
        <v>Estephania, Lara Aparicio</v>
      </c>
      <c r="C157" s="31">
        <f ca="1"/>
        <v>20</v>
      </c>
      <c r="D157" s="30" t="str">
        <f ca="1"/>
        <v>Mujer</v>
      </c>
      <c r="E157" s="30" t="str">
        <f ca="1"/>
        <v>Guanajuato, Mexico</v>
      </c>
      <c r="F157" s="30" t="str">
        <f ca="1"/>
        <v>estephy14@gmail.com</v>
      </c>
      <c r="G157" s="30">
        <f ca="1"/>
        <v>524611780502</v>
      </c>
      <c r="H157" s="30" t="str">
        <f ca="1"/>
        <v>Jóvenes de 13 – 17 años / SEM2/ (4 - 09 agosto), Jóvenes de 13 – 17 años / SEM3/ (11 - 16 agosto)</v>
      </c>
      <c r="I157" s="30" t="str">
        <f ca="1"/>
        <v>Mi Biblia</v>
      </c>
      <c r="J157" s="30" t="str">
        <f ca="1"/>
        <v>Iglesia Cristiana Bíblica de Celaya</v>
      </c>
      <c r="K157" s="30" t="str">
        <f ca="1"/>
        <v>Roberto Lara Díaz</v>
      </c>
      <c r="L157" s="30">
        <f ca="1"/>
        <v>524611402162</v>
      </c>
      <c r="M157" s="30" t="str">
        <f ca="1"/>
        <v>thc77@icloud.com</v>
      </c>
      <c r="N157" s="30" t="str">
        <f ca="1"/>
        <v>Ministerio de Alabanza</v>
      </c>
      <c r="O157" s="30" t="str">
        <f ca="1"/>
        <v>De pequeña iba a una escuelita Bíblica que era un ministerio de nuestra iglesia, mi amor por Dios crecía cada vez más y más al aprender de Él y de Su Palabra, y mi amor por compartir de Él era continuo, hasta que un día claramente le dije a mi papá por llamada, “Quiero recibir al Señor en mi corazón”, mi papá rápidamente salió de su trabajo y me volvió a compartir el Evangelio y recibí al Señor como mi único Salvador.</v>
      </c>
      <c r="P157" s="30" t="str">
        <f ca="1"/>
        <v>He ido a los campamentos desde niña, mi último campa en Bernal fue en 2022, así es que les tengo un gran cariño por lo que Dios hace en los campamentos.
Desde niña tuve una gran admiración por los consejeros y los de la alabanza.  Observar a mis consejeras me motivó a tomar el camino de la consejería, en enero comencé unos estudios de Psicología Clínica en orientación Cristiana y con el deseo de agradar a Dios en ese aspecto fui consejera en otro campamento en Puebla por 3 años. Por otro lado el grupo de alabanza tocó mi corazón y he ido a otros campamentos de mujeres ahí mismo en PV pero organizados por las iglesias Bíblicas y he servido en la alabanza con mucho amor al Señor.
 Son dos áreas en las que sé que Dios me ha permitido servirle y lo hago con mucho gozo.
El deseo de mi corazón es trabajar por el Reino y que Dios me use en llevar más almas a Cristo.</v>
      </c>
      <c r="Q157" s="30" t="str">
        <f ca="1"/>
        <v>No</v>
      </c>
      <c r="R157" s="30">
        <v>0</v>
      </c>
      <c r="S157" s="30" t="str">
        <f ca="1"/>
        <v>Si</v>
      </c>
      <c r="T157" s="30" t="str">
        <f ca="1"/>
        <v>Sax Alto, Piano y Canto</v>
      </c>
      <c r="U157" s="30" t="str">
        <f ca="1"/>
        <v>Mercadotecnia</v>
      </c>
      <c r="V157" s="30" t="str">
        <f ca="1"/>
        <v>Artes plásticas, Música, Social, Creativa, Manualidades, Actuar, Bailar</v>
      </c>
      <c r="W157" s="16" t="str">
        <f ca="1"/>
        <v>A. Soy un discipulador activo, B. Me gusta animar a las personas, G. Soy más eficiente en el trabajo individual, H. Soy organizado (a), K. Soy creativo (a), L. Soy bueno (a) en canto o algún instrumento, N. Suelo llevar el liderazgo en un grupo, O. Puedo enseñar con facilidad</v>
      </c>
      <c r="X157" s="16" t="str">
        <f ca="1"/>
        <v>Si! 2015-2022</v>
      </c>
      <c r="Y157" s="30">
        <v>0</v>
      </c>
      <c r="Z157" s="23" t="s">
        <v>51</v>
      </c>
      <c r="AA157" s="23" t="s">
        <v>25</v>
      </c>
      <c r="AB157" s="23"/>
      <c r="AC157" s="23"/>
      <c r="AD157" s="23"/>
      <c r="AE157" s="23"/>
      <c r="AF157" s="23"/>
      <c r="AG157" s="23"/>
      <c r="AH157" s="23"/>
      <c r="AI157" s="23"/>
      <c r="AJ157" s="16" t="s">
        <v>142</v>
      </c>
      <c r="AK157" s="16"/>
      <c r="AL157" s="17"/>
    </row>
    <row r="158" spans="1:38" ht="12.75" x14ac:dyDescent="0.35">
      <c r="A158" s="9">
        <v>157</v>
      </c>
      <c r="B158" s="30" t="str">
        <f ca="1"/>
        <v>Paloma, Duarte Reyes</v>
      </c>
      <c r="C158" s="31">
        <f ca="1"/>
        <v>21</v>
      </c>
      <c r="D158" s="30" t="str">
        <f ca="1"/>
        <v>Mujer</v>
      </c>
      <c r="E158" s="30" t="str">
        <f ca="1"/>
        <v>Mexico, Mexico</v>
      </c>
      <c r="F158" s="30" t="str">
        <f ca="1"/>
        <v>palodure03@gmail.com</v>
      </c>
      <c r="G158" s="30">
        <f ca="1"/>
        <v>527224960536</v>
      </c>
      <c r="H158" s="30" t="str">
        <f ca="1"/>
        <v>Semana de entrenamiento (07 - 13) Julio, Comunidad Jóvenes + 18 (14-19) Julio, Semana de niños y niñas (21-25) Julio</v>
      </c>
      <c r="I158" s="30" t="str">
        <f ca="1"/>
        <v>Faity</v>
      </c>
      <c r="J158" s="30" t="str">
        <f ca="1"/>
        <v>El divino Salvador</v>
      </c>
      <c r="K158" s="30" t="str">
        <f ca="1"/>
        <v>Misael Alejandro Cedillo Martínez</v>
      </c>
      <c r="L158" s="30">
        <f ca="1"/>
        <v>525560942568</v>
      </c>
      <c r="M158" s="30" t="str">
        <f ca="1"/>
        <v>misa_brol@hotmail.com</v>
      </c>
      <c r="N158" s="30" t="str">
        <f ca="1"/>
        <v>Educación</v>
      </c>
      <c r="O158" s="30" t="str">
        <f ca="1"/>
        <v>Yo vengo de cuna evangélica, pero acepté el señor en mi corazón. A los 15 años, el señor ha cambiado mi vida desde entonces y me gusta servir y apoyar a mi iglesia</v>
      </c>
      <c r="P158" s="30" t="str">
        <f ca="1"/>
        <v>Acudí hace dos años al campamento, me invitaron y la verdad es que sentí que hubo unción después de eso y me gustaría volver a a servir y a estar ahí</v>
      </c>
      <c r="Q158" s="30" t="str">
        <f ca="1"/>
        <v>No</v>
      </c>
      <c r="R158" s="30">
        <v>0</v>
      </c>
      <c r="S158" s="30" t="str">
        <f ca="1"/>
        <v>Si</v>
      </c>
      <c r="T158" s="30" t="str">
        <f ca="1"/>
        <v>Piano</v>
      </c>
      <c r="U158" s="30" t="str">
        <f ca="1"/>
        <v>Ingeniería industrial</v>
      </c>
      <c r="V158" s="30" t="str">
        <f ca="1"/>
        <v>Creatividad, lectura</v>
      </c>
      <c r="W158" s="16" t="str">
        <f ca="1"/>
        <v>C. Suelo buscar que el trabajo se realice en equipo, E. Me gusta el trabajo con niños, K. Soy creativo (a), L. Soy bueno (a) en canto o algún instrumento, M. Soy bueno (a) con los números</v>
      </c>
      <c r="X158" s="16">
        <f ca="1"/>
        <v>2023</v>
      </c>
      <c r="Y158" s="30">
        <v>0</v>
      </c>
      <c r="Z158" s="23" t="s">
        <v>51</v>
      </c>
      <c r="AA158" s="23" t="s">
        <v>25</v>
      </c>
      <c r="AB158" s="23"/>
      <c r="AC158" s="23"/>
      <c r="AD158" s="23"/>
      <c r="AE158" s="23"/>
      <c r="AF158" s="23"/>
      <c r="AG158" s="23"/>
      <c r="AH158" s="23"/>
      <c r="AI158" s="23"/>
      <c r="AJ158" s="16"/>
      <c r="AK158" s="16"/>
      <c r="AL158" s="17"/>
    </row>
    <row r="159" spans="1:38" ht="12.75" x14ac:dyDescent="0.35">
      <c r="A159" s="9">
        <v>158</v>
      </c>
      <c r="B159" s="30" t="str">
        <f ca="1"/>
        <v>Gabriel, Ezqueda</v>
      </c>
      <c r="C159" s="31">
        <f ca="1"/>
        <v>47</v>
      </c>
      <c r="D159" s="30" t="str">
        <f ca="1"/>
        <v>Hombre</v>
      </c>
      <c r="E159" s="30" t="str">
        <f ca="1"/>
        <v>Yucatan, Mexico</v>
      </c>
      <c r="F159" s="30" t="str">
        <f ca="1"/>
        <v>gabriel.ezqueda.b@gmail.com</v>
      </c>
      <c r="G159" s="30">
        <f ca="1"/>
        <v>529812094738</v>
      </c>
      <c r="H159" s="30" t="str">
        <f ca="1"/>
        <v>Semana de entrenamiento (07 - 13) Julio, Comunidad Jóvenes + 18 (14-19) Julio</v>
      </c>
      <c r="I159" s="30" t="str">
        <f ca="1"/>
        <v>Hora silenciosa</v>
      </c>
      <c r="J159" s="30" t="str">
        <f ca="1"/>
        <v>Iglesia Bautista Mérida Norte</v>
      </c>
      <c r="K159" s="30" t="str">
        <f ca="1"/>
        <v>Jesús Mendoza</v>
      </c>
      <c r="L159" s="30">
        <f ca="1"/>
        <v>529994901069</v>
      </c>
      <c r="M159" s="30" t="str">
        <f ca="1"/>
        <v>jesusmendozam@hotmail.com</v>
      </c>
      <c r="N159" s="30" t="str">
        <f ca="1"/>
        <v>Titeres</v>
      </c>
      <c r="O159" s="30" t="str">
        <f ca="1"/>
        <v>En un campamento de Palabra de Vida México la hermana Lidia Ester Naal me dio el plan de salvación, en una playa del estado de Yucatán.</v>
      </c>
      <c r="P159" s="30" t="str">
        <f ca="1"/>
        <v>Ya he participado en 5 ocasiones en el área de aventura y tengo la oportunidad de ir este año.</v>
      </c>
      <c r="Q159" s="30" t="str">
        <f ca="1"/>
        <v>Si</v>
      </c>
      <c r="R159" s="30" t="str">
        <f ca="1"/>
        <v>Deportes de aventura, y alpinismo.</v>
      </c>
      <c r="S159" s="30" t="str">
        <f ca="1"/>
        <v>No</v>
      </c>
      <c r="T159" s="30">
        <v>0</v>
      </c>
      <c r="U159" s="30" t="str">
        <f ca="1"/>
        <v>Diplomados de administración</v>
      </c>
      <c r="V159" s="30" t="str">
        <f ca="1"/>
        <v>Gestor de proyectos de gobierno</v>
      </c>
      <c r="W159" s="16" t="str">
        <f ca="1"/>
        <v>B. Me gusta animar a las personas, C. Suelo buscar que el trabajo se realice en equipo, D. Me gustan los deportes</v>
      </c>
      <c r="X159" s="16" t="str">
        <f ca="1"/>
        <v>2014, 2015,; 2016,; 2017,; 2018</v>
      </c>
      <c r="Y159" s="30">
        <v>0</v>
      </c>
      <c r="Z159" s="23" t="s">
        <v>51</v>
      </c>
      <c r="AA159" s="23"/>
      <c r="AB159" s="23"/>
      <c r="AC159" s="23" t="s">
        <v>50</v>
      </c>
      <c r="AD159" s="23"/>
      <c r="AE159" s="23"/>
      <c r="AF159" s="23"/>
      <c r="AG159" s="23"/>
      <c r="AH159" s="23"/>
      <c r="AI159" s="23"/>
      <c r="AJ159" s="16" t="s">
        <v>143</v>
      </c>
      <c r="AK159" s="16"/>
      <c r="AL159" s="17"/>
    </row>
    <row r="160" spans="1:38" ht="25.5" x14ac:dyDescent="0.35">
      <c r="A160" s="9">
        <v>159</v>
      </c>
      <c r="B160" s="41" t="str">
        <f ca="1"/>
        <v>Ángel, Fregoso López</v>
      </c>
      <c r="C160" s="42">
        <f ca="1"/>
        <v>19</v>
      </c>
      <c r="D160" s="41" t="str">
        <f ca="1"/>
        <v>Hombre</v>
      </c>
      <c r="E160" s="41" t="str">
        <f ca="1"/>
        <v>Jalisco, Mexico</v>
      </c>
      <c r="F160" s="41" t="str">
        <f ca="1"/>
        <v>angelfrechl@gmail.com</v>
      </c>
      <c r="G160" s="41">
        <f ca="1"/>
        <v>523317544255</v>
      </c>
      <c r="H160" s="41" t="str">
        <f ca="1"/>
        <v>Semana de niños y niñas (21-25) Julio</v>
      </c>
      <c r="I160" s="41" t="str">
        <f ca="1"/>
        <v>Hora Silenciosa</v>
      </c>
      <c r="J160" s="41" t="str">
        <f ca="1"/>
        <v>Iglesia Vida</v>
      </c>
      <c r="K160" s="41" t="str">
        <f ca="1"/>
        <v>Neftalí Rubio Bonilla</v>
      </c>
      <c r="L160" s="41">
        <f ca="1"/>
        <v>524411036024</v>
      </c>
      <c r="M160" s="41" t="str">
        <f ca="1"/>
        <v>nefaly@gmail.com</v>
      </c>
      <c r="N160" s="41" t="str">
        <f ca="1"/>
        <v>Escuela Dominical</v>
      </c>
      <c r="O160" s="41" t="str">
        <f ca="1"/>
        <v>Nací en cuna cristiana, pero fue en un campamento de Palabra de Vida en 2019 donde comprendí el verdadero valor de creer en Jesús y vivir una vida para Él.</v>
      </c>
      <c r="P160" s="41" t="str">
        <f ca="1"/>
        <v>Creo que es una buena oportunidad de servir al Señor y conocer gente que comparte una misma fe.</v>
      </c>
      <c r="Q160" s="41" t="str">
        <f ca="1"/>
        <v>Si</v>
      </c>
      <c r="R160" s="41" t="str">
        <f ca="1"/>
        <v>Natación</v>
      </c>
      <c r="S160" s="41" t="str">
        <f ca="1"/>
        <v>No</v>
      </c>
      <c r="T160" s="41">
        <v>0</v>
      </c>
      <c r="U160" s="41" t="str">
        <f ca="1"/>
        <v>Ingeniería en Computación</v>
      </c>
      <c r="V160" s="41" t="str">
        <f ca="1"/>
        <v>Soy asistente administrativo en una agencia. Soy hábil en el manejo de Excel y muchos programas de computadora.</v>
      </c>
      <c r="W160" s="43" t="str">
        <f ca="1"/>
        <v>E. Me gusta el trabajo con niños, H. Soy organizado (a), K. Soy creativo (a), M. Soy bueno (a) con los números, O. Puedo enseñar con facilidad</v>
      </c>
      <c r="X160" s="43" t="str">
        <f ca="1"/>
        <v>2019, 2020 y 2023</v>
      </c>
      <c r="Y160" s="41">
        <v>0</v>
      </c>
      <c r="Z160" s="44" t="s">
        <v>51</v>
      </c>
      <c r="AA160" s="44"/>
      <c r="AB160" s="44"/>
      <c r="AC160" s="44" t="s">
        <v>28</v>
      </c>
      <c r="AD160" s="23"/>
      <c r="AE160" s="23"/>
      <c r="AF160" s="23"/>
      <c r="AG160" s="23"/>
      <c r="AH160" s="23"/>
      <c r="AI160" s="23"/>
      <c r="AJ160" s="38" t="s">
        <v>144</v>
      </c>
      <c r="AK160" s="16"/>
      <c r="AL160" s="17"/>
    </row>
    <row r="161" spans="1:38" ht="12.75" x14ac:dyDescent="0.35">
      <c r="A161" s="9">
        <v>160</v>
      </c>
      <c r="B161" s="30" t="str">
        <f ca="1"/>
        <v>Marco Uriel, Garcia Guerrero</v>
      </c>
      <c r="C161" s="31">
        <f ca="1"/>
        <v>23</v>
      </c>
      <c r="D161" s="30" t="str">
        <f ca="1"/>
        <v>Hombre</v>
      </c>
      <c r="E161" s="30" t="str">
        <f ca="1"/>
        <v>Tamaulipas, Mexico</v>
      </c>
      <c r="F161" s="30" t="str">
        <f ca="1"/>
        <v>marcogg7u@hotmail.com</v>
      </c>
      <c r="G161" s="30">
        <f ca="1"/>
        <v>528333825267</v>
      </c>
      <c r="H161" s="30" t="str">
        <f ca="1"/>
        <v>Toda la temporada (07 de Julio al 16 de agosto)</v>
      </c>
      <c r="I161" s="30" t="str">
        <f ca="1"/>
        <v>hora silenciosa</v>
      </c>
      <c r="J161" s="30" t="str">
        <f ca="1"/>
        <v>iglesia bautista el calvario</v>
      </c>
      <c r="K161" s="30" t="str">
        <f ca="1"/>
        <v>marco antonio garcia montoya</v>
      </c>
      <c r="L161" s="30">
        <f ca="1"/>
        <v>528333504123</v>
      </c>
      <c r="M161" s="30" t="str">
        <f ca="1"/>
        <v>marcoantoniopastor75@gmail.com</v>
      </c>
      <c r="N161" s="30" t="str">
        <f ca="1"/>
        <v>Lider Club Biblico</v>
      </c>
      <c r="O161" s="30" t="str">
        <f ca="1"/>
        <v>Acepte a los 13 años después de un culto de semana santa, al reflexionar sobre lo que se conmemoraba, pero hubo un verdadero cambio en mi a los 15 en una fogata de campamento de palabra de vida donde consagre mi vida a Dios y me di cuenta que no vivía lo que decía creer.</v>
      </c>
      <c r="P161" s="30" t="str">
        <f ca="1"/>
        <v>Para colaborar en la predicación del evangelio y consagración de jovenes y adolescentes que participen en el campamento.</v>
      </c>
      <c r="Q161" s="30" t="str">
        <f ca="1"/>
        <v>No</v>
      </c>
      <c r="R161" s="30">
        <v>0</v>
      </c>
      <c r="S161" s="30" t="str">
        <f ca="1"/>
        <v>Si</v>
      </c>
      <c r="T161" s="30" t="str">
        <f ca="1"/>
        <v>Piano</v>
      </c>
      <c r="U161" s="30" t="str">
        <f ca="1"/>
        <v>Economía</v>
      </c>
      <c r="V161" s="30" t="str">
        <f ca="1"/>
        <v>Lic. en Música</v>
      </c>
      <c r="W161" s="16" t="str">
        <f ca="1"/>
        <v>C. Suelo buscar que el trabajo se realice en equipo, E. Me gusta el trabajo con niños, F. Soy eficiente en el trabajo con herramientas, equipos y maquinarias, H. Soy organizado (a), I. Se me facilita el trabajo físico, K. Soy creativo (a), L. Soy bueno (a) en canto o algún instrumento, M. Soy bueno (a) con los números, N. Suelo llevar el liderazgo en un grupo, O. Puedo enseñar con facilidad</v>
      </c>
      <c r="X161" s="16" t="str">
        <f ca="1"/>
        <v>2013,2014 y 2015</v>
      </c>
      <c r="Y161" s="30">
        <v>0</v>
      </c>
      <c r="Z161" s="23" t="s">
        <v>51</v>
      </c>
      <c r="AA161" s="23" t="s">
        <v>45</v>
      </c>
      <c r="AB161" s="23" t="s">
        <v>50</v>
      </c>
      <c r="AC161" s="23"/>
      <c r="AD161" s="23"/>
      <c r="AE161" s="23"/>
      <c r="AF161" s="23"/>
      <c r="AG161" s="23"/>
      <c r="AH161" s="23"/>
      <c r="AI161" s="23"/>
      <c r="AJ161" s="16" t="s">
        <v>145</v>
      </c>
      <c r="AK161" s="16"/>
      <c r="AL161" s="17"/>
    </row>
    <row r="162" spans="1:38" ht="12.75" x14ac:dyDescent="0.35">
      <c r="A162" s="9">
        <v>161</v>
      </c>
      <c r="B162" s="30" t="str">
        <f ca="1"/>
        <v>MARCOS EFRAIN, PEÑA TORRES</v>
      </c>
      <c r="C162" s="31">
        <f ca="1"/>
        <v>26</v>
      </c>
      <c r="D162" s="30" t="str">
        <f ca="1"/>
        <v>Hombre</v>
      </c>
      <c r="E162" s="30" t="str">
        <f ca="1"/>
        <v>Mexico, Mexico</v>
      </c>
      <c r="F162" s="30" t="str">
        <f ca="1"/>
        <v>marcuspt06@hotmail.com</v>
      </c>
      <c r="G162" s="30">
        <f ca="1"/>
        <v>525571963096</v>
      </c>
      <c r="H162" s="30" t="str">
        <f ca="1"/>
        <v>Comunidad Jóvenes + 18 (14-19) Julio, Semana de niños y niñas (21-25) Julio, Jóvenes de 13 – 17 años / SEM1/ (28 Julio a 02 de agosto)</v>
      </c>
      <c r="I162" s="30" t="str">
        <f ca="1"/>
        <v>leer biblia diario</v>
      </c>
      <c r="J162" s="30" t="str">
        <f ca="1"/>
        <v>iglesia bautista vida nueva coyoacan</v>
      </c>
      <c r="K162" s="30" t="str">
        <f ca="1"/>
        <v>ricardo pichardo</v>
      </c>
      <c r="L162" s="30">
        <f ca="1"/>
        <v>525523155872</v>
      </c>
      <c r="M162" s="30" t="str">
        <f ca="1"/>
        <v>rickpichardo@hotmail.com</v>
      </c>
      <c r="N162" s="30" t="str">
        <f ca="1"/>
        <v>alabanza y multimedia</v>
      </c>
      <c r="O162" s="30" t="str">
        <f ca="1"/>
        <v>yo naci en una famila cristiana, pero siendo sincero fue hasta el 2019 que yo confirme mi salvacion en cristo despues de una fogata en el campamento de PV</v>
      </c>
      <c r="P162" s="30" t="str">
        <f ca="1"/>
        <v>me gusta ser parte de la obra que jesucristo nos da a nosotros para que otros le conozcan</v>
      </c>
      <c r="Q162" s="30" t="str">
        <f ca="1"/>
        <v>No</v>
      </c>
      <c r="R162" s="30">
        <v>0</v>
      </c>
      <c r="S162" s="30" t="str">
        <f ca="1"/>
        <v>Si</v>
      </c>
      <c r="T162" s="30" t="str">
        <f ca="1"/>
        <v>guitarra</v>
      </c>
      <c r="U162" s="30" t="str">
        <f ca="1"/>
        <v>estudie diseño y produccion audiovisual</v>
      </c>
      <c r="V162" s="30" t="str">
        <f ca="1"/>
        <v>soy fotografo y filmakeer asi como diseñador</v>
      </c>
      <c r="W162" s="16" t="str">
        <f ca="1"/>
        <v>A. Soy un discipulador activo, B. Me gusta animar a las personas, C. Suelo buscar que el trabajo se realice en equipo, D. Me gustan los deportes, F. Soy eficiente en el trabajo con herramientas, equipos y maquinarias, G. Soy más eficiente en el trabajo individual, H. Soy organizado (a), K. Soy creativo (a), L. Soy bueno (a) en canto o algún instrumento, N. Suelo llevar el liderazgo en un grupo</v>
      </c>
      <c r="X162" s="16" t="str">
        <f ca="1"/>
        <v>fui campero desde el 2012 y despues fui equipo en varias tempradas mas</v>
      </c>
      <c r="Y162" s="30">
        <v>0</v>
      </c>
      <c r="Z162" s="23" t="s">
        <v>51</v>
      </c>
      <c r="AA162" s="23" t="s">
        <v>50</v>
      </c>
      <c r="AB162" s="23"/>
      <c r="AC162" s="23"/>
      <c r="AD162" s="23"/>
      <c r="AE162" s="23"/>
      <c r="AF162" s="23"/>
      <c r="AG162" s="23"/>
      <c r="AH162" s="23"/>
      <c r="AI162" s="23"/>
      <c r="AJ162" s="16" t="s">
        <v>146</v>
      </c>
      <c r="AK162" s="16"/>
      <c r="AL162" s="17"/>
    </row>
    <row r="163" spans="1:38" ht="12.75" x14ac:dyDescent="0.35">
      <c r="A163" s="9">
        <v>162</v>
      </c>
      <c r="B163" s="30" t="str">
        <f ca="1"/>
        <v>Juan, Trejo Trejo</v>
      </c>
      <c r="C163" s="31">
        <f ca="1"/>
        <v>25</v>
      </c>
      <c r="D163" s="30" t="str">
        <f ca="1"/>
        <v>Hombre</v>
      </c>
      <c r="E163" s="30" t="str">
        <f ca="1"/>
        <v>Queretaro, Mexico</v>
      </c>
      <c r="F163" s="30" t="str">
        <f ca="1"/>
        <v>juantrejo_ing_civil@hotmail.com</v>
      </c>
      <c r="G163" s="30">
        <f ca="1"/>
        <v>524423000100</v>
      </c>
      <c r="H163" s="30" t="str">
        <f ca="1"/>
        <v>Comunidad Jóvenes + 18 (14-19) Julio</v>
      </c>
      <c r="I163" s="30" t="str">
        <f ca="1"/>
        <v>Hora silenciosa</v>
      </c>
      <c r="J163" s="30" t="str">
        <f ca="1"/>
        <v>Torre fuerte en Querétaro</v>
      </c>
      <c r="K163" s="30" t="str">
        <f ca="1"/>
        <v>José Juan Trejo López</v>
      </c>
      <c r="L163" s="30">
        <f ca="1"/>
        <v>524422724005</v>
      </c>
      <c r="M163" s="30" t="str">
        <f ca="1"/>
        <v>cpi.arq@hotmail.com</v>
      </c>
      <c r="N163" s="30" t="str">
        <f ca="1"/>
        <v>Pastor de jóvenes</v>
      </c>
      <c r="O163" s="30" t="str">
        <f ca="1"/>
        <v>Nací en familia pastoral mi papá es mi pastor y gracias a Dios tuve el privilegio de estar dentro de comunidad, recibí a cristo a los 12 años mi mamá me predicó y me bauticé a los 16 años</v>
      </c>
      <c r="P163" s="30" t="str">
        <f ca="1"/>
        <v>Llevo 9 años sirviendo a Él ministerio en pdv como equipante y me ha dado la gracias y bendición de poder ser consejero los últimos 3 años y es una bendición enorme a mi vida</v>
      </c>
      <c r="Q163" s="30" t="str">
        <f ca="1"/>
        <v>Si</v>
      </c>
      <c r="R163" s="30" t="str">
        <f ca="1"/>
        <v>Crossfit</v>
      </c>
      <c r="S163" s="30" t="str">
        <f ca="1"/>
        <v>Si</v>
      </c>
      <c r="T163" s="30" t="str">
        <f ca="1"/>
        <v>Cajón peruano</v>
      </c>
      <c r="U163" s="30" t="str">
        <f ca="1"/>
        <v>Soy ingeniero civil y estudió la maestría en obra</v>
      </c>
      <c r="V163" s="30" t="str">
        <f ca="1"/>
        <v>Son varias pero una de ella me encanta poder disfrutar de mi carrera y el ministerio que tengo en la iglesia</v>
      </c>
      <c r="W163" s="16" t="str">
        <f ca="1"/>
        <v>A. Soy un discipulador activo, B. Me gusta animar a las personas, C. Suelo buscar que el trabajo se realice en equipo, H. Soy organizado (a), J. Me gusta la atención a las personas, L. Soy bueno (a) en canto o algún instrumento, N. Suelo llevar el liderazgo en un grupo, O. Puedo enseñar con facilidad</v>
      </c>
      <c r="X163" s="16" t="str">
        <f ca="1"/>
        <v>Si fui campero del 2012 hasta el 2020 y de el 2021 al 2025 he sido equipante</v>
      </c>
      <c r="Y163" s="30">
        <v>0</v>
      </c>
      <c r="Z163" s="23" t="s">
        <v>51</v>
      </c>
      <c r="AA163" s="23"/>
      <c r="AB163" s="23"/>
      <c r="AC163" s="23" t="s">
        <v>45</v>
      </c>
      <c r="AD163" s="23"/>
      <c r="AE163" s="23"/>
      <c r="AF163" s="23"/>
      <c r="AG163" s="23"/>
      <c r="AH163" s="23"/>
      <c r="AI163" s="23"/>
      <c r="AJ163" s="16"/>
      <c r="AK163" s="16"/>
      <c r="AL163" s="17"/>
    </row>
    <row r="164" spans="1:38" ht="12.75" x14ac:dyDescent="0.35">
      <c r="A164" s="9">
        <v>163</v>
      </c>
      <c r="B164" s="30" t="str">
        <f ca="1"/>
        <v>Giuliana, Moguel</v>
      </c>
      <c r="C164" s="31">
        <f ca="1"/>
        <v>20</v>
      </c>
      <c r="D164" s="30" t="str">
        <f ca="1"/>
        <v>Mujer</v>
      </c>
      <c r="E164" s="30" t="str">
        <f ca="1"/>
        <v>San Luis Potosi, Mexico</v>
      </c>
      <c r="F164" s="30" t="str">
        <f ca="1"/>
        <v>giuliana.mogl@gmail.com</v>
      </c>
      <c r="G164" s="30">
        <f ca="1"/>
        <v>524443376460</v>
      </c>
      <c r="H164" s="30" t="str">
        <f ca="1"/>
        <v>Semana de entrenamiento (07 - 13) Julio, Semana de niños y niñas (21-25) Julio, Jóvenes de 13 – 17 años / SEM1/ (28 Julio a 02 de agosto)</v>
      </c>
      <c r="I164" s="30" t="str">
        <f ca="1"/>
        <v>Join the journey (Watermark church), planes de YouVersion</v>
      </c>
      <c r="J164" s="30" t="str">
        <f ca="1"/>
        <v>Iglesia Bíblica Bautista de San Luis Potosí</v>
      </c>
      <c r="K164" s="30" t="str">
        <f ca="1"/>
        <v>Manuel Díaz</v>
      </c>
      <c r="L164" s="30">
        <f ca="1"/>
        <v>524448404914</v>
      </c>
      <c r="M164" s="30" t="str">
        <f ca="1"/>
        <v>manuel.diaz.alvarez.2512@gmail.com</v>
      </c>
      <c r="N164" s="30" t="str">
        <f ca="1"/>
        <v>Social Media Jóvenes</v>
      </c>
      <c r="O164" s="30" t="str">
        <f ca="1"/>
        <v>En un campamento del 2015 me compartieron el evangelio, entendiendo mi condición por fe acepté a Jesús como mi único y suficiente salvador. Ahora vivo con gozo y gratitud al saber que he nacido de nuevo y que día con día el Señor sigue mostrando su amor paciencia y fidelidad en mi vida.</v>
      </c>
      <c r="P164" s="30" t="str">
        <f ca="1"/>
        <v>Quiero ser parte del equipo de verano porque siempre me llena de gozo servir en campamentos. Para mí ha sido una experiencia muy bonita, divertida y también retadora. Me hace crecer, tanto personalmente como espiritualmente, y me ayuda a depender más de Dios, sabiendo que solo Él me da la fortaleza para todo lo que implica esa semana.
También me motiva a seguir compartiendo el evangelio con más personas y a seguir conociendo más su Palabra para poder compartirla mejor. Y me encanta poder convivir con otros que comparten mi fe, hacer nuevos amigos y tener un buen tiempo sirviendo juntos.</v>
      </c>
      <c r="Q164" s="30" t="str">
        <f ca="1"/>
        <v>Si</v>
      </c>
      <c r="R164" s="30" t="str">
        <f ca="1"/>
        <v>Volley</v>
      </c>
      <c r="S164" s="30" t="str">
        <f ca="1"/>
        <v>No</v>
      </c>
      <c r="T164" s="30">
        <v>0</v>
      </c>
      <c r="U164" s="30" t="str">
        <f ca="1"/>
        <v>Psicopedagogía</v>
      </c>
      <c r="V164" s="30" t="str">
        <f ca="1"/>
        <v>Algunas de mis habilidades son la organización, la fotografía y la creatividad. También se me facilita relacionarme con las personas y disfruto el trabajo en equipo.</v>
      </c>
      <c r="W164" s="16" t="str">
        <f ca="1"/>
        <v>B. Me gusta animar a las personas, C. Suelo buscar que el trabajo se realice en equipo, D. Me gustan los deportes, E. Me gusta el trabajo con niños, H. Soy organizado (a), J. Me gusta la atención a las personas, K. Soy creativo (a), L. Soy bueno (a) en canto o algún instrumento, N. Suelo llevar el liderazgo en un grupo, O. Puedo enseñar con facilidad</v>
      </c>
      <c r="X164" s="16" t="str">
        <f ca="1"/>
        <v>Sí, 2015</v>
      </c>
      <c r="Y164" s="30">
        <v>0</v>
      </c>
      <c r="Z164" s="23" t="s">
        <v>51</v>
      </c>
      <c r="AA164" s="23" t="s">
        <v>26</v>
      </c>
      <c r="AB164" s="23"/>
      <c r="AC164" s="23"/>
      <c r="AD164" s="23"/>
      <c r="AE164" s="23"/>
      <c r="AF164" s="23"/>
      <c r="AG164" s="23"/>
      <c r="AH164" s="23"/>
      <c r="AI164" s="23"/>
      <c r="AJ164" s="16"/>
      <c r="AK164" s="16"/>
      <c r="AL164" s="17"/>
    </row>
    <row r="165" spans="1:38" ht="12.75" x14ac:dyDescent="0.35">
      <c r="A165" s="9">
        <v>164</v>
      </c>
      <c r="B165" s="30" t="str">
        <f ca="1"/>
        <v>Karla, Uc Collí</v>
      </c>
      <c r="C165" s="31">
        <f ca="1"/>
        <v>25</v>
      </c>
      <c r="D165" s="30" t="str">
        <f ca="1"/>
        <v>Mujer</v>
      </c>
      <c r="E165" s="30" t="str">
        <f ca="1"/>
        <v>Queretaro, Mexico</v>
      </c>
      <c r="F165" s="30" t="str">
        <f ca="1"/>
        <v>karlamadai723@gmail.com</v>
      </c>
      <c r="G165" s="30">
        <f ca="1"/>
        <v>524411037941</v>
      </c>
      <c r="H165" s="30" t="str">
        <f ca="1"/>
        <v>Semana de niños y niñas (21-25) Julio</v>
      </c>
      <c r="I165" s="30" t="str">
        <f ca="1"/>
        <v>youversion</v>
      </c>
      <c r="J165" s="30" t="str">
        <f ca="1"/>
        <v>conexión vertical</v>
      </c>
      <c r="K165" s="30" t="str">
        <f ca="1"/>
        <v>marcelo jorquera</v>
      </c>
      <c r="L165" s="30">
        <f ca="1"/>
        <v>524411000876</v>
      </c>
      <c r="M165" s="30" t="str">
        <f ca="1"/>
        <v>mdjorquerap@gmail.com</v>
      </c>
      <c r="N165" s="30" t="str">
        <f ca="1"/>
        <v>redes sociales</v>
      </c>
      <c r="O165" s="30" t="str">
        <f ca="1"/>
        <v>a los 5 en la guardería de pdv una misionera compartió conmigo el evangelio y ese entendí que necesitaba a un Salvador y acepté a Cristo en mi corazón, estoy segura que pasaré con el la eternidad.</v>
      </c>
      <c r="P165" s="30" t="str">
        <f ca="1"/>
        <v>para poder servir y ayudar</v>
      </c>
      <c r="Q165" s="30" t="str">
        <f ca="1"/>
        <v>Si</v>
      </c>
      <c r="R165" s="30" t="str">
        <f ca="1"/>
        <v>futbol y voleybol</v>
      </c>
      <c r="S165" s="30" t="str">
        <f ca="1"/>
        <v>No</v>
      </c>
      <c r="T165" s="30">
        <v>0</v>
      </c>
      <c r="U165" s="30" t="str">
        <f ca="1"/>
        <v>fisioterapia</v>
      </c>
      <c r="V165" s="30" t="str">
        <f ca="1"/>
        <v>soy buena platicando</v>
      </c>
      <c r="W165" s="16" t="str">
        <f ca="1"/>
        <v>B. Me gusta animar a las personas, J. Me gusta la atención a las personas, O. Puedo enseñar con facilidad</v>
      </c>
      <c r="X165" s="16" t="str">
        <f ca="1"/>
        <v>desde 2008 al 2014</v>
      </c>
      <c r="Y165" s="30">
        <v>0</v>
      </c>
      <c r="Z165" s="23" t="s">
        <v>51</v>
      </c>
      <c r="AA165" s="23"/>
      <c r="AB165" s="23"/>
      <c r="AC165" s="23" t="s">
        <v>26</v>
      </c>
      <c r="AD165" s="23"/>
      <c r="AE165" s="23"/>
      <c r="AF165" s="23"/>
      <c r="AG165" s="23"/>
      <c r="AH165" s="23"/>
      <c r="AI165" s="23"/>
      <c r="AJ165" s="16"/>
      <c r="AK165" s="16"/>
      <c r="AL165" s="17"/>
    </row>
    <row r="166" spans="1:38" ht="12.75" x14ac:dyDescent="0.35">
      <c r="A166" s="9">
        <v>165</v>
      </c>
      <c r="B166" s="30" t="str">
        <f ca="1"/>
        <v>Maryam, Morales García</v>
      </c>
      <c r="C166" s="31">
        <f ca="1"/>
        <v>16</v>
      </c>
      <c r="D166" s="30" t="str">
        <f ca="1"/>
        <v>Mujer</v>
      </c>
      <c r="E166" s="30" t="str">
        <f ca="1"/>
        <v>Queretaro, Mexico</v>
      </c>
      <c r="F166" s="30" t="str">
        <f ca="1"/>
        <v>maryammorales230309@gmail.com</v>
      </c>
      <c r="G166" s="30">
        <f ca="1"/>
        <v>524425519821</v>
      </c>
      <c r="H166" s="30" t="str">
        <f ca="1"/>
        <v>Jóvenes de 13 – 17 años / SEM2/ (4 - 09 agosto)</v>
      </c>
      <c r="I166" s="30" t="str">
        <f ca="1"/>
        <v>Padre Nuestro, Descubre el poder de la oración</v>
      </c>
      <c r="J166" s="30" t="str">
        <f ca="1"/>
        <v>Ministerios de Reconsilación</v>
      </c>
      <c r="K166" s="30" t="str">
        <f ca="1"/>
        <v>Abel Sanchez</v>
      </c>
      <c r="L166" s="30">
        <f ca="1"/>
        <v>524422009595</v>
      </c>
      <c r="M166" s="30" t="str">
        <f ca="1"/>
        <v>vasni.rg@gmail.com</v>
      </c>
      <c r="N166" s="30" t="str">
        <f ca="1"/>
        <v>Club Biblico</v>
      </c>
      <c r="O166" s="30" t="str">
        <f ca="1"/>
        <v>En un campamento de Bernal entregue mi vida al Señor Jesús</v>
      </c>
      <c r="P166" s="30" t="str">
        <f ca="1"/>
        <v>Para aprovechar mi verano y servir</v>
      </c>
      <c r="Q166" s="30" t="str">
        <f ca="1"/>
        <v>Si</v>
      </c>
      <c r="R166" s="30" t="str">
        <f ca="1"/>
        <v>Tocho Bandera</v>
      </c>
      <c r="S166" s="30" t="str">
        <f ca="1"/>
        <v>Si</v>
      </c>
      <c r="T166" s="30" t="str">
        <f ca="1"/>
        <v>Bateria y Piano</v>
      </c>
      <c r="U166" s="30" t="str">
        <f ca="1"/>
        <v>La Preparatoria</v>
      </c>
      <c r="V166" s="30" t="str">
        <f ca="1"/>
        <v>Aprendo rápido</v>
      </c>
      <c r="W166" s="16" t="str">
        <f ca="1"/>
        <v>C. Suelo buscar que el trabajo se realice en equipo, D. Me gustan los deportes, H. Soy organizado (a), I. Se me facilita el trabajo físico, K. Soy creativo (a), L. Soy bueno (a) en canto o algún instrumento</v>
      </c>
      <c r="X166" s="16" t="str">
        <f ca="1"/>
        <v>Si, 2019, 2020, 2023, 2024</v>
      </c>
      <c r="Y166" s="30">
        <v>0</v>
      </c>
      <c r="Z166" s="23"/>
      <c r="AA166" s="23"/>
      <c r="AB166" s="23"/>
      <c r="AC166" s="23"/>
      <c r="AD166" s="23"/>
      <c r="AE166" s="23"/>
      <c r="AF166" s="23"/>
      <c r="AG166" s="23" t="s">
        <v>25</v>
      </c>
      <c r="AH166" s="23"/>
      <c r="AI166" s="23"/>
      <c r="AJ166" s="16"/>
      <c r="AK166" s="16"/>
      <c r="AL166" s="17"/>
    </row>
    <row r="167" spans="1:38" ht="12.75" x14ac:dyDescent="0.35">
      <c r="A167" s="9">
        <v>166</v>
      </c>
      <c r="B167" s="34" t="str">
        <f ca="1"/>
        <v>Edith, Monroy Palomo</v>
      </c>
      <c r="C167" s="35">
        <f ca="1"/>
        <v>19</v>
      </c>
      <c r="D167" s="34" t="str">
        <f ca="1"/>
        <v>Mujer</v>
      </c>
      <c r="E167" s="34" t="str">
        <f ca="1"/>
        <v>San Luis Potosi, Mexico</v>
      </c>
      <c r="F167" s="34" t="str">
        <f ca="1"/>
        <v>monroy.palomo.edith@gmail.com</v>
      </c>
      <c r="G167" s="34" t="str">
        <f ca="1"/>
        <v>#ERROR!</v>
      </c>
      <c r="H167" s="34" t="str">
        <f ca="1"/>
        <v>Comunidad Jóvenes + 18 (14-19) Julio, Semana de niños y niñas (21-25) Julio, Jóvenes de 13 – 17 años / SEM1/ (28 Julio a 02 de agosto)</v>
      </c>
      <c r="I167" s="34" t="str">
        <f ca="1"/>
        <v>HS, you version y personal</v>
      </c>
      <c r="J167" s="34" t="str">
        <f ca="1"/>
        <v>Iglesia Bíblica Bautista de SLP</v>
      </c>
      <c r="K167" s="34" t="str">
        <f ca="1"/>
        <v>Manuel Díaz</v>
      </c>
      <c r="L167" s="34">
        <f ca="1"/>
        <v>524448404914</v>
      </c>
      <c r="M167" s="34" t="str">
        <f ca="1"/>
        <v>manuel.diaz.alvarez.2512@gmail.com</v>
      </c>
      <c r="N167" s="34" t="str">
        <f ca="1"/>
        <v>Cuneros, coro juvenil y apoyo de social media</v>
      </c>
      <c r="O167" s="34" t="str">
        <f ca="1"/>
        <v>Llegué a la iglesia a mis 3 años pero conocí verdaderamente un relación con Dios a profundidad hasta mis 14 años en un campamento de Palabra de Vida.</v>
      </c>
      <c r="P167" s="34" t="str">
        <f ca="1"/>
        <v>Me encanta ver todo lo que Dios puede hacer en diferentes vidas, el proceso de y el acompañamiento que llevan los jóvenes. Disfruto mucho formar parte de eso y a la par es una experiencia muy bonita y divertida</v>
      </c>
      <c r="Q167" s="34" t="str">
        <f ca="1"/>
        <v>Si</v>
      </c>
      <c r="R167" s="34" t="str">
        <f ca="1"/>
        <v>Volley</v>
      </c>
      <c r="S167" s="34" t="str">
        <f ca="1"/>
        <v>Si</v>
      </c>
      <c r="T167" s="34" t="str">
        <f ca="1"/>
        <v>Canto</v>
      </c>
      <c r="U167" s="34" t="str">
        <f ca="1"/>
        <v>Lic en nutrición</v>
      </c>
      <c r="V167" s="34" t="str">
        <f ca="1"/>
        <v>Repostería, cocina y nutrición</v>
      </c>
      <c r="W167" s="36" t="str">
        <f ca="1"/>
        <v>B. Me gusta animar a las personas, E. Me gusta el trabajo con niños, H. Soy organizado (a), J. Me gusta la atención a las personas, L. Soy bueno (a) en canto o algún instrumento, N. Suelo llevar el liderazgo en un grupo, O. Puedo enseñar con facilidad</v>
      </c>
      <c r="X167" s="36" t="str">
        <f ca="1"/>
        <v>Síp, desde 2012 hasta 2022</v>
      </c>
      <c r="Y167" s="34">
        <v>0</v>
      </c>
      <c r="Z167" s="37" t="s">
        <v>28</v>
      </c>
      <c r="AA167" s="37"/>
      <c r="AB167" s="37"/>
      <c r="AC167" s="37"/>
      <c r="AD167" s="23"/>
      <c r="AE167" s="23"/>
      <c r="AF167" s="23"/>
      <c r="AG167" s="23"/>
      <c r="AH167" s="23"/>
      <c r="AI167" s="23"/>
      <c r="AJ167" s="16"/>
      <c r="AK167" s="16"/>
      <c r="AL167" s="17"/>
    </row>
    <row r="168" spans="1:38" ht="12.75" x14ac:dyDescent="0.35">
      <c r="A168" s="9">
        <v>167</v>
      </c>
      <c r="B168" s="41" t="str">
        <f ca="1"/>
        <v>Sonia Maritza, González Paz</v>
      </c>
      <c r="C168" s="42">
        <f ca="1"/>
        <v>25</v>
      </c>
      <c r="D168" s="41" t="str">
        <f ca="1"/>
        <v>Mujer</v>
      </c>
      <c r="E168" s="41" t="str">
        <f ca="1"/>
        <v>Morelos, Mexico</v>
      </c>
      <c r="F168" s="41" t="str">
        <f ca="1"/>
        <v>gonzalez.paz.son@gmail.com</v>
      </c>
      <c r="G168" s="41">
        <f ca="1"/>
        <v>527773408708</v>
      </c>
      <c r="H168" s="41" t="str">
        <f ca="1"/>
        <v>Jóvenes de 13 – 17 años / SEM1/ (28 Julio a 02 de agosto)</v>
      </c>
      <c r="I168" s="41" t="str">
        <f ca="1"/>
        <v>Mi experiencia con Dios</v>
      </c>
      <c r="J168" s="41" t="str">
        <f ca="1"/>
        <v>Mahanaim</v>
      </c>
      <c r="K168" s="41" t="str">
        <f ca="1"/>
        <v>Fernando Bermudez</v>
      </c>
      <c r="L168" s="41">
        <f ca="1"/>
        <v>527351258023</v>
      </c>
      <c r="M168" s="41" t="str">
        <f ca="1"/>
        <v>ferberca48@gmail.com</v>
      </c>
      <c r="N168" s="41" t="str">
        <f ca="1"/>
        <v>No estoy en algún ministerio</v>
      </c>
      <c r="O168" s="41" t="str">
        <f ca="1"/>
        <v>Crecí en una iglesia católica y mis padres se separaron, a los 6 años mi madre nos llevó a la iglesia cristiana y desde ahí comencé a conocer de Dios. A los 15 años en el campamento yo tome una decisión consciente de ser salva</v>
      </c>
      <c r="P168" s="41" t="str">
        <f ca="1"/>
        <v>Me encantaría aportar algo y ser de bendición, que más personas conozcan a Dios</v>
      </c>
      <c r="Q168" s="41" t="str">
        <f ca="1"/>
        <v>No</v>
      </c>
      <c r="R168" s="41">
        <v>0</v>
      </c>
      <c r="S168" s="41" t="str">
        <f ca="1"/>
        <v>No</v>
      </c>
      <c r="T168" s="41">
        <v>0</v>
      </c>
      <c r="U168" s="41" t="str">
        <f ca="1"/>
        <v>Medicina</v>
      </c>
      <c r="V168" s="41" t="str">
        <f ca="1"/>
        <v>Soy médico</v>
      </c>
      <c r="W168" s="43" t="str">
        <f ca="1"/>
        <v>B. Me gusta animar a las personas, D. Me gustan los deportes, J. Me gusta la atención a las personas, K. Soy creativo (a), O. Puedo enseñar con facilidad</v>
      </c>
      <c r="X168" s="43" t="str">
        <f ca="1"/>
        <v>Si, 2012 y 2015</v>
      </c>
      <c r="Y168" s="41">
        <v>0</v>
      </c>
      <c r="Z168" s="44" t="s">
        <v>47</v>
      </c>
      <c r="AA168" s="44" t="s">
        <v>47</v>
      </c>
      <c r="AB168" s="44" t="s">
        <v>47</v>
      </c>
      <c r="AC168" s="44" t="s">
        <v>47</v>
      </c>
      <c r="AD168" s="44" t="s">
        <v>47</v>
      </c>
      <c r="AE168" s="44"/>
      <c r="AF168" s="44"/>
      <c r="AG168" s="23" t="s">
        <v>28</v>
      </c>
      <c r="AH168" s="23"/>
      <c r="AI168" s="23"/>
      <c r="AJ168" s="16" t="s">
        <v>147</v>
      </c>
      <c r="AK168" s="16"/>
      <c r="AL168" s="17"/>
    </row>
    <row r="169" spans="1:38" ht="12.75" x14ac:dyDescent="0.35">
      <c r="A169" s="9">
        <v>168</v>
      </c>
      <c r="B169" s="30" t="str">
        <f ca="1"/>
        <v>Israel, Dorantes Saucedo</v>
      </c>
      <c r="C169" s="31">
        <f ca="1"/>
        <v>20</v>
      </c>
      <c r="D169" s="30" t="str">
        <f ca="1"/>
        <v>Hombre</v>
      </c>
      <c r="E169" s="30" t="str">
        <f ca="1"/>
        <v>Queretaro, Mexico</v>
      </c>
      <c r="F169" s="30" t="str">
        <f ca="1"/>
        <v>isra.ds@hotmail.com</v>
      </c>
      <c r="G169" s="30">
        <f ca="1"/>
        <v>524411163603</v>
      </c>
      <c r="H169" s="30" t="str">
        <f ca="1"/>
        <v>Jóvenes de 13 – 17 años / SEM2/ (4 - 09 agosto), Jóvenes de 13 – 17 años / SEM3/ (11 - 16 agosto)</v>
      </c>
      <c r="I169" s="30" t="str">
        <f ca="1"/>
        <v>YourVersion</v>
      </c>
      <c r="J169" s="30" t="str">
        <f ca="1"/>
        <v>Horizonte Tequisquiapan</v>
      </c>
      <c r="K169" s="30" t="str">
        <f ca="1"/>
        <v>Victor Hugo Ventura Vazquez</v>
      </c>
      <c r="L169" s="30">
        <f ca="1"/>
        <v>524422301269</v>
      </c>
      <c r="M169" s="30" t="str">
        <f ca="1"/>
        <v>venturahugo10@gmail.com</v>
      </c>
      <c r="N169" s="30" t="str">
        <f ca="1"/>
        <v>Proyeccion, Y staff en grupo de jovenes</v>
      </c>
      <c r="O169" s="30" t="str">
        <f ca="1"/>
        <v>Nací en una familia cristiana, pero fue hasta los 17 años, en 2022, que conocí verdaderamente a Cristo. Ese año volví a la iglesia, esta vez en Horizonte Tx, y fue en el campamento, durante la fogata, donde lo acepté como mi Salvador. Desde entonces, mi vida ha sido transformada. Ahora sirvo en mi iglesia y, al terminar mi carrera, deseo prepararme más en un instituto bíblico.</v>
      </c>
      <c r="P169" s="30" t="str">
        <f ca="1"/>
        <v>Deseo ser parte del equipo porque he aprendido que incluso en tareas que parecen pequeñas, como lavar platos u ollas, podemos servir a Cristo y ser de testimonio. Estuve en el área de lavado en 2022 y 2023, y Dios me ha mostrado que todo servicio, por sencillo que parezca, tiene propósito cuando se hace para Él.</v>
      </c>
      <c r="Q169" s="30" t="str">
        <f ca="1"/>
        <v>No</v>
      </c>
      <c r="R169" s="30">
        <v>0</v>
      </c>
      <c r="S169" s="30" t="str">
        <f ca="1"/>
        <v>No</v>
      </c>
      <c r="T169" s="30">
        <v>0</v>
      </c>
      <c r="U169" s="30" t="str">
        <f ca="1"/>
        <v>Soy Tecnico Programador y estudio Administración</v>
      </c>
      <c r="V169" s="30" t="str">
        <f ca="1"/>
        <v>Estudié programación técnica y estudio Administración. Tengo habilidades para el trabajo en equipo, Logica, Resolución de Problemas coordinación y servir en lo práctico, lavado.</v>
      </c>
      <c r="W169" s="16" t="str">
        <f ca="1"/>
        <v>C. Suelo buscar que el trabajo se realice en equipo, D. Me gustan los deportes, I. Se me facilita el trabajo físico, M. Soy bueno (a) con los números</v>
      </c>
      <c r="X169" s="16" t="str">
        <f ca="1"/>
        <v>2017,2018, 2022 +18 y equipante en 2022 toda la temporada y 2023 2 semanas.</v>
      </c>
      <c r="Y169" s="30">
        <v>0</v>
      </c>
      <c r="Z169" s="23" t="s">
        <v>51</v>
      </c>
      <c r="AA169" s="23"/>
      <c r="AB169" s="23"/>
      <c r="AC169" s="23"/>
      <c r="AD169" s="23" t="s">
        <v>50</v>
      </c>
      <c r="AE169" s="23"/>
      <c r="AF169" s="23"/>
      <c r="AG169" s="23"/>
      <c r="AH169" s="23"/>
      <c r="AI169" s="23"/>
      <c r="AJ169" s="16"/>
      <c r="AK169" s="16"/>
      <c r="AL169" s="17"/>
    </row>
    <row r="170" spans="1:38" ht="12.75" x14ac:dyDescent="0.35">
      <c r="A170" s="9">
        <v>169</v>
      </c>
      <c r="B170" s="30" t="str">
        <f ca="1"/>
        <v>Fredel Nahum, Ojeda Dzul</v>
      </c>
      <c r="C170" s="31">
        <f ca="1"/>
        <v>19</v>
      </c>
      <c r="D170" s="30" t="str">
        <f ca="1"/>
        <v>Hombre</v>
      </c>
      <c r="E170" s="30" t="str">
        <f ca="1"/>
        <v>Campeche, Mexico</v>
      </c>
      <c r="F170" s="30" t="str">
        <f ca="1"/>
        <v>fredelnahum@gmail.com</v>
      </c>
      <c r="G170" s="30">
        <f ca="1"/>
        <v>529982055169</v>
      </c>
      <c r="H170" s="30" t="str">
        <f ca="1"/>
        <v>Jóvenes de 13 – 17 años / SEM1/ (28 Julio a 02 de agosto), Jóvenes de 13 – 17 años / SEM2/ (4 - 09 agosto)</v>
      </c>
      <c r="I170" s="30" t="str">
        <f ca="1"/>
        <v>El pan diario</v>
      </c>
      <c r="J170" s="30" t="str">
        <f ca="1"/>
        <v>Iglesia el buen pastor -becal campeche</v>
      </c>
      <c r="K170" s="30" t="str">
        <f ca="1"/>
        <v>Abraham colli</v>
      </c>
      <c r="L170" s="30">
        <f ca="1"/>
        <v>529992467451</v>
      </c>
      <c r="M170" s="30" t="str">
        <f ca="1"/>
        <v>abraham_colli@hotmail.con</v>
      </c>
      <c r="N170" s="30" t="str">
        <f ca="1"/>
        <v>En ministerio de Alabanza</v>
      </c>
      <c r="O170" s="30" t="str">
        <f ca="1"/>
        <v>Por que vengo de una familia cristiana ,mi bisabuelo fue pastor y desde niño eh estado en el templo de Dios sirviendo</v>
      </c>
      <c r="P170" s="30" t="str">
        <f ca="1"/>
        <v>Por que me gustaria conocer y aprender mas de la palabra y por que me invitaron unos familiares</v>
      </c>
      <c r="Q170" s="30" t="str">
        <f ca="1"/>
        <v>Si</v>
      </c>
      <c r="R170" s="30" t="str">
        <f ca="1"/>
        <v>Basketball</v>
      </c>
      <c r="S170" s="30" t="str">
        <f ca="1"/>
        <v>Si</v>
      </c>
      <c r="T170" s="30" t="str">
        <f ca="1"/>
        <v>Guitarra</v>
      </c>
      <c r="U170" s="30" t="str">
        <f ca="1"/>
        <v>Ingeniera Mecatronica</v>
      </c>
      <c r="V170" s="30" t="str">
        <f ca="1"/>
        <v>en las matemáticas</v>
      </c>
      <c r="W170" s="16" t="str">
        <f ca="1"/>
        <v>D. Me gustan los deportes, H. Soy organizado (a), K. Soy creativo (a), L. Soy bueno (a) en canto o algún instrumento, M. Soy bueno (a) con los números</v>
      </c>
      <c r="X170" s="16" t="str">
        <f ca="1"/>
        <v>No , es mi primera vez</v>
      </c>
      <c r="Y170" s="30">
        <v>0</v>
      </c>
      <c r="Z170" s="23" t="s">
        <v>51</v>
      </c>
      <c r="AA170" s="23"/>
      <c r="AB170" s="23"/>
      <c r="AC170" s="23"/>
      <c r="AD170" s="23" t="s">
        <v>50</v>
      </c>
      <c r="AE170" s="23"/>
      <c r="AF170" s="23"/>
      <c r="AG170" s="23"/>
      <c r="AH170" s="23"/>
      <c r="AI170" s="23"/>
      <c r="AJ170" s="16"/>
      <c r="AK170" s="16"/>
      <c r="AL170" s="17"/>
    </row>
    <row r="171" spans="1:38" ht="12.75" x14ac:dyDescent="0.35">
      <c r="A171" s="9">
        <v>170</v>
      </c>
      <c r="B171" s="34" t="str">
        <f ca="1"/>
        <v>Ana laura, Dominguez castro</v>
      </c>
      <c r="C171" s="35">
        <f ca="1"/>
        <v>18</v>
      </c>
      <c r="D171" s="34" t="str">
        <f ca="1"/>
        <v>Mujer</v>
      </c>
      <c r="E171" s="34" t="str">
        <f ca="1"/>
        <v>Durango, Mexico</v>
      </c>
      <c r="F171" s="34" t="str">
        <f ca="1"/>
        <v>analauradominguezcastro@gmail.com</v>
      </c>
      <c r="G171" s="34">
        <f ca="1"/>
        <v>528712267561</v>
      </c>
      <c r="H171" s="34" t="str">
        <f ca="1"/>
        <v>Semana de entrenamiento (07 - 13) Julio, Semana de niños y niñas (21-25) Julio</v>
      </c>
      <c r="I171" s="34" t="str">
        <f ca="1"/>
        <v>Pan diario</v>
      </c>
      <c r="J171" s="34" t="str">
        <f ca="1"/>
        <v>Filadelfia</v>
      </c>
      <c r="K171" s="34" t="str">
        <f ca="1"/>
        <v>Raúl Saenz</v>
      </c>
      <c r="L171" s="34">
        <f ca="1"/>
        <v>526251304896</v>
      </c>
      <c r="M171" s="34" t="str">
        <f ca="1"/>
        <v>isacraul_48@hotmail.com</v>
      </c>
      <c r="N171" s="34" t="str">
        <f ca="1"/>
        <v>Con niños</v>
      </c>
      <c r="O171" s="34" t="str">
        <f ca="1"/>
        <v>Conocí de Dios desde mi niñez pero experimenté mi salvación hasta 14 años y desde ahí he tenido el anhelo de servir junto a jóvenes que comparten mi fe</v>
      </c>
      <c r="P171" s="34" t="str">
        <f ca="1"/>
        <v>Quiero poner en práctica el conocimiento que Dios me ha dado y poner mis habilidades al servicio de otros jóvenes para que conozcan de Dios</v>
      </c>
      <c r="Q171" s="34" t="str">
        <f ca="1"/>
        <v>Si</v>
      </c>
      <c r="R171" s="34" t="str">
        <f ca="1"/>
        <v>Tocho</v>
      </c>
      <c r="S171" s="34" t="str">
        <f ca="1"/>
        <v>No</v>
      </c>
      <c r="T171" s="34">
        <v>0</v>
      </c>
      <c r="U171" s="34" t="str">
        <f ca="1"/>
        <v>Preparatoria</v>
      </c>
      <c r="V171" s="34" t="str">
        <f ca="1"/>
        <v>Soy estudiante, deportiva y hago repostería</v>
      </c>
      <c r="W171" s="36" t="str">
        <f ca="1"/>
        <v>B. Me gusta animar a las personas, D. Me gustan los deportes, E. Me gusta el trabajo con niños, F. Soy eficiente en el trabajo con herramientas, equipos y maquinarias, G. Soy más eficiente en el trabajo individual, H. Soy organizado (a), I. Se me facilita el trabajo físico, J. Me gusta la atención a las personas, K. Soy creativo (a), O. Puedo enseñar con facilidad</v>
      </c>
      <c r="X171" s="36" t="str">
        <f ca="1"/>
        <v>No, pero de vdd tengo un gran deseo de poder asistir</v>
      </c>
      <c r="Y171" s="34">
        <v>0</v>
      </c>
      <c r="Z171" s="37" t="s">
        <v>51</v>
      </c>
      <c r="AA171" s="37" t="s">
        <v>28</v>
      </c>
      <c r="AB171" s="37"/>
      <c r="AC171" s="37"/>
      <c r="AD171" s="23"/>
      <c r="AE171" s="23"/>
      <c r="AF171" s="23"/>
      <c r="AG171" s="23"/>
      <c r="AH171" s="23"/>
      <c r="AI171" s="23"/>
      <c r="AJ171" s="16"/>
      <c r="AK171" s="16"/>
      <c r="AL171" s="17"/>
    </row>
    <row r="172" spans="1:38" ht="12.75" x14ac:dyDescent="0.35">
      <c r="A172" s="9">
        <v>171</v>
      </c>
      <c r="B172" s="30" t="str">
        <f ca="1"/>
        <v>Daniela, Espinoza Casanova</v>
      </c>
      <c r="C172" s="31">
        <f ca="1"/>
        <v>24</v>
      </c>
      <c r="D172" s="30" t="str">
        <f ca="1"/>
        <v>Mujer</v>
      </c>
      <c r="E172" s="30" t="str">
        <f ca="1"/>
        <v>Campeche, Mexico</v>
      </c>
      <c r="F172" s="30" t="str">
        <f ca="1"/>
        <v>danie.esp.c@gmail.com</v>
      </c>
      <c r="G172" s="30">
        <f ca="1"/>
        <v>529381527416</v>
      </c>
      <c r="H172" s="30" t="str">
        <f ca="1"/>
        <v>Jóvenes de 13 – 17 años / SEM2/ (4 - 09 agosto), Jóvenes de 13 – 17 años / SEM3/ (11 - 16 agosto), Toda la temporada (07 de Julio al 16 de agosto)</v>
      </c>
      <c r="I172" s="30" t="str">
        <f ca="1"/>
        <v>VSC</v>
      </c>
      <c r="J172" s="30" t="str">
        <f ca="1"/>
        <v>Vida sc</v>
      </c>
      <c r="K172" s="30" t="str">
        <f ca="1"/>
        <v>J. Natividad Ramos Garcia</v>
      </c>
      <c r="L172" s="30">
        <f ca="1"/>
        <v>529381032007</v>
      </c>
      <c r="M172" s="30" t="str">
        <f ca="1"/>
        <v>jnatividadramosg@gmail.com</v>
      </c>
      <c r="N172" s="30" t="str">
        <f ca="1"/>
        <v>Ministerio de jóvenes, enseñanza</v>
      </c>
      <c r="O172" s="30" t="str">
        <f ca="1"/>
        <v>Tome una decisión por Cristo, a la edad de 8 años, fue comprender que vivía en pecado, que el único que podía salvarme, es Cristo y que tenía que creer lo que hizo, que murió y resucitó para darnos vida eterna en Él</v>
      </c>
      <c r="P172" s="30" t="str">
        <f ca="1"/>
        <v>Me gustaría poder apoyar en el servicio y que más jóvenes pueda ser impactados con el evangelio</v>
      </c>
      <c r="Q172" s="30" t="str">
        <f ca="1"/>
        <v>No</v>
      </c>
      <c r="R172" s="30">
        <v>0</v>
      </c>
      <c r="S172" s="30" t="str">
        <f ca="1"/>
        <v>No</v>
      </c>
      <c r="T172" s="30">
        <v>0</v>
      </c>
      <c r="U172" s="30" t="str">
        <f ca="1"/>
        <v>En este momento no estoy estudia</v>
      </c>
      <c r="V172" s="30" t="str">
        <f ca="1"/>
        <v>Enseñar</v>
      </c>
      <c r="W172" s="16" t="str">
        <f ca="1"/>
        <v>A. Soy un discipulador activo, B. Me gusta animar a las personas, C. Suelo buscar que el trabajo se realice en equipo, H. Soy organizado (a), J. Me gusta la atención a las personas, O. Puedo enseñar con facilidad</v>
      </c>
      <c r="X172" s="16" t="str">
        <f ca="1"/>
        <v>Sí, 2017-2019</v>
      </c>
      <c r="Y172" s="30">
        <v>0</v>
      </c>
      <c r="Z172" s="23" t="s">
        <v>51</v>
      </c>
      <c r="AA172" s="23"/>
      <c r="AB172" s="23"/>
      <c r="AC172" s="23" t="s">
        <v>26</v>
      </c>
      <c r="AD172" s="23"/>
      <c r="AE172" s="23"/>
      <c r="AF172" s="23"/>
      <c r="AG172" s="23"/>
      <c r="AH172" s="23"/>
      <c r="AI172" s="23"/>
      <c r="AJ172" s="16"/>
      <c r="AK172" s="16"/>
      <c r="AL172" s="17"/>
    </row>
    <row r="173" spans="1:38" ht="12.75" x14ac:dyDescent="0.35">
      <c r="A173" s="9">
        <v>172</v>
      </c>
      <c r="B173" s="30" t="str">
        <f ca="1"/>
        <v>Yaritza Mitzel, Tun Mas</v>
      </c>
      <c r="C173" s="31">
        <f ca="1"/>
        <v>22</v>
      </c>
      <c r="D173" s="30" t="str">
        <f ca="1"/>
        <v>Mujer</v>
      </c>
      <c r="E173" s="30" t="str">
        <f ca="1"/>
        <v>Campeche, Mexico</v>
      </c>
      <c r="F173" s="30" t="str">
        <f ca="1"/>
        <v>florecita_tun_mas@hotmai.com</v>
      </c>
      <c r="G173" s="30">
        <f ca="1"/>
        <v>529341342344</v>
      </c>
      <c r="H173" s="30" t="str">
        <f ca="1"/>
        <v>Jóvenes de 13 – 17 años / SEM1/ (28 Julio a 02 de agosto), Jóvenes de 13 – 17 años / SEM2/ (4 - 09 agosto), Jóvenes de 13 – 17 años / SEM3/ (11 - 16 agosto)</v>
      </c>
      <c r="I173" s="30" t="str">
        <f ca="1"/>
        <v>De la iglesia VSC</v>
      </c>
      <c r="J173" s="30" t="str">
        <f ca="1"/>
        <v>Vida Sociedad Cutural</v>
      </c>
      <c r="K173" s="30" t="str">
        <f ca="1"/>
        <v>Jose Natividad Ramos</v>
      </c>
      <c r="L173" s="30">
        <f ca="1"/>
        <v>529381032007</v>
      </c>
      <c r="M173" s="30" t="str">
        <f ca="1"/>
        <v>jnatividadramosg@gmail.com</v>
      </c>
      <c r="N173" s="30" t="str">
        <f ca="1"/>
        <v>Multiedia</v>
      </c>
      <c r="O173" s="30" t="str">
        <f ca="1"/>
        <v>Mis padres conocieron a Cristo cuando tenía 10 años aproximadamente, esto causo muchos conflictos en casa, y principalente a mi, le tome mucho rencor a mi padre. Nunca he negado la existencia de Dios, sin embargo, si habia mucho choque de ideas, fue un proceso largo. Fue hasta 2021 que acepte a Cristo y el caminar con la iglesia.</v>
      </c>
      <c r="P173" s="30" t="str">
        <f ca="1"/>
        <v>Creo que el servicio es una manera de desarrollar el caracter, y más allá de eso poner en la obra de lseñor nuestras habilidades para bendición de otros.</v>
      </c>
      <c r="Q173" s="30" t="str">
        <f ca="1"/>
        <v>No</v>
      </c>
      <c r="R173" s="30">
        <v>0</v>
      </c>
      <c r="S173" s="30" t="str">
        <f ca="1"/>
        <v>No</v>
      </c>
      <c r="T173" s="30">
        <v>0</v>
      </c>
      <c r="U173" s="30" t="str">
        <f ca="1"/>
        <v>Diseño Multimedia</v>
      </c>
      <c r="V173" s="30" t="str">
        <f ca="1"/>
        <v>Fotografía, Manualidades</v>
      </c>
      <c r="W173" s="16" t="str">
        <f ca="1"/>
        <v>D. Me gustan los deportes, F. Soy eficiente en el trabajo con herramientas, equipos y maquinarias, G. Soy más eficiente en el trabajo individual, I. Se me facilita el trabajo físico, K. Soy creativo (a)</v>
      </c>
      <c r="X173" s="16" t="str">
        <f ca="1"/>
        <v>2017 y 2019</v>
      </c>
      <c r="Y173" s="30">
        <v>0</v>
      </c>
      <c r="Z173" s="23" t="s">
        <v>51</v>
      </c>
      <c r="AA173" s="23"/>
      <c r="AB173" s="23"/>
      <c r="AC173" s="23" t="s">
        <v>25</v>
      </c>
      <c r="AD173" s="23"/>
      <c r="AE173" s="23"/>
      <c r="AF173" s="23"/>
      <c r="AG173" s="23"/>
      <c r="AH173" s="23"/>
      <c r="AI173" s="23"/>
      <c r="AJ173" s="16"/>
      <c r="AK173" s="16"/>
      <c r="AL173" s="17"/>
    </row>
    <row r="174" spans="1:38" ht="12.75" x14ac:dyDescent="0.35">
      <c r="A174" s="9">
        <v>173</v>
      </c>
      <c r="B174" s="30" t="str">
        <f ca="1"/>
        <v>Ruth, Espinoza Casanova</v>
      </c>
      <c r="C174" s="31">
        <f ca="1"/>
        <v>21</v>
      </c>
      <c r="D174" s="30" t="str">
        <f ca="1"/>
        <v>Mujer</v>
      </c>
      <c r="E174" s="30" t="str">
        <f ca="1"/>
        <v>Campeche, Mexico</v>
      </c>
      <c r="F174" s="30" t="str">
        <f ca="1"/>
        <v>ruthespcas@icloud.com</v>
      </c>
      <c r="G174" s="30">
        <f ca="1"/>
        <v>529381236332</v>
      </c>
      <c r="H174" s="30" t="str">
        <f ca="1"/>
        <v>Jóvenes de 13 – 17 años / SEM1/ (28 Julio a 02 de agosto), Jóvenes de 13 – 17 años / SEM2/ (4 - 09 agosto), Jóvenes de 13 – 17 años / SEM3/ (11 - 16 agosto)</v>
      </c>
      <c r="I174" s="30" t="str">
        <f ca="1"/>
        <v>VSC</v>
      </c>
      <c r="J174" s="30" t="str">
        <f ca="1"/>
        <v>Vida Sociedad Cultural</v>
      </c>
      <c r="K174" s="30" t="str">
        <f ca="1"/>
        <v>J. Natividad Ramos García</v>
      </c>
      <c r="L174" s="30">
        <f ca="1"/>
        <v>529381032007</v>
      </c>
      <c r="M174" s="30" t="str">
        <f ca="1"/>
        <v>jnatividadramosg@gmail.com</v>
      </c>
      <c r="N174" s="30" t="str">
        <f ca="1"/>
        <v>Ministerio de jóvenes, líder de una célula, instructora de un estudio bíblico (NP1, enseñanza)</v>
      </c>
      <c r="O174" s="30" t="str">
        <f ca="1"/>
        <v>Crecí en un hogar cristiano, pero no comprendía el evangelio ni mi condición de pecado, hasta que en una clase de niños entendí mi condición y el regalo tan inmenso que tenemos en Jesucristo, fue cuando reconocí a Cristo como mi Señor y Salvador.</v>
      </c>
      <c r="P174" s="30" t="str">
        <f ca="1"/>
        <v>Me gustaría ir a apoyar en el servicio</v>
      </c>
      <c r="Q174" s="30" t="str">
        <f ca="1"/>
        <v>No</v>
      </c>
      <c r="R174" s="30">
        <v>0</v>
      </c>
      <c r="S174" s="30" t="str">
        <f ca="1"/>
        <v>No</v>
      </c>
      <c r="T174" s="30">
        <v>0</v>
      </c>
      <c r="U174" s="30" t="str">
        <f ca="1"/>
        <v>Mercadotecnia y Publicidad</v>
      </c>
      <c r="V174" s="30" t="str">
        <f ca="1"/>
        <v>Enseñar</v>
      </c>
      <c r="W174" s="16" t="str">
        <f ca="1"/>
        <v>A. Soy un discipulador activo, B. Me gusta animar a las personas, C. Suelo buscar que el trabajo se realice en equipo, E. Me gusta el trabajo con niños, J. Me gusta la atención a las personas, O. Puedo enseñar con facilidad</v>
      </c>
      <c r="X174" s="16" t="str">
        <f ca="1"/>
        <v>2017 al 2019</v>
      </c>
      <c r="Y174" s="30">
        <v>0</v>
      </c>
      <c r="Z174" s="23" t="s">
        <v>51</v>
      </c>
      <c r="AA174" s="23"/>
      <c r="AB174" s="23"/>
      <c r="AC174" s="23" t="s">
        <v>26</v>
      </c>
      <c r="AD174" s="23"/>
      <c r="AE174" s="23"/>
      <c r="AF174" s="23"/>
      <c r="AG174" s="23"/>
      <c r="AH174" s="23"/>
      <c r="AI174" s="23"/>
      <c r="AJ174" s="16"/>
      <c r="AK174" s="16"/>
      <c r="AL174" s="17"/>
    </row>
    <row r="175" spans="1:38" ht="12.75" x14ac:dyDescent="0.35">
      <c r="A175" s="9">
        <v>174</v>
      </c>
      <c r="B175" s="30" t="str">
        <f ca="1"/>
        <v>Juan Miguel, Cortés Ramirez</v>
      </c>
      <c r="C175" s="31">
        <f ca="1"/>
        <v>24</v>
      </c>
      <c r="D175" s="30" t="str">
        <f ca="1"/>
        <v>Hombre</v>
      </c>
      <c r="E175" s="30" t="str">
        <f ca="1"/>
        <v>Jalisco, Mexico</v>
      </c>
      <c r="F175" s="30" t="str">
        <f ca="1"/>
        <v>casarebelde@hotmail.com</v>
      </c>
      <c r="G175" s="30">
        <f ca="1"/>
        <v>523310246406</v>
      </c>
      <c r="H175" s="30" t="str">
        <f ca="1"/>
        <v>Comunidad Jóvenes + 18 (14-19) Julio, Semana de niños y niñas (21-25) Julio</v>
      </c>
      <c r="I175" s="30" t="str">
        <f ca="1"/>
        <v>Palabra de vida</v>
      </c>
      <c r="J175" s="30" t="str">
        <f ca="1"/>
        <v>Vida</v>
      </c>
      <c r="K175" s="30" t="str">
        <f ca="1"/>
        <v>Neftalí Rubio</v>
      </c>
      <c r="L175" s="30">
        <f ca="1"/>
        <v>524411036024</v>
      </c>
      <c r="M175" s="30" t="str">
        <f ca="1"/>
        <v>nefaly@gmail.com</v>
      </c>
      <c r="N175" s="30" t="str">
        <f ca="1"/>
        <v>Evangelismo y liderazgo dentro del grupo de jóvenes</v>
      </c>
      <c r="O175" s="30" t="str">
        <f ca="1"/>
        <v>2017 conozco sobre mi salvación,Dios y la palabra, 2019 decido aceptar a Cristo como mi salvador en campamentos de Bernal y de ahí para adelante</v>
      </c>
      <c r="P175" s="30" t="str">
        <f ca="1"/>
        <v>Llevo 3 años haciéndolo y sirviendo en parte de programa y una de las metas el servir a Cristo</v>
      </c>
      <c r="Q175" s="30" t="str">
        <f ca="1"/>
        <v>Si</v>
      </c>
      <c r="R175" s="30" t="str">
        <f ca="1"/>
        <v>Ciclismo, Running, senderismo</v>
      </c>
      <c r="S175" s="30" t="str">
        <f ca="1"/>
        <v>No</v>
      </c>
      <c r="T175" s="30">
        <v>0</v>
      </c>
      <c r="U175" s="30" t="str">
        <f ca="1"/>
        <v>Actualmente trabajo</v>
      </c>
      <c r="V175" s="30" t="str">
        <f ca="1"/>
        <v>Mecánica, pensamiento crítico y analítico, buen control bajo presión, creatividad ante la resolución de problemas</v>
      </c>
      <c r="W175" s="16" t="str">
        <f ca="1"/>
        <v>C. Suelo buscar que el trabajo se realice en equipo, D. Me gustan los deportes, F. Soy eficiente en el trabajo con herramientas, equipos y maquinarias, H. Soy organizado (a), I. Se me facilita el trabajo físico, K. Soy creativo (a), N. Suelo llevar el liderazgo en un grupo</v>
      </c>
      <c r="X175" s="16" t="str">
        <f ca="1"/>
        <v>Si, temporada 2017,2018,2021</v>
      </c>
      <c r="Y175" s="30">
        <v>0</v>
      </c>
      <c r="Z175" s="23" t="s">
        <v>51</v>
      </c>
      <c r="AA175" s="23"/>
      <c r="AB175" s="23"/>
      <c r="AC175" s="23" t="s">
        <v>50</v>
      </c>
      <c r="AD175" s="23"/>
      <c r="AE175" s="23"/>
      <c r="AF175" s="23"/>
      <c r="AG175" s="23"/>
      <c r="AH175" s="23"/>
      <c r="AI175" s="23"/>
      <c r="AJ175" s="16"/>
      <c r="AK175" s="16"/>
      <c r="AL175" s="17"/>
    </row>
    <row r="176" spans="1:38" ht="12.75" x14ac:dyDescent="0.35">
      <c r="A176" s="9">
        <v>175</v>
      </c>
      <c r="B176" s="30" t="str">
        <f ca="1"/>
        <v>David Josué, Acosta González</v>
      </c>
      <c r="C176" s="31">
        <f ca="1"/>
        <v>26</v>
      </c>
      <c r="D176" s="30" t="str">
        <f ca="1"/>
        <v>Hombre</v>
      </c>
      <c r="E176" s="30" t="str">
        <f ca="1"/>
        <v>Tamaulipas, Mexico</v>
      </c>
      <c r="F176" s="30" t="str">
        <f ca="1"/>
        <v>david9905@live.com.mx</v>
      </c>
      <c r="G176" s="30">
        <f ca="1"/>
        <v>528333898666</v>
      </c>
      <c r="H176" s="30" t="str">
        <f ca="1"/>
        <v>Toda la temporada (07 de Julio al 16 de agosto)</v>
      </c>
      <c r="I176" s="30" t="str">
        <f ca="1"/>
        <v>Lectura bíblica por un año</v>
      </c>
      <c r="J176" s="30" t="str">
        <f ca="1"/>
        <v>Iglesia Bautista El Calvario</v>
      </c>
      <c r="K176" s="30" t="str">
        <f ca="1"/>
        <v>Marco Antonio García Montoya</v>
      </c>
      <c r="L176" s="30">
        <f ca="1"/>
        <v>528333504123</v>
      </c>
      <c r="M176" s="30" t="str">
        <f ca="1"/>
        <v>marcoantoniopastor75@gmail.com</v>
      </c>
      <c r="N176" s="30" t="str">
        <f ca="1"/>
        <v>Alabanza</v>
      </c>
      <c r="O176" s="30" t="str">
        <f ca="1"/>
        <v>Mi vida antes de conocer a Cristo no tenía un propósito en específico, vivía por vivir, gracias a Dios cuando le conocí en un campa de palabra de vida, Dios puso un propósito en mí.</v>
      </c>
      <c r="P176" s="30" t="str">
        <f ca="1"/>
        <v>Gracias a Dios se acomodaron las cosas para que pudiera servir en toda la temporada, ya me ha dado la oportunidad de servir en el campa en otras ocasiones y ha sido de mucha bendición a mi vida</v>
      </c>
      <c r="Q176" s="30" t="str">
        <f ca="1"/>
        <v>Si</v>
      </c>
      <c r="R176" s="30" t="str">
        <f ca="1"/>
        <v>Futbol</v>
      </c>
      <c r="S176" s="30" t="str">
        <f ca="1"/>
        <v>Si</v>
      </c>
      <c r="T176" s="30" t="str">
        <f ca="1"/>
        <v>Guitarra, bajo, teclado</v>
      </c>
      <c r="U176" s="30" t="str">
        <f ca="1"/>
        <v>Licenciatura en Música</v>
      </c>
      <c r="V176" s="30" t="str">
        <f ca="1"/>
        <v>Música, dibujar</v>
      </c>
      <c r="W176" s="16" t="str">
        <f ca="1"/>
        <v>B. Me gusta animar a las personas, C. Suelo buscar que el trabajo se realice en equipo, D. Me gustan los deportes, E. Me gusta el trabajo con niños, F. Soy eficiente en el trabajo con herramientas, equipos y maquinarias, H. Soy organizado (a), I. Se me facilita el trabajo físico, J. Me gusta la atención a las personas, K. Soy creativo (a), L. Soy bueno (a) en canto o algún instrumento, M. Soy bueno (a) con los números, N. Suelo llevar el liderazgo en un grupo, O. Puedo enseñar con facilidad</v>
      </c>
      <c r="X176" s="16" t="str">
        <f ca="1"/>
        <v>Si, apartir del año 2014</v>
      </c>
      <c r="Y176" s="30">
        <v>0</v>
      </c>
      <c r="Z176" s="23" t="s">
        <v>51</v>
      </c>
      <c r="AA176" s="23"/>
      <c r="AB176" s="23"/>
      <c r="AC176" s="23" t="s">
        <v>50</v>
      </c>
      <c r="AD176" s="23"/>
      <c r="AE176" s="23"/>
      <c r="AF176" s="23"/>
      <c r="AG176" s="23"/>
      <c r="AH176" s="23"/>
      <c r="AI176" s="23"/>
      <c r="AJ176" s="16"/>
      <c r="AK176" s="16"/>
      <c r="AL176" s="17"/>
    </row>
    <row r="177" spans="1:38" ht="12.75" x14ac:dyDescent="0.35">
      <c r="A177" s="9">
        <v>176</v>
      </c>
      <c r="B177" s="30" t="str">
        <f ca="1"/>
        <v>Nahomi Gabriela, Castañeda Alderete</v>
      </c>
      <c r="C177" s="31">
        <f ca="1"/>
        <v>17</v>
      </c>
      <c r="D177" s="30" t="str">
        <f ca="1"/>
        <v>Mujer</v>
      </c>
      <c r="E177" s="30" t="str">
        <f ca="1"/>
        <v>Veracruz, Mexico</v>
      </c>
      <c r="F177" s="30" t="str">
        <f ca="1"/>
        <v>Nahomicastaalde1@gmail.com</v>
      </c>
      <c r="G177" s="30">
        <f ca="1"/>
        <v>522721420044</v>
      </c>
      <c r="H177" s="30" t="str">
        <f ca="1"/>
        <v>Comunidad Jóvenes + 18 (14-19) Julio, Semana de niños y niñas (21-25) Julio, Jóvenes de 13 – 17 años / SEM1/ (28 Julio a 02 de agosto)</v>
      </c>
      <c r="I177" s="30" t="str">
        <f ca="1"/>
        <v>Indescriptible de Loui Giglio</v>
      </c>
      <c r="J177" s="30" t="str">
        <f ca="1"/>
        <v>Poniente 18</v>
      </c>
      <c r="K177" s="30" t="str">
        <f ca="1"/>
        <v>Rafael Silvestre</v>
      </c>
      <c r="L177" s="30">
        <f ca="1"/>
        <v>522721547310</v>
      </c>
      <c r="M177" s="30" t="str">
        <f ca="1"/>
        <v>rafael.sil.ro@hotmail.com</v>
      </c>
      <c r="N177" s="30" t="str">
        <f ca="1"/>
        <v>Apoyo Club bíblico infantil</v>
      </c>
      <c r="O177" s="30" t="str">
        <f ca="1"/>
        <v>Desde pequeña asistí con mi abuela al templo y aprendí historias y versículos de la biblia, cuando tenía 16 años entendí que era pecadora, estaba mal delante de Dios y necesitaba que Dios me perdonara, platicando con mi abuela me dijo que tenía que reconocer mis pecados y sentir arrepentimiento delante de Dios, así que confesé mis pecados y confesé a Cristo como mi Salvador.</v>
      </c>
      <c r="P177" s="30" t="str">
        <f ca="1"/>
        <v>Mis amigos fueron parte del equipo el año pasado y me animaron a formar parte, quiero conocer a mas chicos que amen servir a Dios y aprender de las predicaciones.</v>
      </c>
      <c r="Q177" s="30" t="str">
        <f ca="1"/>
        <v>Si</v>
      </c>
      <c r="R177" s="30" t="str">
        <f ca="1"/>
        <v>Natación</v>
      </c>
      <c r="S177" s="30" t="str">
        <f ca="1"/>
        <v>Si</v>
      </c>
      <c r="T177" s="30" t="str">
        <f ca="1"/>
        <v>Ukelele</v>
      </c>
      <c r="U177" s="30" t="str">
        <f ca="1"/>
        <v>Bachillerato</v>
      </c>
      <c r="V177" s="30" t="str">
        <f ca="1"/>
        <v>Manualidades, pintar.</v>
      </c>
      <c r="W177" s="16" t="str">
        <f ca="1"/>
        <v>E. Me gusta el trabajo con niños, F. Soy eficiente en el trabajo con herramientas, equipos y maquinarias, H. Soy organizado (a), K. Soy creativo (a)</v>
      </c>
      <c r="X177" s="16" t="str">
        <f ca="1"/>
        <v>No</v>
      </c>
      <c r="Y177" s="30">
        <v>0</v>
      </c>
      <c r="Z177" s="23" t="s">
        <v>51</v>
      </c>
      <c r="AA177" s="23"/>
      <c r="AB177" s="23" t="s">
        <v>25</v>
      </c>
      <c r="AC177" s="23"/>
      <c r="AD177" s="23"/>
      <c r="AE177" s="23"/>
      <c r="AF177" s="23"/>
      <c r="AG177" s="23"/>
      <c r="AH177" s="23"/>
      <c r="AI177" s="23"/>
      <c r="AJ177" s="16"/>
      <c r="AK177" s="16"/>
      <c r="AL177" s="17"/>
    </row>
    <row r="178" spans="1:38" ht="25.5" x14ac:dyDescent="0.35">
      <c r="A178" s="9">
        <v>177</v>
      </c>
      <c r="B178" s="30" t="str">
        <f ca="1"/>
        <v>Zuriel, Priske Alanis</v>
      </c>
      <c r="C178" s="31">
        <f ca="1"/>
        <v>17</v>
      </c>
      <c r="D178" s="30" t="str">
        <f ca="1"/>
        <v>Hombre</v>
      </c>
      <c r="E178" s="30" t="str">
        <f ca="1"/>
        <v>Queretaro, Mexico</v>
      </c>
      <c r="F178" s="30" t="str">
        <f ca="1"/>
        <v>zurielpriske@gmail.com</v>
      </c>
      <c r="G178" s="30">
        <f ca="1"/>
        <v>524141234139</v>
      </c>
      <c r="H178" s="30" t="str">
        <f ca="1"/>
        <v>Comunidad Jóvenes + 18 (14-19) Julio, Jóvenes de 13 – 17 años / SEM1/ (28 Julio a 02 de agosto), Jóvenes de 13 – 17 años / SEM2/ (4 - 09 agosto)</v>
      </c>
      <c r="I178" s="30" t="str">
        <f ca="1"/>
        <v>HS</v>
      </c>
      <c r="J178" s="30" t="str">
        <f ca="1"/>
        <v>IBM TX</v>
      </c>
      <c r="K178" s="30" t="str">
        <f ca="1"/>
        <v>Coleman Dale Victor Priske Bond</v>
      </c>
      <c r="L178" s="30">
        <f ca="1"/>
        <v>524141017265</v>
      </c>
      <c r="M178" s="30" t="str">
        <f ca="1"/>
        <v>colemanpriske@gmail.com</v>
      </c>
      <c r="N178" s="30" t="str">
        <f ca="1"/>
        <v>ninguno</v>
      </c>
      <c r="O178" s="30" t="str">
        <f ca="1"/>
        <v>mi papá  es el pastor de mi iglesai, entoces desde pequeño se me predicó sin embargo no fue hata que tenía al rededor de los 12 años que en un campamento de Guadalajara entendí el evangelio.</v>
      </c>
      <c r="P178" s="30" t="str">
        <f ca="1"/>
        <v>para servir a Dios, ayudar a otros y para ayudar a las personas para poder acercarse a Dios a traves de un campamento</v>
      </c>
      <c r="Q178" s="30" t="str">
        <f ca="1"/>
        <v>Si</v>
      </c>
      <c r="R178" s="30" t="str">
        <f ca="1"/>
        <v>gimnasio y correr</v>
      </c>
      <c r="S178" s="30" t="str">
        <f ca="1"/>
        <v>No</v>
      </c>
      <c r="T178" s="30">
        <v>0</v>
      </c>
      <c r="U178" s="30" t="str">
        <f ca="1"/>
        <v>acabo de terminar la preparatoria, y estoy esperando resultados de la universidad</v>
      </c>
      <c r="V178" s="30" t="str">
        <f ca="1"/>
        <v>soy alguien que me considero muy bueno con habilidades matematicas y sociales, se me facilita el trato con la gente y la resolucion de conflictos, aparte de el calculo mental y el trabajo bajo presion. aparte tengo un titulo tecnico en ventas</v>
      </c>
      <c r="W178" s="16" t="str">
        <f ca="1"/>
        <v>A. Soy un discipulador activo, B. Me gusta animar a las personas, C. Suelo buscar que el trabajo se realice en equipo, D. Me gustan los deportes, E. Me gusta el trabajo con niños, I. Se me facilita el trabajo físico, J. Me gusta la atención a las personas, M. Soy bueno (a) con los números, N. Suelo llevar el liderazgo en un grupo</v>
      </c>
      <c r="X178" s="16" t="str">
        <f ca="1"/>
        <v>en la temporada 2024 y 2023</v>
      </c>
      <c r="Y178" s="30">
        <v>0</v>
      </c>
      <c r="Z178" s="23" t="s">
        <v>51</v>
      </c>
      <c r="AA178" s="23"/>
      <c r="AB178" s="23"/>
      <c r="AC178" s="23" t="s">
        <v>50</v>
      </c>
      <c r="AD178" s="23"/>
      <c r="AE178" s="23"/>
      <c r="AF178" s="23"/>
      <c r="AG178" s="23"/>
      <c r="AH178" s="23"/>
      <c r="AI178" s="23"/>
      <c r="AJ178" s="16" t="s">
        <v>148</v>
      </c>
      <c r="AK178" s="16"/>
      <c r="AL178" s="17"/>
    </row>
    <row r="179" spans="1:38" ht="12.75" x14ac:dyDescent="0.35">
      <c r="A179" s="9">
        <v>178</v>
      </c>
      <c r="B179" s="30" t="str">
        <f ca="1"/>
        <v>Villalba Palagot Aramis, Aramis</v>
      </c>
      <c r="C179" s="31">
        <f ca="1"/>
        <v>18</v>
      </c>
      <c r="D179" s="30" t="str">
        <f ca="1"/>
        <v>Hombre</v>
      </c>
      <c r="E179" s="30" t="str">
        <f ca="1"/>
        <v>Puebla, Mexico</v>
      </c>
      <c r="F179" s="30" t="str">
        <f ca="1"/>
        <v>villalbaaramis@gmail.com</v>
      </c>
      <c r="G179" s="30">
        <f ca="1"/>
        <v>522217708452</v>
      </c>
      <c r="H179" s="30" t="str">
        <f ca="1"/>
        <v>Jóvenes de 13 – 17 años / SEM1/ (28 Julio a 02 de agosto)</v>
      </c>
      <c r="I179" s="30" t="str">
        <f ca="1"/>
        <v>Oración</v>
      </c>
      <c r="J179" s="30" t="str">
        <f ca="1"/>
        <v>Church project puebla</v>
      </c>
      <c r="K179" s="30" t="str">
        <f ca="1"/>
        <v>Ruben</v>
      </c>
      <c r="L179" s="30">
        <f ca="1"/>
        <v>522214029970</v>
      </c>
      <c r="M179" s="30" t="str">
        <f ca="1"/>
        <v>rubensdave@outlookcloud.com</v>
      </c>
      <c r="N179" s="30" t="str">
        <f ca="1"/>
        <v>Orar por alguien</v>
      </c>
      <c r="O179" s="30" t="str">
        <f ca="1"/>
        <v>Por que sin el yo no soy nadie pero en el encontre la salvación</v>
      </c>
      <c r="P179" s="30" t="str">
        <f ca="1"/>
        <v>Por que me interesa ser parte de ese equipo</v>
      </c>
      <c r="Q179" s="30" t="str">
        <f ca="1"/>
        <v>Si</v>
      </c>
      <c r="R179" s="30" t="str">
        <f ca="1"/>
        <v>Voleibol</v>
      </c>
      <c r="S179" s="30" t="str">
        <f ca="1"/>
        <v>No</v>
      </c>
      <c r="T179" s="30">
        <v>0</v>
      </c>
      <c r="U179" s="30" t="str">
        <f ca="1"/>
        <v>La prepa</v>
      </c>
      <c r="V179" s="30" t="str">
        <f ca="1"/>
        <v>Soldar</v>
      </c>
      <c r="W179" s="16" t="str">
        <f ca="1"/>
        <v>A. Soy un discipulador activo, B. Me gusta animar a las personas, C. Suelo buscar que el trabajo se realice en equipo, J. Me gusta la atención a las personas</v>
      </c>
      <c r="X179" s="16" t="str">
        <f ca="1"/>
        <v>No es la primera vez</v>
      </c>
      <c r="Y179" s="30">
        <v>0</v>
      </c>
      <c r="Z179" s="23" t="s">
        <v>51</v>
      </c>
      <c r="AA179" s="23"/>
      <c r="AB179" s="23" t="s">
        <v>50</v>
      </c>
      <c r="AC179" s="23"/>
      <c r="AD179" s="23"/>
      <c r="AE179" s="23"/>
      <c r="AF179" s="23"/>
      <c r="AG179" s="23"/>
      <c r="AH179" s="23"/>
      <c r="AI179" s="23"/>
      <c r="AJ179" s="16"/>
      <c r="AK179" s="16"/>
      <c r="AL179" s="17"/>
    </row>
    <row r="180" spans="1:38" ht="12.75" x14ac:dyDescent="0.35">
      <c r="A180" s="45">
        <v>179</v>
      </c>
      <c r="B180" s="34" t="str">
        <f ca="1"/>
        <v>Marian Yukari, Malagón Lima</v>
      </c>
      <c r="C180" s="35">
        <f ca="1"/>
        <v>18</v>
      </c>
      <c r="D180" s="34" t="str">
        <f ca="1"/>
        <v>Mujer</v>
      </c>
      <c r="E180" s="34" t="str">
        <f ca="1"/>
        <v>Queretaro, Mexico</v>
      </c>
      <c r="F180" s="34" t="str">
        <f ca="1"/>
        <v>marianmalagon9@gmail.com</v>
      </c>
      <c r="G180" s="34">
        <f ca="1"/>
        <v>524412128454</v>
      </c>
      <c r="H180" s="34" t="str">
        <f ca="1"/>
        <v>Jóvenes de 13 – 17 años / SEM1/ (28 Julio a 02 de agosto)</v>
      </c>
      <c r="I180" s="34" t="str">
        <f ca="1"/>
        <v>Ya soy cristiana, ahora qué?</v>
      </c>
      <c r="J180" s="34" t="str">
        <f ca="1"/>
        <v>Horizonte Tequisquiapan</v>
      </c>
      <c r="K180" s="34" t="str">
        <f ca="1"/>
        <v>Victor Hugo Ventura Vazquez</v>
      </c>
      <c r="L180" s="34">
        <f ca="1"/>
        <v>524422301269</v>
      </c>
      <c r="M180" s="34" t="str">
        <f ca="1"/>
        <v>venturahugo10@gmail.com</v>
      </c>
      <c r="N180" s="34" t="str">
        <f ca="1"/>
        <v>Apoyo en el área de tiendita</v>
      </c>
      <c r="O180" s="34" t="str">
        <f ca="1"/>
        <v>Una persona cercana a mí falleció, y su historia y su familia me motivaron a acercarme a Dios, después mi hermano pasó por un momento difícil en el que se acercó más a Dios y me contó sobre quien es Él y comencé a buscarlo más activamente</v>
      </c>
      <c r="P180" s="34" t="str">
        <f ca="1"/>
        <v>El año pasado fui campera y fue una experiencia muy bonita para mí y que me permitió acercarme más a Dios y conocer personas que buscaban hacer lo mismo, y me gustaría ayudar a qué más personas tengan esa bonita experiencia y se lleven lo mejor de su semana de campamento, también me gustaría conocerlas y apoyarlas en su camino de fe</v>
      </c>
      <c r="Q180" s="34" t="str">
        <f ca="1"/>
        <v>Si</v>
      </c>
      <c r="R180" s="34" t="str">
        <f ca="1"/>
        <v>Atletismo, gimnasio, bici</v>
      </c>
      <c r="S180" s="34" t="str">
        <f ca="1"/>
        <v>No</v>
      </c>
      <c r="T180" s="34">
        <v>0</v>
      </c>
      <c r="U180" s="34" t="str">
        <f ca="1"/>
        <v>Acabo de terminar la prepa y estudiaré psicología</v>
      </c>
      <c r="V180" s="34" t="str">
        <f ca="1"/>
        <v>soy buena escuchando y dando consejos, creatividad, empatía, sé inglés, soy buena en los deportes</v>
      </c>
      <c r="W180" s="36" t="str">
        <f ca="1"/>
        <v>B. Me gusta animar a las personas, D. Me gustan los deportes, J. Me gusta la atención a las personas, K. Soy creativo (a), O. Puedo enseñar con facilidad</v>
      </c>
      <c r="X180" s="36" t="str">
        <f ca="1"/>
        <v>Sí, en la tercera semana de jóvenes 2024</v>
      </c>
      <c r="Y180" s="34">
        <v>0</v>
      </c>
      <c r="Z180" s="37" t="s">
        <v>47</v>
      </c>
      <c r="AA180" s="37" t="s">
        <v>47</v>
      </c>
      <c r="AB180" s="37" t="s">
        <v>47</v>
      </c>
      <c r="AC180" s="37" t="s">
        <v>47</v>
      </c>
      <c r="AD180" s="37" t="s">
        <v>47</v>
      </c>
      <c r="AE180" s="37"/>
      <c r="AF180" s="37"/>
      <c r="AG180" s="23" t="s">
        <v>28</v>
      </c>
      <c r="AH180" s="23"/>
      <c r="AI180" s="23"/>
      <c r="AJ180" s="16" t="s">
        <v>149</v>
      </c>
      <c r="AK180" s="16"/>
      <c r="AL180" s="17"/>
    </row>
    <row r="181" spans="1:38" ht="12.75" x14ac:dyDescent="0.35">
      <c r="A181" s="9">
        <v>180</v>
      </c>
      <c r="B181" s="30" t="str">
        <f ca="1"/>
        <v>Angelica, Balboa Beltran</v>
      </c>
      <c r="C181" s="31">
        <f ca="1"/>
        <v>22</v>
      </c>
      <c r="D181" s="30" t="str">
        <f ca="1"/>
        <v>Mujer</v>
      </c>
      <c r="E181" s="30" t="str">
        <f ca="1"/>
        <v>Campeche, Mexico</v>
      </c>
      <c r="F181" s="30" t="str">
        <f ca="1"/>
        <v>angelicabalboab@hotmail.com</v>
      </c>
      <c r="G181" s="30">
        <f ca="1"/>
        <v>529381266732</v>
      </c>
      <c r="H181" s="30" t="str">
        <f ca="1"/>
        <v>Jóvenes de 13 – 17 años / SEM1/ (28 Julio a 02 de agosto), Jóvenes de 13 – 17 años / SEM2/ (4 - 09 agosto), Jóvenes de 13 – 17 años / SEM3/ (11 - 16 agosto)</v>
      </c>
      <c r="I181" s="30" t="str">
        <f ca="1"/>
        <v>VSC DEVOCIONAL</v>
      </c>
      <c r="J181" s="30" t="str">
        <f ca="1"/>
        <v>VIDA SOCIEDAD CULTURAL</v>
      </c>
      <c r="K181" s="30" t="str">
        <f ca="1"/>
        <v>J. Natividad Ramos Oyosa</v>
      </c>
      <c r="L181" s="30">
        <f ca="1"/>
        <v>529381032007</v>
      </c>
      <c r="M181" s="30" t="str">
        <f ca="1"/>
        <v>jnatividadramosg@gmail.com</v>
      </c>
      <c r="N181" s="30" t="str">
        <f ca="1"/>
        <v>Ministerio de Jóvenes y Alabanza</v>
      </c>
      <c r="O181" s="30" t="str">
        <f ca="1"/>
        <v>Por su gracia y misericordia, a mis 18 años entendí el pecado que había en mi vida, que aunque haya crecido en alguna iglesia o mis papás me hayan inculcado los principios bíblicos, no significaba que era la salva; sino que mi condición en pecado viene de nacimiento… 
Crecí en la iglesia, pero con un corazón alejado a Dios que aún no lo conocía y por consiguiente no lo honraba. Fue así que a mis 18 años, estando fuera de mi hogar, el Espíritu Santo puso la convicción en mi corazón que era pecadora, y sólo Cristo y por su sangre podía ser salva, y entendí que solo por El tengo acceso al Padre y vida eterna y puedo vivir en su Reino aquí en la tierra. Y caminar en el llamado que Dios me ha dado</v>
      </c>
      <c r="P181" s="30" t="str">
        <f ca="1"/>
        <v>Creo que es una oportunidad de poder compartir el evangelio y que Cristo sea glorificado, aún en cualquier área de trabajo… también como ministerio de jóvenes en Carmen, nos capacita y anima mucho, a poder tener ideas y herramientas y seguir trabajando en el ministerio de jóvenes</v>
      </c>
      <c r="Q181" s="30" t="str">
        <f ca="1"/>
        <v>No</v>
      </c>
      <c r="R181" s="30">
        <v>0</v>
      </c>
      <c r="S181" s="30" t="str">
        <f ca="1"/>
        <v>Si</v>
      </c>
      <c r="T181" s="30" t="str">
        <f ca="1"/>
        <v>Teclado</v>
      </c>
      <c r="U181" s="30" t="str">
        <f ca="1"/>
        <v>Negocios internacionales</v>
      </c>
      <c r="V181" s="30" t="str">
        <f ca="1"/>
        <v>Profesión: asesora inmobiliaria, de habilidades: puedo animar a otras personas, el saber escuchar, y tener siempre una buena actitud</v>
      </c>
      <c r="W181" s="16" t="str">
        <f ca="1"/>
        <v>A. Soy un discipulador activo, B. Me gusta animar a las personas, C. Suelo buscar que el trabajo se realice en equipo, J. Me gusta la atención a las personas, L. Soy bueno (a) en canto o algún instrumento, N. Suelo llevar el liderazgo en un grupo, O. Puedo enseñar con facilidad</v>
      </c>
      <c r="X181" s="16" t="str">
        <f ca="1"/>
        <v>Sii, ,2017, 2018 y equipante los últimos 2 años</v>
      </c>
      <c r="Y181" s="30">
        <v>0</v>
      </c>
      <c r="Z181" s="23" t="s">
        <v>51</v>
      </c>
      <c r="AA181" s="23"/>
      <c r="AB181" s="23"/>
      <c r="AC181" s="23" t="s">
        <v>26</v>
      </c>
      <c r="AD181" s="23"/>
      <c r="AE181" s="23"/>
      <c r="AF181" s="23"/>
      <c r="AG181" s="23"/>
      <c r="AH181" s="23"/>
      <c r="AI181" s="23"/>
      <c r="AJ181" s="16"/>
      <c r="AK181" s="16"/>
      <c r="AL181" s="17"/>
    </row>
    <row r="182" spans="1:38" ht="12.75" x14ac:dyDescent="0.35">
      <c r="A182" s="9">
        <v>181</v>
      </c>
      <c r="B182" s="30" t="str">
        <f ca="1"/>
        <v>Zuri Johana, Hernández Ramírez</v>
      </c>
      <c r="C182" s="31">
        <f ca="1"/>
        <v>18</v>
      </c>
      <c r="D182" s="30" t="str">
        <f ca="1"/>
        <v>Mujer</v>
      </c>
      <c r="E182" s="30" t="str">
        <f ca="1"/>
        <v>Puebla, Mexico</v>
      </c>
      <c r="F182" s="30" t="str">
        <f ca="1"/>
        <v>zjoha04@gmail.com</v>
      </c>
      <c r="G182" s="30">
        <f ca="1"/>
        <v>522211876183</v>
      </c>
      <c r="H182" s="30" t="str">
        <f ca="1"/>
        <v>Jóvenes de 13 – 17 años / SEM1/ (28 Julio a 02 de agosto)</v>
      </c>
      <c r="I182" s="30" t="str">
        <f ca="1"/>
        <v>Quiet Time</v>
      </c>
      <c r="J182" s="30" t="str">
        <f ca="1"/>
        <v>Church Project Puebla</v>
      </c>
      <c r="K182" s="30" t="str">
        <f ca="1"/>
        <v>Héctor J. Llampallas</v>
      </c>
      <c r="L182" s="30">
        <f ca="1"/>
        <v>522228362305</v>
      </c>
      <c r="M182" s="30" t="str">
        <f ca="1"/>
        <v>hectorllampallas@gmail.com</v>
      </c>
      <c r="N182" s="30" t="str">
        <f ca="1"/>
        <v>Alabanza Teens/Reunión de adolescentes</v>
      </c>
      <c r="O182" s="30" t="str">
        <f ca="1"/>
        <v>Nací en una familia cristiana por lo cual desde pequeña conozco de Cristo. A la edad de 3 años acepté a Cristo como mi Salvador. Al inicio de mi adolescencia dude un poco de mi salvación debido a que fue añgo que sucedió cuando era muy pequeña pero lo que aprendí en un campamento y también en algunos discipulados en la iglesia me hizo estar segura de lo que creo y que puedo ser llamada hija de Dios.</v>
      </c>
      <c r="P182" s="30" t="str">
        <f ca="1"/>
        <v>Me gustaría ser parte del equipo para servir a Dios y está es una nueva forma para hacerlo. También porque quiero aprender todo lo que pueda para poder empezar a servir en el ministerio de adolescentes en mi iglesia.</v>
      </c>
      <c r="Q182" s="30" t="str">
        <f ca="1"/>
        <v>Si</v>
      </c>
      <c r="R182" s="30" t="str">
        <f ca="1"/>
        <v>Volleyball</v>
      </c>
      <c r="S182" s="30" t="str">
        <f ca="1"/>
        <v>No</v>
      </c>
      <c r="T182" s="30">
        <v>0</v>
      </c>
      <c r="U182" s="30" t="str">
        <f ca="1"/>
        <v>Terminé la preparatoria y estoy por empezar a estudiar Lenguas Extranjeras</v>
      </c>
      <c r="V182" s="30" t="str">
        <f ca="1"/>
        <v>Tengo un buen nivel de inglés</v>
      </c>
      <c r="W182" s="16" t="str">
        <f ca="1"/>
        <v>G. Soy más eficiente en el trabajo individual, H. Soy organizado (a), L. Soy bueno (a) en canto o algún instrumento, M. Soy bueno (a) con los números, N. Suelo llevar el liderazgo en un grupo, O. Puedo enseñar con facilidad</v>
      </c>
      <c r="X182" s="16" t="str">
        <f ca="1"/>
        <v>Si. Temporada de verano 2021 y 2024</v>
      </c>
      <c r="Y182" s="30">
        <v>0</v>
      </c>
      <c r="Z182" s="23" t="s">
        <v>51</v>
      </c>
      <c r="AA182" s="23"/>
      <c r="AB182" s="23" t="s">
        <v>26</v>
      </c>
      <c r="AC182" s="23"/>
      <c r="AD182" s="23"/>
      <c r="AE182" s="23"/>
      <c r="AF182" s="23"/>
      <c r="AG182" s="23"/>
      <c r="AH182" s="23"/>
      <c r="AI182" s="23"/>
      <c r="AJ182" s="16"/>
      <c r="AK182" s="16"/>
      <c r="AL182" s="17"/>
    </row>
    <row r="183" spans="1:38" ht="12.75" x14ac:dyDescent="0.35">
      <c r="A183" s="45">
        <v>182</v>
      </c>
      <c r="B183" s="34" t="str">
        <f ca="1"/>
        <v>Geizi Ariadna, Santos Cruz</v>
      </c>
      <c r="C183" s="35">
        <f ca="1"/>
        <v>18</v>
      </c>
      <c r="D183" s="34" t="str">
        <f ca="1"/>
        <v>Mujer</v>
      </c>
      <c r="E183" s="34" t="str">
        <f ca="1"/>
        <v>Queretaro, Mexico</v>
      </c>
      <c r="F183" s="34" t="str">
        <f ca="1"/>
        <v>ari@shadai.tv</v>
      </c>
      <c r="G183" s="34">
        <f ca="1"/>
        <v>524271801411</v>
      </c>
      <c r="H183" s="34" t="str">
        <f ca="1"/>
        <v>Jóvenes de 13 – 17 años / SEM1/ (28 Julio a 02 de agosto)</v>
      </c>
      <c r="I183" s="34" t="str">
        <f ca="1"/>
        <v>Hora silenciosa y algunos de YouVersion</v>
      </c>
      <c r="J183" s="34" t="str">
        <f ca="1"/>
        <v>Iglesia Bíblica Vida Nueva</v>
      </c>
      <c r="K183" s="34" t="str">
        <f ca="1"/>
        <v>Héctor Jesús Villanueva</v>
      </c>
      <c r="L183" s="34">
        <f ca="1"/>
        <v>524421578292</v>
      </c>
      <c r="M183" s="34" t="str">
        <f ca="1"/>
        <v>hectorjvj@gmail.com</v>
      </c>
      <c r="N183" s="34" t="str">
        <f ca="1"/>
        <v>Club Bíblico</v>
      </c>
      <c r="O183" s="34" t="str">
        <f ca="1"/>
        <v>Nací en cuna cristiana, gracias a mis papás desde pequeña pude ir a una iglesia con sana doctrina. Sin embargo, la Biblia me parecían solo como hechos maravillosos pero alejados completamente de mí. Recuerdo que cuando tenía unos 11 años, conocí a una mujer me impresionaba escucharla hablar de Dios como su amigo, aunque había escuchado muchas veces que podía tener una relación así con Dios por medio de Jesús, nunca vi a nadie como ella vivirlo así, dedicándole su vida. En otra ocasión, escuché a alguien decir "podría seguir leyendo la Biblia durante toda la vida y aún tendría que enseñarme". Estas dos cosas me impactaron mucho y fue cuando decidí estudiar más de la Biblia y buscar qué tenía que decir Dios para MÍ, así me di cuenta que podía tener una relación con Él por medio del sacrificio de Cristo. Entonces entendí Juan 1:12 y decidí aceptar este regalo; Incluso fue un gran alivio para mí porque fue una época en la que me sentía perdida, sin identidad o propósito, entonces poder ser llamada hija de Dios fue hermoso.</v>
      </c>
      <c r="P183" s="34" t="str">
        <f ca="1"/>
        <v>El año pasado fue de gran bendición para mi vida. Este año a pesar solo tener disponible una semana me gustaría usarla para servir a Dios por medio del campamento y hablar a otros de Cristo.</v>
      </c>
      <c r="Q183" s="34" t="str">
        <f ca="1"/>
        <v>Si</v>
      </c>
      <c r="R183" s="34" t="str">
        <f ca="1"/>
        <v>Aunque no es deporte voy al GYM, algunos días nado. Me mantengo activa saliendo a trotar y recientemente inicié danza folclórica.</v>
      </c>
      <c r="S183" s="34" t="str">
        <f ca="1"/>
        <v>No</v>
      </c>
      <c r="T183" s="34">
        <v>0</v>
      </c>
      <c r="U183" s="34" t="str">
        <f ca="1"/>
        <v>Ingeniería en Química Farmacéutica.</v>
      </c>
      <c r="V183" s="34" t="str">
        <f ca="1"/>
        <v>Gracias al ministerio de Club Bíblico habilidades de liderazgo, escucha y trabajo en equipo. Trabajé por un tiempo como instructora de natación, aprendí a desenvolverme. He dado asesorías en matemáticas, soy buena con la lógica y comunicándome.</v>
      </c>
      <c r="W183" s="36" t="str">
        <f ca="1"/>
        <v>A. Soy un discipulador activo, B. Me gusta animar a las personas, C. Suelo buscar que el trabajo se realice en equipo, D. Me gustan los deportes, E. Me gusta el trabajo con niños, F. Soy eficiente en el trabajo con herramientas, equipos y maquinarias, H. Soy organizado (a), J. Me gusta la atención a las personas, K. Soy creativo (a), M. Soy bueno (a) con los números, N. Suelo llevar el liderazgo en un grupo, O. Puedo enseñar con facilidad</v>
      </c>
      <c r="X183" s="36" t="str">
        <f ca="1"/>
        <v>Sí. En el año 2023 y antes de pandemia.</v>
      </c>
      <c r="Y183" s="34">
        <v>0</v>
      </c>
      <c r="Z183" s="37" t="s">
        <v>47</v>
      </c>
      <c r="AA183" s="37" t="s">
        <v>47</v>
      </c>
      <c r="AB183" s="37" t="s">
        <v>47</v>
      </c>
      <c r="AC183" s="37" t="s">
        <v>47</v>
      </c>
      <c r="AD183" s="37" t="s">
        <v>47</v>
      </c>
      <c r="AE183" s="37"/>
      <c r="AF183" s="37"/>
      <c r="AG183" s="23" t="s">
        <v>28</v>
      </c>
      <c r="AH183" s="23"/>
      <c r="AI183" s="23"/>
      <c r="AJ183" s="16" t="s">
        <v>149</v>
      </c>
      <c r="AK183" s="16"/>
      <c r="AL183" s="17"/>
    </row>
    <row r="184" spans="1:38" ht="12.75" x14ac:dyDescent="0.35">
      <c r="A184" s="9">
        <v>183</v>
      </c>
      <c r="B184" s="30" t="str">
        <f ca="1"/>
        <v>Yara, Tlapanco Vasquez</v>
      </c>
      <c r="C184" s="31">
        <f ca="1"/>
        <v>19</v>
      </c>
      <c r="D184" s="30" t="str">
        <f ca="1"/>
        <v>Mujer</v>
      </c>
      <c r="E184" s="30" t="str">
        <f ca="1"/>
        <v>Morelos, Mexico</v>
      </c>
      <c r="F184" s="30" t="str">
        <f ca="1"/>
        <v>yara.tlapancov@outlook.com</v>
      </c>
      <c r="G184" s="30">
        <f ca="1"/>
        <v>527772689767</v>
      </c>
      <c r="H184" s="30" t="str">
        <f ca="1"/>
        <v>Semana de entrenamiento (07 - 13) Julio, Comunidad Jóvenes + 18 (14-19) Julio, Semana de niños y niñas (21-25) Julio, Jóvenes de 13 – 17 años / SEM1/ (28 Julio a 02 de agosto), Jóvenes de 13 – 17 años / SEM2/ (4 - 09 agosto), Jóvenes de 13 – 17 años / SEM3/ (11 - 16 agosto)</v>
      </c>
      <c r="I184" s="30" t="str">
        <f ca="1"/>
        <v>Glorify</v>
      </c>
      <c r="J184" s="30" t="str">
        <f ca="1"/>
        <v>Mahanaim</v>
      </c>
      <c r="K184" s="30" t="str">
        <f ca="1"/>
        <v>Fernando Bermúdez</v>
      </c>
      <c r="L184" s="30">
        <f ca="1"/>
        <v>527351258023</v>
      </c>
      <c r="M184" s="30" t="str">
        <f ca="1"/>
        <v>ferberca48@gmail.com</v>
      </c>
      <c r="N184" s="30" t="str">
        <f ca="1"/>
        <v>Aún no</v>
      </c>
      <c r="O184" s="30" t="str">
        <f ca="1"/>
        <v>Conocí de Dios cuando tenía 8 años pero todavía no lo había aceptado como mi Salvador , luego a los 10 años entré a una escuela de ACE y en una prédica del pastor acepté a Cristo, después pasaron dificultades y me alejé de Dios y en mi último campamento que fui de campera me di cuenta de lo alejada que estaba de Dios y decidí entregarle mi vida</v>
      </c>
      <c r="P184" s="30" t="str">
        <f ca="1"/>
        <v>Para crecer en el Señor , conocer nuevas amistades y poder servir a Dios y a los demás</v>
      </c>
      <c r="Q184" s="30" t="str">
        <f ca="1"/>
        <v>Si</v>
      </c>
      <c r="R184" s="30" t="str">
        <f ca="1"/>
        <v>Volleyball, football , correr</v>
      </c>
      <c r="S184" s="30" t="str">
        <f ca="1"/>
        <v>No</v>
      </c>
      <c r="T184" s="30">
        <v>0</v>
      </c>
      <c r="U184" s="30" t="str">
        <f ca="1"/>
        <v>Estoy estudiando en el sistema ACE</v>
      </c>
      <c r="V184" s="30" t="str">
        <f ca="1"/>
        <v>Bailar, actuar</v>
      </c>
      <c r="W184" s="16" t="str">
        <f ca="1"/>
        <v>C. Suelo buscar que el trabajo se realice en equipo, D. Me gustan los deportes, H. Soy organizado (a), I. Se me facilita el trabajo físico, J. Me gusta la atención a las personas</v>
      </c>
      <c r="X184" s="16" t="str">
        <f ca="1"/>
        <v>Si, cuatro años, la última fue en el 2022</v>
      </c>
      <c r="Y184" s="30">
        <v>0</v>
      </c>
      <c r="Z184" s="23" t="s">
        <v>51</v>
      </c>
      <c r="AA184" s="23"/>
      <c r="AB184" s="23"/>
      <c r="AC184" s="23"/>
      <c r="AD184" s="23"/>
      <c r="AE184" s="23"/>
      <c r="AF184" s="23"/>
      <c r="AG184" s="23" t="s">
        <v>25</v>
      </c>
      <c r="AH184" s="23"/>
      <c r="AI184" s="23"/>
      <c r="AJ184" s="16" t="s">
        <v>150</v>
      </c>
      <c r="AK184" s="16"/>
      <c r="AL184" s="17"/>
    </row>
    <row r="185" spans="1:38" ht="12.75" x14ac:dyDescent="0.35">
      <c r="A185" s="45">
        <v>184</v>
      </c>
      <c r="B185" s="34" t="str">
        <f ca="1"/>
        <v>Ricardo Abdiel, Pichardo Jaime</v>
      </c>
      <c r="C185" s="35">
        <f ca="1"/>
        <v>25</v>
      </c>
      <c r="D185" s="34" t="str">
        <f ca="1"/>
        <v>Hombre</v>
      </c>
      <c r="E185" s="34" t="str">
        <f ca="1"/>
        <v>Mexico City, Mexico</v>
      </c>
      <c r="F185" s="34" t="str">
        <f ca="1"/>
        <v>ricardoapjaime@gmail.com</v>
      </c>
      <c r="G185" s="34">
        <f ca="1"/>
        <v>525541904036</v>
      </c>
      <c r="H185" s="34" t="str">
        <f ca="1"/>
        <v>Comunidad Jóvenes + 18 (14-19) Julio</v>
      </c>
      <c r="I185" s="34" t="str">
        <f ca="1"/>
        <v>Personal con la Biblia</v>
      </c>
      <c r="J185" s="34" t="str">
        <f ca="1"/>
        <v>Iglesia Bautista Vida Nueva</v>
      </c>
      <c r="K185" s="34" t="str">
        <f ca="1"/>
        <v>Ricardo Pichardo Hernández</v>
      </c>
      <c r="L185" s="34">
        <f ca="1"/>
        <v>525523155872</v>
      </c>
      <c r="M185" s="34" t="str">
        <f ca="1"/>
        <v>rickpichardo@hotmail.com</v>
      </c>
      <c r="N185" s="34" t="str">
        <f ca="1"/>
        <v>Proyección y transmisión</v>
      </c>
      <c r="O185" s="34" t="str">
        <f ca="1"/>
        <v>Basicamente desde niño iba a la iglesia con mi familia, pero no tenía una genuina relación con Dios. A los 18 años fui al campamento sin ganas, porque recien me recuperaba de una operación de rodilla. Ya estando conviviendo con mis compañeros de cabaña y con las conferencias fui mejorando mi ánimo y al abrirme con los consejeros y con la palabra y alabanzas en la fogata me rendí y decidí entregarle todo a Dios, mediante la fe en Jesús.</v>
      </c>
      <c r="P185" s="34" t="str">
        <f ca="1"/>
        <v>Después de varios años como campero y ver el trabajo que realizan para llevar a cabo todo el campamento, me gustaría formar parte del equipo por una semana. Poner al servicio mis habilidades y conocimientos. En el área que se requiera.</v>
      </c>
      <c r="Q185" s="34" t="str">
        <f ca="1"/>
        <v>Si</v>
      </c>
      <c r="R185" s="34" t="str">
        <f ca="1"/>
        <v>Entrenamiento en Gym</v>
      </c>
      <c r="S185" s="34" t="str">
        <f ca="1"/>
        <v>No</v>
      </c>
      <c r="T185" s="34">
        <v>0</v>
      </c>
      <c r="U185" s="34" t="str">
        <f ca="1"/>
        <v>Ya terminé mis estudios</v>
      </c>
      <c r="V185" s="34" t="str">
        <f ca="1"/>
        <v>Ingeniería Civil,</v>
      </c>
      <c r="W185" s="36" t="str">
        <f ca="1"/>
        <v>C. Suelo buscar que el trabajo se realice en equipo, D. Me gustan los deportes, F. Soy eficiente en el trabajo con herramientas, equipos y maquinarias, I. Se me facilita el trabajo físico</v>
      </c>
      <c r="X185" s="36" t="str">
        <f ca="1"/>
        <v>Sí, desde los 17-18 años hasta el año pasado</v>
      </c>
      <c r="Y185" s="34">
        <v>0</v>
      </c>
      <c r="Z185" s="37" t="s">
        <v>51</v>
      </c>
      <c r="AA185" s="37"/>
      <c r="AB185" s="37"/>
      <c r="AC185" s="37" t="s">
        <v>28</v>
      </c>
      <c r="AD185" s="37"/>
      <c r="AE185" s="37"/>
      <c r="AF185" s="37"/>
      <c r="AG185" s="23"/>
      <c r="AH185" s="23"/>
      <c r="AI185" s="23"/>
      <c r="AJ185" s="38" t="s">
        <v>151</v>
      </c>
      <c r="AK185" s="16"/>
      <c r="AL185" s="17"/>
    </row>
    <row r="186" spans="1:38" ht="12.75" x14ac:dyDescent="0.35">
      <c r="A186" s="9">
        <v>185</v>
      </c>
      <c r="B186" s="30" t="str">
        <f ca="1"/>
        <v>Andrés Rafael, Castro Brito</v>
      </c>
      <c r="C186" s="31">
        <f ca="1"/>
        <v>17</v>
      </c>
      <c r="D186" s="30" t="str">
        <f ca="1"/>
        <v>Hombre</v>
      </c>
      <c r="E186" s="30" t="str">
        <f ca="1"/>
        <v>Campeche, Mexico</v>
      </c>
      <c r="F186" s="30" t="str">
        <f ca="1"/>
        <v>castroandresbrito01@gmail.com</v>
      </c>
      <c r="G186" s="30">
        <f ca="1"/>
        <v>529931306554</v>
      </c>
      <c r="H186" s="30" t="str">
        <f ca="1"/>
        <v>Jóvenes de 13 – 17 años / SEM1/ (28 Julio a 02 de agosto), Jóvenes de 13 – 17 años / SEM2/ (4 - 09 agosto), Jóvenes de 13 – 17 años / SEM3/ (11 - 16 agosto)</v>
      </c>
      <c r="I186" s="30" t="str">
        <f ca="1"/>
        <v>VSC devocional</v>
      </c>
      <c r="J186" s="30" t="str">
        <f ca="1"/>
        <v>Vida Sociedad Cultural</v>
      </c>
      <c r="K186" s="30" t="str">
        <f ca="1"/>
        <v>J. Natividad Ramos García</v>
      </c>
      <c r="L186" s="30">
        <f ca="1"/>
        <v>529381032007</v>
      </c>
      <c r="M186" s="30" t="str">
        <f ca="1"/>
        <v>jnatividadramosg@gmail.com</v>
      </c>
      <c r="N186" s="30" t="str">
        <f ca="1"/>
        <v>Ministerio de Jóvenes</v>
      </c>
      <c r="O186" s="30" t="str">
        <f ca="1"/>
        <v>Sinceramente no se por donde iniciar, pero creo que mi testimonio inicia desde donde vengo. Nací en cuna cristiana, y desde que recuerdo siempre e estado en la iglesia, siempre he escuchado que existe un Dios que reina sobre todo y que hubo alguien que se entregó por mi. Pero nunca quise involucrarme en eso y cuando lo hice no me fue bien y fue la causa de que quisiera alejarme de ello. Sin embargo, cuando me mudé a ciudad del Carmen, encontré un pequeño grupo de personas que me mostró el verdadero amor de Cristo y que gracias a ellos, pude recapacitar sobre mis acciones, sobre todas las cosas que hice mientras me alejaba de Dios y hoy doy gracias por sus vidas, porque pude reconciliarme con mi Padre, porque me pude bautizar y hoy solo pienso en una cosa, que es buscar su reino y hacer discípulos.</v>
      </c>
      <c r="P186" s="30" t="str">
        <f ca="1"/>
        <v>Quiero ser parte porque siempre me ha gustado el servir a los demás y aún que algunas veces si quiero participar en las actividades (no como servidor), siempre me ha gustado el hecho de servir a los demás</v>
      </c>
      <c r="Q186" s="30" t="str">
        <f ca="1"/>
        <v>No</v>
      </c>
      <c r="R186" s="30">
        <v>0</v>
      </c>
      <c r="S186" s="30" t="str">
        <f ca="1"/>
        <v>No</v>
      </c>
      <c r="T186" s="30">
        <v>0</v>
      </c>
      <c r="U186" s="30" t="str">
        <f ca="1"/>
        <v>Próximamente cursare el último grado de preparatoria</v>
      </c>
      <c r="V186" s="30" t="str">
        <f ca="1"/>
        <v>Soy alguien paciente, organizado, soy alguien que práctica de continuo la escucha activa y también me considero una persona positiva</v>
      </c>
      <c r="W186" s="16" t="str">
        <f ca="1"/>
        <v>D. Me gustan los deportes, F. Soy eficiente en el trabajo con herramientas, equipos y maquinarias, H. Soy organizado (a), I. Se me facilita el trabajo físico, M. Soy bueno (a) con los números</v>
      </c>
      <c r="X186" s="16" t="str">
        <f ca="1"/>
        <v>No, es mi primera vez</v>
      </c>
      <c r="Y186" s="30">
        <v>0</v>
      </c>
      <c r="Z186" s="23" t="s">
        <v>51</v>
      </c>
      <c r="AA186" s="23"/>
      <c r="AB186" s="23"/>
      <c r="AC186" s="23" t="s">
        <v>50</v>
      </c>
      <c r="AD186" s="23"/>
      <c r="AE186" s="23"/>
      <c r="AF186" s="23"/>
      <c r="AG186" s="23"/>
      <c r="AH186" s="23"/>
      <c r="AI186" s="23"/>
      <c r="AJ186" s="16"/>
      <c r="AK186" s="16"/>
      <c r="AL186" s="17"/>
    </row>
    <row r="187" spans="1:38" ht="12.75" x14ac:dyDescent="0.35">
      <c r="A187" s="45">
        <v>186</v>
      </c>
      <c r="B187" s="34" t="str">
        <f ca="1"/>
        <v>Frida, Corona</v>
      </c>
      <c r="C187" s="35">
        <f ca="1"/>
        <v>23</v>
      </c>
      <c r="D187" s="34" t="str">
        <f ca="1"/>
        <v>Mujer</v>
      </c>
      <c r="E187" s="34" t="str">
        <f ca="1"/>
        <v>Mexico, Mexico</v>
      </c>
      <c r="F187" s="34" t="str">
        <f ca="1"/>
        <v>fridaximenacorona@gmail.com</v>
      </c>
      <c r="G187" s="34">
        <f ca="1"/>
        <v>525575577063</v>
      </c>
      <c r="H187" s="34" t="str">
        <f ca="1"/>
        <v>Jóvenes de 13 – 17 años / SEM1/ (28 Julio a 02 de agosto), Jóvenes de 13 – 17 años / SEM2/ (4 - 09 agosto)</v>
      </c>
      <c r="I187" s="34" t="str">
        <f ca="1"/>
        <v>HS</v>
      </c>
      <c r="J187" s="34" t="str">
        <f ca="1"/>
        <v>Sendero de Vida las Palmas</v>
      </c>
      <c r="K187" s="34" t="str">
        <f ca="1"/>
        <v>Ezequiel Morales</v>
      </c>
      <c r="L187" s="34">
        <f ca="1"/>
        <v>525545737726</v>
      </c>
      <c r="M187" s="34" t="str">
        <f ca="1"/>
        <v>moralesm.ezequiel@gmail.com</v>
      </c>
      <c r="N187" s="34" t="str">
        <f ca="1"/>
        <v>Niños</v>
      </c>
      <c r="O187" s="34" t="str">
        <f ca="1"/>
        <v>Fui salva hace 5 años, cuando comprendí que mis buenas obras no me salvan, que solo Cristo puede perdonarme y limpiarme y que ahora me ha hecho una nueva criatura.</v>
      </c>
      <c r="P187" s="34" t="str">
        <f ca="1"/>
        <v>Para servir a Dios y que muchos más puedan conocerle.</v>
      </c>
      <c r="Q187" s="34" t="str">
        <f ca="1"/>
        <v>No</v>
      </c>
      <c r="R187" s="34">
        <v>0</v>
      </c>
      <c r="S187" s="34" t="str">
        <f ca="1"/>
        <v>No</v>
      </c>
      <c r="T187" s="34">
        <v>0</v>
      </c>
      <c r="U187" s="34" t="str">
        <f ca="1"/>
        <v>Medicina</v>
      </c>
      <c r="V187" s="34" t="str">
        <f ca="1"/>
        <v>Enseñanza</v>
      </c>
      <c r="W187" s="36" t="str">
        <f ca="1"/>
        <v>J. Me gusta la atención a las personas, O. Puedo enseñar con facilidad</v>
      </c>
      <c r="X187" s="36" t="str">
        <f ca="1"/>
        <v>Si, en la anterior</v>
      </c>
      <c r="Y187" s="34">
        <v>0</v>
      </c>
      <c r="Z187" s="37" t="s">
        <v>51</v>
      </c>
      <c r="AA187" s="37"/>
      <c r="AB187" s="37"/>
      <c r="AC187" s="37"/>
      <c r="AD187" s="37"/>
      <c r="AE187" s="37"/>
      <c r="AF187" s="37"/>
      <c r="AG187" s="23" t="s">
        <v>28</v>
      </c>
      <c r="AH187" s="23"/>
      <c r="AI187" s="23"/>
      <c r="AJ187" s="16" t="s">
        <v>152</v>
      </c>
      <c r="AK187" s="16"/>
      <c r="AL187" s="17"/>
    </row>
    <row r="188" spans="1:38" ht="12.75" x14ac:dyDescent="0.35">
      <c r="A188" s="9">
        <v>187</v>
      </c>
      <c r="B188" s="30" t="str">
        <f ca="1"/>
        <v>Santiago, Dalolio</v>
      </c>
      <c r="C188" s="31">
        <f ca="1"/>
        <v>13</v>
      </c>
      <c r="D188" s="30" t="str">
        <f ca="1"/>
        <v>Hombre</v>
      </c>
      <c r="E188" s="30" t="str">
        <f ca="1"/>
        <v>Queretaro, Mexico</v>
      </c>
      <c r="F188" s="30" t="str">
        <f ca="1"/>
        <v>Glen.dalolio@gmail.com</v>
      </c>
      <c r="G188" s="30">
        <f ca="1"/>
        <v>523344046489</v>
      </c>
      <c r="H188" s="30" t="str">
        <f ca="1"/>
        <v>Semana de entrenamiento (07 - 13) Julio, Comunidad Jóvenes + 18 (14-19) Julio, Semana de niños y niñas (21-25) Julio, Jóvenes de 13 – 17 años / SEM1/ (28 Julio a 02 de agosto), Jóvenes de 13 – 17 años / SEM2/ (4 - 09 agosto), Jóvenes de 13 – 17 años / SEM3/ (11 - 16 agosto), Toda la temporada (07 de Julio al 16 de agosto)</v>
      </c>
      <c r="I188" s="30" t="str">
        <f ca="1"/>
        <v>HS</v>
      </c>
      <c r="J188" s="30" t="str">
        <f ca="1"/>
        <v>Vida nueva Qro</v>
      </c>
      <c r="K188" s="30" t="str">
        <f ca="1"/>
        <v>Roy Dalolio</v>
      </c>
      <c r="L188" s="30">
        <f ca="1"/>
        <v>524424863514</v>
      </c>
      <c r="M188" s="30" t="str">
        <f ca="1"/>
        <v>roydalolio@yahoo.com</v>
      </c>
      <c r="N188" s="30" t="str">
        <f ca="1"/>
        <v>Club bíblico</v>
      </c>
      <c r="O188" s="30" t="str">
        <f ca="1"/>
        <v>Recibió a Cristo a los 7</v>
      </c>
      <c r="P188" s="30" t="str">
        <f ca="1"/>
        <v>Me encanta</v>
      </c>
      <c r="Q188" s="30" t="str">
        <f ca="1"/>
        <v>Si</v>
      </c>
      <c r="R188" s="30" t="str">
        <f ca="1"/>
        <v>Box y futbol</v>
      </c>
      <c r="S188" s="30" t="str">
        <f ca="1"/>
        <v>No</v>
      </c>
      <c r="T188" s="30">
        <v>0</v>
      </c>
      <c r="U188" s="30" t="str">
        <f ca="1"/>
        <v>Secundaria</v>
      </c>
      <c r="V188" s="30" t="str">
        <f ca="1"/>
        <v>Cantar</v>
      </c>
      <c r="W188" s="16" t="str">
        <f ca="1"/>
        <v>D. Me gustan los deportes</v>
      </c>
      <c r="X188" s="16" t="str">
        <f ca="1"/>
        <v>Si</v>
      </c>
      <c r="Y188" s="30">
        <v>0</v>
      </c>
      <c r="Z188" s="23" t="s">
        <v>51</v>
      </c>
      <c r="AA188" s="23"/>
      <c r="AB188" s="23" t="s">
        <v>50</v>
      </c>
      <c r="AC188" s="23"/>
      <c r="AD188" s="23"/>
      <c r="AE188" s="23"/>
      <c r="AF188" s="23" t="s">
        <v>45</v>
      </c>
      <c r="AG188" s="23"/>
      <c r="AH188" s="23"/>
      <c r="AI188" s="23"/>
      <c r="AJ188" s="16"/>
      <c r="AK188" s="16"/>
      <c r="AL188" s="17"/>
    </row>
    <row r="189" spans="1:38" ht="12.75" x14ac:dyDescent="0.35">
      <c r="A189" s="9">
        <v>188</v>
      </c>
      <c r="B189" s="30" t="str">
        <f ca="1"/>
        <v>Luis Fernando, Castillo</v>
      </c>
      <c r="C189" s="31">
        <f ca="1"/>
        <v>35</v>
      </c>
      <c r="D189" s="30" t="str">
        <f ca="1"/>
        <v>Hombre</v>
      </c>
      <c r="E189" s="30" t="str">
        <f ca="1"/>
        <v>Mexico, Mexico</v>
      </c>
      <c r="F189" s="30" t="str">
        <f ca="1"/>
        <v>feercastillo.p@gmail.com</v>
      </c>
      <c r="G189" s="30">
        <f ca="1"/>
        <v>525528836585</v>
      </c>
      <c r="H189" s="30" t="str">
        <f ca="1"/>
        <v>Comunidad Jóvenes + 18 (14-19) Julio</v>
      </c>
      <c r="I189" s="30" t="str">
        <f ca="1"/>
        <v>Cambios profundos</v>
      </c>
      <c r="J189" s="30" t="str">
        <f ca="1"/>
        <v>Provisión</v>
      </c>
      <c r="K189" s="30" t="str">
        <f ca="1"/>
        <v>Víctor Hernández</v>
      </c>
      <c r="L189" s="30">
        <f ca="1"/>
        <v>527222097658</v>
      </c>
      <c r="M189" s="30" t="str">
        <f ca="1"/>
        <v>vymhernandez@hotmail.com</v>
      </c>
      <c r="N189" s="30" t="str">
        <f ca="1"/>
        <v>Bienvenida en estacionamiento y seguridad</v>
      </c>
      <c r="O189" s="30" t="str">
        <f ca="1"/>
        <v>En una reunión de varones a lo que me invitaron conocí el Señor y entendí mi pecado, su obra, su perdón, salvación y una nueva vida</v>
      </c>
      <c r="P189" s="30" t="str">
        <f ca="1"/>
        <v>Es una bendición poner manos a la obra para el Señor</v>
      </c>
      <c r="Q189" s="30" t="str">
        <f ca="1"/>
        <v>Si</v>
      </c>
      <c r="R189" s="30" t="str">
        <f ca="1"/>
        <v>Fútbol, Tenis ,</v>
      </c>
      <c r="S189" s="30" t="str">
        <f ca="1"/>
        <v>No</v>
      </c>
      <c r="T189" s="30">
        <v>0</v>
      </c>
      <c r="U189" s="30" t="str">
        <f ca="1"/>
        <v>Maestría</v>
      </c>
      <c r="V189" s="30" t="str">
        <f ca="1"/>
        <v>Ventas, Administración, Planeacio</v>
      </c>
      <c r="W189" s="16" t="str">
        <f ca="1"/>
        <v>A. Soy un discipulador activo, B. Me gusta animar a las personas, C. Suelo buscar que el trabajo se realice en equipo, D. Me gustan los deportes, E. Me gusta el trabajo con niños, G. Soy más eficiente en el trabajo individual, H. Soy organizado (a), I. Se me facilita el trabajo físico, K. Soy creativo (a), M. Soy bueno (a) con los números, N. Suelo llevar el liderazgo en un grupo, O. Puedo enseñar con facilidad</v>
      </c>
      <c r="X189" s="16" t="str">
        <f ca="1"/>
        <v>2022, 2023 y 2024</v>
      </c>
      <c r="Y189" s="30">
        <v>0</v>
      </c>
      <c r="Z189" s="23" t="s">
        <v>51</v>
      </c>
      <c r="AA189" s="23"/>
      <c r="AB189" s="23" t="s">
        <v>45</v>
      </c>
      <c r="AC189" s="23"/>
      <c r="AD189" s="23"/>
      <c r="AE189" s="23"/>
      <c r="AF189" s="23"/>
      <c r="AG189" s="23"/>
      <c r="AH189" s="23"/>
      <c r="AI189" s="23"/>
      <c r="AJ189" s="16"/>
      <c r="AK189" s="16"/>
      <c r="AL189" s="17"/>
    </row>
    <row r="190" spans="1:38" ht="38.25" x14ac:dyDescent="0.35">
      <c r="A190" s="9">
        <v>189</v>
      </c>
      <c r="B190" s="30" t="str">
        <f ca="1"/>
        <v>Maria del Pilar, Macías Hernández</v>
      </c>
      <c r="C190" s="31">
        <f ca="1"/>
        <v>31</v>
      </c>
      <c r="D190" s="30" t="str">
        <f ca="1"/>
        <v>Mujer</v>
      </c>
      <c r="E190" s="30" t="str">
        <f ca="1"/>
        <v>Jalisco, Mexico</v>
      </c>
      <c r="F190" s="30" t="str">
        <f ca="1"/>
        <v>pilar.macias1908@gmail.com</v>
      </c>
      <c r="G190" s="30">
        <f ca="1"/>
        <v>523313858774</v>
      </c>
      <c r="H190" s="30" t="str">
        <f ca="1"/>
        <v>Comunidad Jóvenes + 18 (14-19) Julio, Semana de niños y niñas (21-25) Julio, Jóvenes de 13 – 17 años / SEM1/ (28 Julio a 02 de agosto), Jóvenes de 13 – 17 años / SEM2/ (4 - 09 agosto), Jóvenes de 13 – 17 años / SEM3/ (11 - 16 agosto)</v>
      </c>
      <c r="I190" s="30" t="str">
        <f ca="1"/>
        <v>Hora silenciosa</v>
      </c>
      <c r="J190" s="30" t="str">
        <f ca="1"/>
        <v>Iglesia Vida</v>
      </c>
      <c r="K190" s="30" t="str">
        <f ca="1"/>
        <v>Neftalí Rubio Bonilla</v>
      </c>
      <c r="L190" s="30">
        <f ca="1"/>
        <v>524411036024</v>
      </c>
      <c r="M190" s="30" t="str">
        <f ca="1"/>
        <v>nefaly@gmail.com</v>
      </c>
      <c r="N190" s="30" t="str">
        <f ca="1"/>
        <v>Encargada de cunero</v>
      </c>
      <c r="O190" s="30" t="str">
        <f ca="1"/>
        <v>Acepte al señor en una reunión de niños en la iglesia a la que mi hermana me llevaba, supe que era pecadora y que Dios me amaba tal cual era, que necesitaba entregarme a Dios y pedirle me perdonará de todos mis pecados, que creyera que el había muerto y resucitado en esa Cruz para salvarme. 
Ahora se que si muero iré con el señor a su presencia por qué ha perdonado mis pecados pasados , presentes y futuros. Que su preciosa sangre ha limpiado mi corazón del pecado y que soy nueva criatura.</v>
      </c>
      <c r="P190" s="30" t="str">
        <f ca="1"/>
        <v>Desde el 2023 tenía la intención de ir, pero por una u otra cosa no se dio la oportunidad. En el 2012 fui equipante toda la temporada y fue un lindo verano en el que conocí muchas personas lindas y crecí en diferentes áreas de mi vida.
Este año tenía la intención pero por mi trabajo no podía así que cambie mis planes de vacaciones por qué no tenía como tal días libres, pero justo ayer martes 8 de Julio me despidieron de mi trabajo , eso fue como una respuesta de oración pues se me dio la oportunidad de tener tiempo y dinero para poderme ir y servir a Dios, se que todo esto no fue casualidad y Dios ya lo tenía preparado para no perderme está oportunidad de ir y enfocarme solo en lo que el quiere mostrarme estando allá.</v>
      </c>
      <c r="Q190" s="30" t="str">
        <f ca="1"/>
        <v>No</v>
      </c>
      <c r="R190" s="30">
        <v>0</v>
      </c>
      <c r="S190" s="30" t="str">
        <f ca="1"/>
        <v>No</v>
      </c>
      <c r="T190" s="30">
        <v>0</v>
      </c>
      <c r="U190" s="30" t="str">
        <f ca="1"/>
        <v>Estudie Nutrición pero no ejerzo mi profesión</v>
      </c>
      <c r="V190" s="30" t="str">
        <f ca="1"/>
        <v>Me gusta bailar , tengo experiencia en atención al cliente, fui asistente de dirección en un colegio y recientemente como recepcionista en un preescolar</v>
      </c>
      <c r="W190" s="16" t="str">
        <f ca="1"/>
        <v>B. Me gusta animar a las personas, C. Suelo buscar que el trabajo se realice en equipo, E. Me gusta el trabajo con niños, H. Soy organizado (a), J. Me gusta la atención a las personas, K. Soy creativo (a), M. Soy bueno (a) con los números, N. Suelo llevar el liderazgo en un grupo, O. Puedo enseñar con facilidad</v>
      </c>
      <c r="X190" s="16">
        <f ca="1"/>
        <v>2012</v>
      </c>
      <c r="Y190" s="30">
        <v>0</v>
      </c>
      <c r="Z190" s="23" t="s">
        <v>51</v>
      </c>
      <c r="AA190" s="23"/>
      <c r="AB190" s="23"/>
      <c r="AC190" s="23" t="s">
        <v>25</v>
      </c>
      <c r="AD190" s="23"/>
      <c r="AE190" s="23"/>
      <c r="AF190" s="23"/>
      <c r="AG190" s="23"/>
      <c r="AH190" s="23"/>
      <c r="AI190" s="23"/>
      <c r="AJ190" s="16" t="s">
        <v>153</v>
      </c>
      <c r="AK190" s="16"/>
      <c r="AL190" s="17"/>
    </row>
    <row r="191" spans="1:38" ht="12.75" x14ac:dyDescent="0.35">
      <c r="A191" s="9">
        <v>190</v>
      </c>
      <c r="B191" s="30" t="str">
        <f ca="1"/>
        <v>Jeremy, González Contreras</v>
      </c>
      <c r="C191" s="31">
        <f ca="1"/>
        <v>23</v>
      </c>
      <c r="D191" s="30" t="str">
        <f ca="1"/>
        <v>Hombre</v>
      </c>
      <c r="E191" s="30" t="str">
        <f ca="1"/>
        <v>Puebla, Mexico</v>
      </c>
      <c r="F191" s="30" t="str">
        <f ca="1"/>
        <v>jeremy.glezc@icloud.com</v>
      </c>
      <c r="G191" s="30">
        <f ca="1"/>
        <v>522223080370</v>
      </c>
      <c r="H191" s="30" t="str">
        <f ca="1"/>
        <v>Jóvenes de 13 – 17 años / SEM2/ (4 - 09 agosto)</v>
      </c>
      <c r="I191" s="30" t="str">
        <f ca="1"/>
        <v>Navigators Bible Plan</v>
      </c>
      <c r="J191" s="30" t="str">
        <f ca="1"/>
        <v>Iglesia Evangélica de Zozutla</v>
      </c>
      <c r="K191" s="30" t="str">
        <f ca="1"/>
        <v>Pablo González Beristain</v>
      </c>
      <c r="L191" s="30">
        <f ca="1"/>
        <v>522491009491</v>
      </c>
      <c r="M191" s="30" t="str">
        <f ca="1"/>
        <v>chipolcircuitos@hotmail.com</v>
      </c>
      <c r="N191" s="30" t="str">
        <f ca="1"/>
        <v>Equipo de Alabanza</v>
      </c>
      <c r="O191" s="30" t="str">
        <f ca="1"/>
        <v>Crecí en la iglesia pero no fue hasta los 15 años que entendí el evangelio y tuve seguridad de mi salvación.</v>
      </c>
      <c r="P191" s="30" t="str">
        <f ca="1"/>
        <v>Deseo predicar el evangelio con los chicos.</v>
      </c>
      <c r="Q191" s="30" t="str">
        <f ca="1"/>
        <v>Si</v>
      </c>
      <c r="R191" s="30" t="str">
        <f ca="1"/>
        <v>Fútbol</v>
      </c>
      <c r="S191" s="30" t="str">
        <f ca="1"/>
        <v>Si</v>
      </c>
      <c r="T191" s="30" t="str">
        <f ca="1"/>
        <v>Piano</v>
      </c>
      <c r="U191" s="30" t="str">
        <f ca="1"/>
        <v>Ingeniería Mecánica</v>
      </c>
      <c r="V191" s="30" t="str">
        <f ca="1"/>
        <v>Mecanico</v>
      </c>
      <c r="W191" s="16" t="str">
        <f ca="1"/>
        <v>B. Me gusta animar a las personas, D. Me gustan los deportes, F. Soy eficiente en el trabajo con herramientas, equipos y maquinarias, H. Soy organizado (a), I. Se me facilita el trabajo físico, J. Me gusta la atención a las personas, L. Soy bueno (a) en canto o algún instrumento, M. Soy bueno (a) con los números</v>
      </c>
      <c r="X191" s="16" t="str">
        <f ca="1"/>
        <v>2019, 2021-2024</v>
      </c>
      <c r="Y191" s="30">
        <v>0</v>
      </c>
      <c r="Z191" s="23" t="s">
        <v>51</v>
      </c>
      <c r="AA191" s="23"/>
      <c r="AB191" s="23"/>
      <c r="AC191" s="23" t="s">
        <v>45</v>
      </c>
      <c r="AD191" s="23"/>
      <c r="AE191" s="23"/>
      <c r="AF191" s="23"/>
      <c r="AG191" s="23"/>
      <c r="AH191" s="23"/>
      <c r="AI191" s="23"/>
      <c r="AJ191" s="16"/>
      <c r="AK191" s="16"/>
      <c r="AL191" s="17"/>
    </row>
    <row r="192" spans="1:38" ht="12.75" x14ac:dyDescent="0.35">
      <c r="A192" s="9">
        <v>191</v>
      </c>
      <c r="B192" s="30" t="str">
        <f ca="1"/>
        <v>Nicole, Martínez Comtreras</v>
      </c>
      <c r="C192" s="31">
        <f ca="1"/>
        <v>16</v>
      </c>
      <c r="D192" s="30" t="str">
        <f ca="1"/>
        <v>Mujer</v>
      </c>
      <c r="E192" s="30" t="str">
        <f ca="1"/>
        <v>Queretaro, Mexico</v>
      </c>
      <c r="F192" s="30" t="str">
        <f ca="1"/>
        <v>martinez.nicole.celic@gmail.com</v>
      </c>
      <c r="G192" s="30">
        <f ca="1"/>
        <v>524425098969</v>
      </c>
      <c r="H192" s="30" t="str">
        <f ca="1"/>
        <v>Jóvenes de 13 – 17 años / SEM3/ (11 - 16 agosto)</v>
      </c>
      <c r="I192" s="30" t="str">
        <f ca="1"/>
        <v>Holy Bible</v>
      </c>
      <c r="J192" s="30" t="str">
        <f ca="1"/>
        <v>Iglesia Bíblica Juriquilla</v>
      </c>
      <c r="K192" s="30" t="str">
        <f ca="1"/>
        <v>Pablo Ferrari</v>
      </c>
      <c r="L192" s="30">
        <f ca="1"/>
        <v>524423303874</v>
      </c>
      <c r="M192" s="30" t="str">
        <f ca="1"/>
        <v>pabloyfrine@gmail.com</v>
      </c>
      <c r="N192" s="30" t="str">
        <f ca="1"/>
        <v>mayordomía y cuando se necesita apoyo en algún otro como niños, actividades de la iglesia, ministerio de jóvenes también</v>
      </c>
      <c r="O192" s="30" t="str">
        <f ca="1"/>
        <v>Supe de Dios cuando tenía 7 años, pero en ese momento solo lo conocía porque iba con mis papás a la iglesia. Fue a través del amor y la misericordia que Él me mostró en el matrimonio restaurado de mis papás y en la llegada de mi hermana, que entendí su fidelidad. Fue entonces, a los 10años, cuando decidí aceptar a Cristo como mi Salvador, reconociendo que solo en Él hay verdadera esperanza y propósito.</v>
      </c>
      <c r="P192" s="30" t="str">
        <f ca="1"/>
        <v>Seguir aprendiendo a servir así como Cristo vino a servir a este mundo. 
Conocer a más personas que tengas la misma convicción que yo. Hacer amigos sirviendo al Señor.</v>
      </c>
      <c r="Q192" s="30" t="str">
        <f ca="1"/>
        <v>Si</v>
      </c>
      <c r="R192" s="30" t="str">
        <f ca="1"/>
        <v>natación, volley</v>
      </c>
      <c r="S192" s="30" t="str">
        <f ca="1"/>
        <v>No</v>
      </c>
      <c r="T192" s="30">
        <v>0</v>
      </c>
      <c r="U192" s="30" t="str">
        <f ca="1"/>
        <v>estoy terminando 2do de prepa</v>
      </c>
      <c r="V192" s="30" t="str">
        <f ca="1"/>
        <v>Puedo hacer un poco de todo. Solo no se nada de fotografía, audio y video y música.</v>
      </c>
      <c r="W192" s="16" t="str">
        <f ca="1"/>
        <v>B. Me gusta animar a las personas, C. Suelo buscar que el trabajo se realice en equipo, D. Me gustan los deportes, H. Soy organizado (a), I. Se me facilita el trabajo físico, M. Soy bueno (a) con los números, O. Puedo enseñar con facilidad</v>
      </c>
      <c r="X192" s="16" t="str">
        <f ca="1"/>
        <v>si, 2022-2024</v>
      </c>
      <c r="Y192" s="30">
        <v>0</v>
      </c>
      <c r="Z192" s="23" t="s">
        <v>51</v>
      </c>
      <c r="AA192" s="23"/>
      <c r="AB192" s="23"/>
      <c r="AC192" s="23" t="s">
        <v>25</v>
      </c>
      <c r="AD192" s="23"/>
      <c r="AE192" s="23"/>
      <c r="AF192" s="23"/>
      <c r="AG192" s="23"/>
      <c r="AH192" s="23"/>
      <c r="AI192" s="23"/>
      <c r="AJ192" s="16"/>
      <c r="AK192" s="16"/>
      <c r="AL192" s="17"/>
    </row>
    <row r="193" spans="1:38" ht="12.75" x14ac:dyDescent="0.35">
      <c r="A193" s="9">
        <v>192</v>
      </c>
      <c r="B193" s="30" t="str">
        <f ca="1"/>
        <v>Jonathan Gabriel, García Antonio</v>
      </c>
      <c r="C193" s="31">
        <f ca="1"/>
        <v>22</v>
      </c>
      <c r="D193" s="30" t="str">
        <f ca="1"/>
        <v>Hombre</v>
      </c>
      <c r="E193" s="30" t="str">
        <f ca="1"/>
        <v>Campeche, Mexico</v>
      </c>
      <c r="F193" s="30" t="str">
        <f ca="1"/>
        <v>yona23042003@gmail.com</v>
      </c>
      <c r="G193" s="30">
        <f ca="1"/>
        <v>529934310066</v>
      </c>
      <c r="H193" s="30" t="str">
        <f ca="1"/>
        <v>Jóvenes de 13 – 17 años / SEM1/ (28 Julio a 02 de agosto), Jóvenes de 13 – 17 años / SEM2/ (4 - 09 agosto), Jóvenes de 13 – 17 años / SEM3/ (11 - 16 agosto)</v>
      </c>
      <c r="I193" s="30" t="str">
        <f ca="1"/>
        <v>Devocional VSC</v>
      </c>
      <c r="J193" s="30" t="str">
        <f ca="1"/>
        <v>Vida sociedad cultural</v>
      </c>
      <c r="K193" s="30" t="str">
        <f ca="1"/>
        <v>Natividad Ramos García</v>
      </c>
      <c r="L193" s="30">
        <f ca="1"/>
        <v>529381032007</v>
      </c>
      <c r="M193" s="30" t="str">
        <f ca="1"/>
        <v>jnatividadramosg@gmail.com</v>
      </c>
      <c r="N193" s="30" t="str">
        <f ca="1"/>
        <v>Multimedia</v>
      </c>
      <c r="O193" s="30" t="str">
        <f ca="1"/>
        <v>Pues yo me bautize a los 18 vengo de una familia de Dios pero desde los 18 acepte a Jesús en mi corazón y desde entonces estoy en una lucha por seguir en su camino</v>
      </c>
      <c r="P193" s="30" t="str">
        <f ca="1"/>
        <v>Por que es parte fundamental el servir y formar un buen carácter y disciplina</v>
      </c>
      <c r="Q193" s="30" t="str">
        <f ca="1"/>
        <v>No</v>
      </c>
      <c r="R193" s="30">
        <v>0</v>
      </c>
      <c r="S193" s="30" t="str">
        <f ca="1"/>
        <v>No</v>
      </c>
      <c r="T193" s="30">
        <v>0</v>
      </c>
      <c r="U193" s="30" t="str">
        <f ca="1"/>
        <v>Ingeniería en diseño multimedia</v>
      </c>
      <c r="V193" s="30" t="str">
        <f ca="1"/>
        <v>Fotografía, manualidades</v>
      </c>
      <c r="W193" s="16" t="str">
        <f ca="1"/>
        <v>E. Me gusta el trabajo con niños, G. Soy más eficiente en el trabajo individual, J. Me gusta la atención a las personas, K. Soy creativo (a), O. Puedo enseñar con facilidad</v>
      </c>
      <c r="X193" s="16" t="str">
        <f ca="1"/>
        <v>Soy nuevo</v>
      </c>
      <c r="Y193" s="30">
        <v>0</v>
      </c>
      <c r="Z193" s="23" t="s">
        <v>51</v>
      </c>
      <c r="AA193" s="23"/>
      <c r="AB193" s="23"/>
      <c r="AC193" s="23" t="s">
        <v>50</v>
      </c>
      <c r="AD193" s="23"/>
      <c r="AE193" s="23"/>
      <c r="AF193" s="23"/>
      <c r="AG193" s="23"/>
      <c r="AH193" s="23"/>
      <c r="AI193" s="23"/>
      <c r="AJ193" s="16"/>
      <c r="AK193" s="16"/>
      <c r="AL193" s="17"/>
    </row>
    <row r="194" spans="1:38" ht="12.75" x14ac:dyDescent="0.35">
      <c r="A194" s="9">
        <v>193</v>
      </c>
      <c r="B194" s="30" t="str">
        <f ca="1"/>
        <v>Max Emiliano, Amezcua Camacho</v>
      </c>
      <c r="C194" s="31">
        <f ca="1"/>
        <v>19</v>
      </c>
      <c r="D194" s="30" t="str">
        <f ca="1"/>
        <v>Hombre</v>
      </c>
      <c r="E194" s="30" t="str">
        <f ca="1"/>
        <v>Guanajuato, Mexico</v>
      </c>
      <c r="F194" s="30" t="str">
        <f ca="1"/>
        <v>multiflo05@gmail.com</v>
      </c>
      <c r="G194" s="30">
        <f ca="1"/>
        <v>524779209081</v>
      </c>
      <c r="H194" s="30" t="str">
        <f ca="1"/>
        <v>Comunidad Jóvenes + 18 (14-19) Julio</v>
      </c>
      <c r="I194" s="30" t="str">
        <f ca="1"/>
        <v>Devocional en app Biblia</v>
      </c>
      <c r="J194" s="30" t="str">
        <f ca="1"/>
        <v>Sin iglesia</v>
      </c>
      <c r="K194" s="30" t="str">
        <f ca="1"/>
        <v>Humberto Zúñiga Núñez</v>
      </c>
      <c r="L194" s="30">
        <f ca="1"/>
        <v>524772892705</v>
      </c>
      <c r="M194" s="30" t="str">
        <f ca="1"/>
        <v>humberto.zunamez@gmail.com</v>
      </c>
      <c r="N194" s="30" t="str">
        <f ca="1"/>
        <v>Sin iglesia</v>
      </c>
      <c r="O194" s="30" t="str">
        <f ca="1"/>
        <v>Crecí en una familia cristiana, entendí de la salvación en un campamento de Pdv en 2017 y a partir de ahí comencé una relación íntima con el señor</v>
      </c>
      <c r="P194" s="30" t="str">
        <f ca="1"/>
        <v>Me gustaría servir al señor y poder aprender del conferencista y como Dios puede hablar a mi vida durante esta semana</v>
      </c>
      <c r="Q194" s="30" t="str">
        <f ca="1"/>
        <v>No</v>
      </c>
      <c r="R194" s="30">
        <v>0</v>
      </c>
      <c r="S194" s="30" t="str">
        <f ca="1"/>
        <v>No</v>
      </c>
      <c r="T194" s="30">
        <v>0</v>
      </c>
      <c r="U194" s="30" t="str">
        <f ca="1"/>
        <v>Universidad</v>
      </c>
      <c r="V194" s="30" t="str">
        <f ca="1"/>
        <v>Habilidades de organización y creativas</v>
      </c>
      <c r="W194" s="16" t="str">
        <f ca="1"/>
        <v>B. Me gusta animar a las personas, C. Suelo buscar que el trabajo se realice en equipo, E. Me gusta el trabajo con niños, H. Soy organizado (a), K. Soy creativo (a), M. Soy bueno (a) con los números</v>
      </c>
      <c r="X194" s="16" t="str">
        <f ca="1"/>
        <v>He asistido 2017, 2018 y 2019</v>
      </c>
      <c r="Y194" s="30">
        <v>0</v>
      </c>
      <c r="Z194" s="23" t="s">
        <v>51</v>
      </c>
      <c r="AA194" s="23"/>
      <c r="AB194" s="23"/>
      <c r="AC194" s="23" t="s">
        <v>50</v>
      </c>
      <c r="AD194" s="23"/>
      <c r="AE194" s="23"/>
      <c r="AF194" s="23"/>
      <c r="AG194" s="23"/>
      <c r="AH194" s="23"/>
      <c r="AI194" s="23"/>
      <c r="AJ194" s="16"/>
      <c r="AK194" s="16"/>
      <c r="AL194" s="17"/>
    </row>
    <row r="195" spans="1:38" ht="13.5" x14ac:dyDescent="0.35">
      <c r="A195" s="9">
        <v>194</v>
      </c>
      <c r="B195" s="30" t="str">
        <f ca="1"/>
        <v>David, Zopiyactle Juárez</v>
      </c>
      <c r="C195" s="31">
        <f ca="1"/>
        <v>21</v>
      </c>
      <c r="D195" s="30" t="str">
        <f ca="1"/>
        <v>Hombre</v>
      </c>
      <c r="E195" s="30" t="str">
        <f ca="1"/>
        <v>Veracruz, Mexico</v>
      </c>
      <c r="F195" s="30" t="str">
        <f ca="1"/>
        <v>dj6679668@gmail.com</v>
      </c>
      <c r="G195" s="30">
        <f ca="1"/>
        <v>522721266391</v>
      </c>
      <c r="H195" s="30" t="str">
        <f ca="1"/>
        <v>Jóvenes de 13 – 17 años / SEM1/ (28 Julio a 02 de agosto), Jóvenes de 13 – 17 años / SEM2/ (4 - 09 agosto), Jóvenes de 13 – 17 años / SEM3/ (11 - 16 agosto)</v>
      </c>
      <c r="I195" s="30" t="str">
        <f ca="1"/>
        <v>Hora silenciosa</v>
      </c>
      <c r="J195" s="30" t="str">
        <f ca="1"/>
        <v>Hew Hope</v>
      </c>
      <c r="K195" s="30" t="str">
        <f ca="1"/>
        <v>Jaime León</v>
      </c>
      <c r="L195" s="30">
        <f ca="1"/>
        <v>522721678600</v>
      </c>
      <c r="M195" s="30" t="str">
        <f ca="1"/>
        <v>fanton_@hotmail.com</v>
      </c>
      <c r="N195" s="30" t="str">
        <f ca="1"/>
        <v>Servicio y actividades evangelistas</v>
      </c>
      <c r="O195" s="30" t="str">
        <f ca="1"/>
        <v>En el Campa de Palabra de vida temporada 2019. Fui desafiado por una pregunta de mu mi salvación la cual no la supe responder pero no todo quedó asi, me explicaron y fue asi como comprendí el evangelio, ahora estoy seguro de mis salvación</v>
      </c>
      <c r="P195" s="30" t="str">
        <f ca="1"/>
        <v>Siempre salgo desafinado por mi fe para alcanzar más almas para Cristo Dios utiliza este medio para impulsar mis dones a su servicio plenamente quiero de ser de bendición para ustedes pero salgo más bendecido de ustedes para conmigo me han ayudado demasiado en mi crecimiento espiritual. Los amoo</v>
      </c>
      <c r="Q195" s="30" t="str">
        <f ca="1"/>
        <v>Si</v>
      </c>
      <c r="R195" s="30" t="str">
        <f ca="1"/>
        <v>Ciclismo, running y trail</v>
      </c>
      <c r="S195" s="30" t="str">
        <f ca="1"/>
        <v>No</v>
      </c>
      <c r="T195" s="30">
        <v>0</v>
      </c>
      <c r="U195" s="30" t="str">
        <f ca="1"/>
        <v>Gestión y dirección de negocios</v>
      </c>
      <c r="V195" s="30" t="str">
        <f ca="1"/>
        <v>Servicial, negociante, preparación de alimentos</v>
      </c>
      <c r="W195" s="16" t="str">
        <f ca="1"/>
        <v>A. Soy un discipulador activo, B. Me gusta animar a las personas, C. Suelo buscar que el trabajo se realice en equipo, D. Me gustan los deportes, G. Soy más eficiente en el trabajo individual, H. Soy organizado (a), I. Se me facilita el trabajo físico, J. Me gusta la atención a las personas, N. Suelo llevar el liderazgo en un grupo, O. Puedo enseñar con facilidad</v>
      </c>
      <c r="X195" s="16" t="str">
        <f ca="1"/>
        <v>Si 2016</v>
      </c>
      <c r="Y195" s="30">
        <v>0</v>
      </c>
      <c r="Z195" s="23" t="s">
        <v>51</v>
      </c>
      <c r="AA195" s="23"/>
      <c r="AB195" s="23"/>
      <c r="AC195" s="23"/>
      <c r="AD195" s="23" t="s">
        <v>50</v>
      </c>
      <c r="AE195" s="23"/>
      <c r="AF195" s="23"/>
      <c r="AG195" s="46" t="s">
        <v>45</v>
      </c>
      <c r="AH195" s="46"/>
      <c r="AI195" s="46"/>
      <c r="AJ195" s="16"/>
      <c r="AK195" s="16"/>
      <c r="AL195" s="17"/>
    </row>
    <row r="196" spans="1:38" ht="12.75" x14ac:dyDescent="0.35">
      <c r="A196" s="9">
        <v>195</v>
      </c>
      <c r="B196" s="30" t="str">
        <f ca="1"/>
        <v>Frida Sofía, Monreal López</v>
      </c>
      <c r="C196" s="31">
        <f ca="1"/>
        <v>14</v>
      </c>
      <c r="D196" s="30" t="str">
        <f ca="1"/>
        <v>Mujer</v>
      </c>
      <c r="E196" s="30" t="str">
        <f ca="1"/>
        <v>Jalisco, Mexico</v>
      </c>
      <c r="F196" s="30" t="str">
        <f ca="1"/>
        <v>Patricia.lzrmz@gmail.com</v>
      </c>
      <c r="G196" s="30">
        <f ca="1"/>
        <v>524443163101</v>
      </c>
      <c r="H196" s="30" t="str">
        <f ca="1"/>
        <v>Comunidad Jóvenes + 18 (14-19) Julio, Semana de niños y niñas (21-25) Julio</v>
      </c>
      <c r="I196" s="30" t="str">
        <f ca="1"/>
        <v>Hora silenciosa</v>
      </c>
      <c r="J196" s="30" t="str">
        <f ca="1"/>
        <v>Ema uel</v>
      </c>
      <c r="K196" s="30" t="str">
        <f ca="1"/>
        <v>Uziel Rubio Velazquez</v>
      </c>
      <c r="L196" s="30">
        <f ca="1"/>
        <v>523328043997</v>
      </c>
      <c r="M196" s="30" t="str">
        <f ca="1"/>
        <v>uco_1908@hotmail.com</v>
      </c>
      <c r="N196" s="30" t="str">
        <f ca="1"/>
        <v>Niños</v>
      </c>
      <c r="O196" s="30" t="str">
        <f ca="1"/>
        <v>Nacidas en familia cristiana , me bauticé años 12 años creyendo que Jesús es mi salvador y comencé a servir en el ministerio de niños</v>
      </c>
      <c r="P196" s="30" t="str">
        <f ca="1"/>
        <v>Quiero aprender a servir en amor y que otros conozcan a Cristo a través de su obra en este campamento</v>
      </c>
      <c r="Q196" s="30" t="str">
        <f ca="1"/>
        <v>Si</v>
      </c>
      <c r="R196" s="30" t="str">
        <f ca="1"/>
        <v>Cheerlearder</v>
      </c>
      <c r="S196" s="30" t="str">
        <f ca="1"/>
        <v>No</v>
      </c>
      <c r="T196" s="30">
        <v>0</v>
      </c>
      <c r="U196" s="30" t="str">
        <f ca="1"/>
        <v>Termine mi secundaria y próximamente iniciaré mi preparatoria</v>
      </c>
      <c r="V196" s="30" t="str">
        <f ca="1"/>
        <v>Creativa, animadora</v>
      </c>
      <c r="W196" s="16" t="str">
        <f ca="1"/>
        <v>B. Me gusta animar a las personas, K. Soy creativo (a)</v>
      </c>
      <c r="X196" s="16" t="str">
        <f ca="1"/>
        <v>No</v>
      </c>
      <c r="Y196" s="30">
        <v>0</v>
      </c>
      <c r="Z196" s="23" t="s">
        <v>51</v>
      </c>
      <c r="AA196" s="23"/>
      <c r="AB196" s="23"/>
      <c r="AC196" s="23" t="s">
        <v>25</v>
      </c>
      <c r="AD196" s="23"/>
      <c r="AE196" s="23"/>
      <c r="AF196" s="23"/>
      <c r="AG196" s="23"/>
      <c r="AH196" s="23"/>
      <c r="AI196" s="23"/>
      <c r="AJ196" s="16"/>
      <c r="AK196" s="16"/>
      <c r="AL196" s="17"/>
    </row>
    <row r="197" spans="1:38" ht="12.75" x14ac:dyDescent="0.35">
      <c r="A197" s="9">
        <v>196</v>
      </c>
      <c r="B197" s="30" t="str">
        <f ca="1"/>
        <v>Zurisadai, Zamorano González</v>
      </c>
      <c r="C197" s="31">
        <f ca="1"/>
        <v>28</v>
      </c>
      <c r="D197" s="30" t="str">
        <f ca="1"/>
        <v>Mujer</v>
      </c>
      <c r="E197" s="30" t="str">
        <f ca="1"/>
        <v>Mexico, Mexico</v>
      </c>
      <c r="F197" s="30" t="str">
        <f ca="1"/>
        <v>sadaizamorano7@gmail.com</v>
      </c>
      <c r="G197" s="30">
        <f ca="1"/>
        <v>527227619916</v>
      </c>
      <c r="H197" s="30" t="str">
        <f ca="1"/>
        <v>Jóvenes de 13 – 17 años / SEM1/ (28 Julio a 02 de agosto)</v>
      </c>
      <c r="I197" s="30" t="str">
        <f ca="1"/>
        <v>mujeres virtuosas</v>
      </c>
      <c r="J197" s="30" t="str">
        <f ca="1"/>
        <v>Iglesia Bautista Maranatha</v>
      </c>
      <c r="K197" s="30" t="str">
        <f ca="1"/>
        <v>Héctor Abdiel López Reyes</v>
      </c>
      <c r="L197" s="30">
        <f ca="1"/>
        <v>527225107076</v>
      </c>
      <c r="M197" s="30" t="str">
        <f ca="1"/>
        <v>habdielr@gmail.com</v>
      </c>
      <c r="N197" s="30" t="str">
        <f ca="1"/>
        <v>Alabanza</v>
      </c>
      <c r="O197" s="30" t="str">
        <f ca="1"/>
        <v>Tuve la bendición de nacer y crecer en una familia cristiana, sin embargo, no tenía claro el significado, hasta que los problemas me llevaron a los brazos de una hermana , la cuál me explico y guío a centrarme y tener sed de conocer de Jesucristo, de su infinito amor hacía nosotros.</v>
      </c>
      <c r="P197" s="30" t="str">
        <f ca="1"/>
        <v>Por qué me gusta servir, me gusta ver cómo las personas en diferentes circunstancias conocen y aceptan a Jesús.</v>
      </c>
      <c r="Q197" s="30" t="str">
        <f ca="1"/>
        <v>Si</v>
      </c>
      <c r="R197" s="30" t="str">
        <f ca="1"/>
        <v>Hago ejercicio y me gusta hacer caminata</v>
      </c>
      <c r="S197" s="30" t="str">
        <f ca="1"/>
        <v>Si</v>
      </c>
      <c r="T197" s="30" t="str">
        <f ca="1"/>
        <v>Batería</v>
      </c>
      <c r="U197" s="30" t="str">
        <f ca="1"/>
        <v>Licenciatura en Derecho</v>
      </c>
      <c r="V197" s="30" t="str">
        <f ca="1"/>
        <v>Sociable, Me gusta hacer cosas nuevas y aprendo rápido, me gusta cocinar, hacer manualidades, postres.</v>
      </c>
      <c r="W197" s="16" t="str">
        <f ca="1"/>
        <v>B. Me gusta animar a las personas, E. Me gusta el trabajo con niños, H. Soy organizado (a), I. Se me facilita el trabajo físico, K. Soy creativo (a), M. Soy bueno (a) con los números</v>
      </c>
      <c r="X197" s="16" t="str">
        <f ca="1"/>
        <v>Si, estuve hace dos años de campera y también de equipante</v>
      </c>
      <c r="Y197" s="30">
        <v>0</v>
      </c>
      <c r="Z197" s="23" t="s">
        <v>47</v>
      </c>
      <c r="AA197" s="23" t="s">
        <v>47</v>
      </c>
      <c r="AB197" s="23" t="s">
        <v>47</v>
      </c>
      <c r="AC197" s="23" t="s">
        <v>47</v>
      </c>
      <c r="AD197" s="23" t="s">
        <v>47</v>
      </c>
      <c r="AE197" s="23"/>
      <c r="AF197" s="23"/>
      <c r="AG197" s="23" t="s">
        <v>26</v>
      </c>
      <c r="AH197" s="23"/>
      <c r="AI197" s="23"/>
      <c r="AJ197" s="16"/>
      <c r="AK197" s="16"/>
      <c r="AL197" s="17"/>
    </row>
    <row r="198" spans="1:38" ht="12.75" x14ac:dyDescent="0.35">
      <c r="A198" s="9">
        <v>197</v>
      </c>
      <c r="B198" s="30" t="str">
        <f ca="1"/>
        <v>Boris Alexander, Sandoval Figueroa</v>
      </c>
      <c r="C198" s="31">
        <f ca="1"/>
        <v>25</v>
      </c>
      <c r="D198" s="30" t="str">
        <f ca="1"/>
        <v>Hombre</v>
      </c>
      <c r="E198" s="30" t="str">
        <f ca="1"/>
        <v>Mexico, Mexico</v>
      </c>
      <c r="F198" s="30" t="str">
        <f ca="1"/>
        <v>sandovalboris142015@gmail.com</v>
      </c>
      <c r="G198" s="30">
        <f ca="1"/>
        <v>525580342363</v>
      </c>
      <c r="H198" s="30" t="str">
        <f ca="1"/>
        <v>Comunidad Jóvenes + 18 (14-19) Julio, Semana de niños y niñas (21-25) Julio, Jóvenes de 13 – 17 años / SEM1/ (28 Julio a 02 de agosto)</v>
      </c>
      <c r="I198" s="30" t="str">
        <f ca="1"/>
        <v>Isaias</v>
      </c>
      <c r="J198" s="30" t="str">
        <f ca="1"/>
        <v>GNV Casa de Pan</v>
      </c>
      <c r="K198" s="30" t="str">
        <f ca="1"/>
        <v>Josué Angel Vargas Álvarez</v>
      </c>
      <c r="L198" s="30">
        <f ca="1"/>
        <v>525523543727</v>
      </c>
      <c r="M198" s="30" t="str">
        <f ca="1"/>
        <v>vargasjosue142015@gmail.com</v>
      </c>
      <c r="N198" s="30" t="str">
        <f ca="1"/>
        <v>Multimedia, Redes Sociales,Misiones, Centro de desarrollo infantil.</v>
      </c>
      <c r="O198" s="30" t="str">
        <f ca="1"/>
        <v>A través de la falta de economía, falleció mi papá, conocí a Dios en un acto de abundancia.</v>
      </c>
      <c r="P198" s="30" t="str">
        <f ca="1"/>
        <v>Naci para servir, en mi iglesia local sirvo de lunes a Domingo, y Dios me llamó a este campamento, a través de respuestas a una oración que yo hice.
Me patrocinaron el campamento y transporte</v>
      </c>
      <c r="Q198" s="30" t="str">
        <f ca="1"/>
        <v>Si</v>
      </c>
      <c r="R198" s="30" t="str">
        <f ca="1"/>
        <v>Calistenia</v>
      </c>
      <c r="S198" s="30" t="str">
        <f ca="1"/>
        <v>No</v>
      </c>
      <c r="T198" s="30">
        <v>0</v>
      </c>
      <c r="U198" s="30" t="str">
        <f ca="1"/>
        <v>Lic. Informática</v>
      </c>
      <c r="V198" s="30" t="str">
        <f ca="1"/>
        <v>Me gusta mucho la fotografia, el deporte, hablar en público, edición de vídeo</v>
      </c>
      <c r="W198" s="16" t="str">
        <f ca="1"/>
        <v>A. Soy un discipulador activo, B. Me gusta animar a las personas, C. Suelo buscar que el trabajo se realice en equipo, D. Me gustan los deportes, E. Me gusta el trabajo con niños, F. Soy eficiente en el trabajo con herramientas, equipos y maquinarias, H. Soy organizado (a), I. Se me facilita el trabajo físico, J. Me gusta la atención a las personas, N. Suelo llevar el liderazgo en un grupo, O. Puedo enseñar con facilidad</v>
      </c>
      <c r="X198" s="16" t="str">
        <f ca="1"/>
        <v>No, primera vez</v>
      </c>
      <c r="Y198" s="30">
        <v>0</v>
      </c>
      <c r="Z198" s="23" t="s">
        <v>51</v>
      </c>
      <c r="AA198" s="23"/>
      <c r="AB198" s="23"/>
      <c r="AC198" s="23" t="s">
        <v>50</v>
      </c>
      <c r="AD198" s="23"/>
      <c r="AE198" s="23"/>
      <c r="AF198" s="23"/>
      <c r="AG198" s="23"/>
      <c r="AH198" s="23"/>
      <c r="AI198" s="23"/>
      <c r="AJ198" s="16"/>
      <c r="AK198" s="16"/>
      <c r="AL198" s="17"/>
    </row>
    <row r="199" spans="1:38" ht="12.75" x14ac:dyDescent="0.35">
      <c r="A199" s="9">
        <v>198</v>
      </c>
      <c r="B199" s="30" t="str">
        <f ca="1"/>
        <v>David, Morales del Angel</v>
      </c>
      <c r="C199" s="31">
        <f ca="1"/>
        <v>20</v>
      </c>
      <c r="D199" s="30" t="str">
        <f ca="1"/>
        <v>Hombre</v>
      </c>
      <c r="E199" s="30" t="str">
        <f ca="1"/>
        <v>Mexico, Mexico</v>
      </c>
      <c r="F199" s="30" t="str">
        <f ca="1"/>
        <v>dm3729753@gmail.com</v>
      </c>
      <c r="G199" s="30">
        <f ca="1"/>
        <v>525587615951</v>
      </c>
      <c r="H199" s="30" t="str">
        <f ca="1"/>
        <v>Comunidad Jóvenes + 18 (14-19) Julio, Semana de niños y niñas (21-25) Julio</v>
      </c>
      <c r="I199" s="30" t="str">
        <f ca="1"/>
        <v>Mi caminar con Dios</v>
      </c>
      <c r="J199" s="30" t="str">
        <f ca="1"/>
        <v>Iglesia Cristiana Fundamental de México</v>
      </c>
      <c r="K199" s="30" t="str">
        <f ca="1"/>
        <v>Erick Martínez</v>
      </c>
      <c r="L199" s="30">
        <f ca="1"/>
        <v>525517941231</v>
      </c>
      <c r="M199" s="30" t="str">
        <f ca="1"/>
        <v>erickrey55287@hotmail.com</v>
      </c>
      <c r="N199" s="30" t="str">
        <f ca="1"/>
        <v>Multimedia</v>
      </c>
      <c r="O199" s="30" t="str">
        <f ca="1"/>
        <v>Nací en una familia Cristiana, pero con el tiempo me fui acercando al mundo, con problemas familiares, problemas con una relación, en la escuela, alejado de mi iglesia.estando en Veracruz a solas decidí entregarle mi vida a Dios, aceptarlo como mi salvador, era mucha tristeza la que cargaba y necesitaba ayuda, lo mejor fue cuando empecé a saber que era lo que realmente quería y como quería conforme a lo que Dios me permitía.</v>
      </c>
      <c r="P199" s="30" t="str">
        <f ca="1"/>
        <v>Principalmente por el servicio a Dios, tengo iniciativa de empezar a servir mas de lo habitual, el tiempo que tengo de vacaciones quiero aprovecharlo.</v>
      </c>
      <c r="Q199" s="30" t="str">
        <f ca="1"/>
        <v>Si</v>
      </c>
      <c r="R199" s="30" t="str">
        <f ca="1"/>
        <v>Futbol</v>
      </c>
      <c r="S199" s="30" t="str">
        <f ca="1"/>
        <v>No</v>
      </c>
      <c r="T199" s="30">
        <v>0</v>
      </c>
      <c r="U199" s="30" t="str">
        <f ca="1"/>
        <v>Negocios Internacionales</v>
      </c>
      <c r="V199" s="30" t="str">
        <f ca="1"/>
        <v>Liderazgo, comunicación con la gente,</v>
      </c>
      <c r="W199" s="16" t="str">
        <f ca="1"/>
        <v>B. Me gusta animar a las personas, D. Me gustan los deportes, E. Me gusta el trabajo con niños, F. Soy eficiente en el trabajo con herramientas, equipos y maquinarias, I. Se me facilita el trabajo físico, J. Me gusta la atención a las personas, N. Suelo llevar el liderazgo en un grupo</v>
      </c>
      <c r="X199" s="16" t="str">
        <f ca="1"/>
        <v>Si, 2015</v>
      </c>
      <c r="Y199" s="30">
        <v>0</v>
      </c>
      <c r="Z199" s="23" t="s">
        <v>51</v>
      </c>
      <c r="AA199" s="23"/>
      <c r="AB199" s="23"/>
      <c r="AC199" s="23"/>
      <c r="AD199" s="23" t="s">
        <v>50</v>
      </c>
      <c r="AE199" s="23"/>
      <c r="AF199" s="23" t="s">
        <v>45</v>
      </c>
      <c r="AG199" s="23"/>
      <c r="AH199" s="23"/>
      <c r="AI199" s="23"/>
      <c r="AJ199" s="16"/>
      <c r="AK199" s="16"/>
      <c r="AL199" s="17"/>
    </row>
    <row r="200" spans="1:38" ht="12.75" x14ac:dyDescent="0.35">
      <c r="A200" s="45">
        <v>199</v>
      </c>
      <c r="B200" s="34" t="str">
        <f ca="1"/>
        <v>Anayanci, Barrios Zamarripa</v>
      </c>
      <c r="C200" s="35">
        <f ca="1"/>
        <v>23</v>
      </c>
      <c r="D200" s="34" t="str">
        <f ca="1"/>
        <v>Mujer</v>
      </c>
      <c r="E200" s="34" t="str">
        <f ca="1"/>
        <v>Tamaulipas, Mexico</v>
      </c>
      <c r="F200" s="34" t="str">
        <f ca="1"/>
        <v>anabz@live.com.mx</v>
      </c>
      <c r="G200" s="34">
        <f ca="1"/>
        <v>528332956349</v>
      </c>
      <c r="H200" s="34" t="str">
        <f ca="1"/>
        <v>Semana de niños y niñas (21-25) Julio</v>
      </c>
      <c r="I200" s="34" t="str">
        <f ca="1"/>
        <v>VIDA DISCIPULAR</v>
      </c>
      <c r="J200" s="34" t="str">
        <f ca="1"/>
        <v>Iglesia Bautista "El Calvario"</v>
      </c>
      <c r="K200" s="34" t="str">
        <f ca="1"/>
        <v>Marco Antonio Garcia Montoya</v>
      </c>
      <c r="L200" s="34">
        <f ca="1"/>
        <v>528333504123</v>
      </c>
      <c r="M200" s="34" t="str">
        <f ca="1"/>
        <v>marcoantoniopastor75@gmail.com</v>
      </c>
      <c r="N200" s="34" t="str">
        <f ca="1"/>
        <v>Atletas Olimpicos</v>
      </c>
      <c r="O200" s="34" t="str">
        <f ca="1"/>
        <v>Nací en una familia cristiana, mis padres se congregaban en “El calvario” y por cuestiones de trabajo se dejaron de congregar, y esporádicamente iban a la iglesia, pero pasando el tiempo perdió su valor.
En julio del 2013 mi primo Jasiel Barrios nos invitó a el campamento “Bernal”, donde  con el amor de mis consejeras Mariana Rivero y Sarahí Vega, me hablaron del privilegio más grande que he tenido en mi vida, y gracias a Dios mi corazón fue tocado, y pude reconocer el hermoso valor de Cristo y lo que hizo en la cruz. 
Durante 4 años seguidos, asistí al campamento, donde conocí muchas personas y muchos testimonio, y las predicaciones fueron de gran bendición en mi vida. Al llegar a casa eventualmente nos volvimos a congregar, pero no comprometidos. 
Hace varios años que le entregue mi vida a Cristo, pero nunca me había incorporado a una iglesia local, a pesar de que me invitaban.
Hasta en julio 2023, Dios hablo fuertemente a mi familia, con una situación con mi hermano menor, sabíamos que la prueba era familiar y como familia decidimos volver a la casa del Señor, nos incorporamos a “El Calvario”, el hermano Marco Antonio García, estuvo muy al pendiente de nuestra situación, y al regresar pudimos ver la mano de Dios en la vida de mi hermano, quien hoy se encuentra mejor. Al estar en la iglesia, me recibieron con mucho amor, y tengo un gratitud muy grande, ya que en todo momento me he sentido amada. Al iniciar mi primer discipulado con la hermana Liliana, fui reconociendo mis errores y pecados, Dios habla de mi vida constantemente. El 23 de Marzo del 2024, Dios me concedió la bendición de ser bautizada en su nombre.  
Hasta el dia de hoy, el Señor se ha mantenido fiel, y me ha permido formar parte de la iglesia, integrarme con los jóvenes y servir con los niños.</v>
      </c>
      <c r="P200" s="34" t="str">
        <f ca="1"/>
        <v>El año pasado estuve sirviendo en el campamento, y fue de total bendición. Este año, me alegro en poder llevar a mis 3 primas que tienen el deseo de conocer el campamento de niños, y es mi deseo también poder servir en el campamento.</v>
      </c>
      <c r="Q200" s="34" t="str">
        <f ca="1"/>
        <v>No</v>
      </c>
      <c r="R200" s="34">
        <v>0</v>
      </c>
      <c r="S200" s="34" t="str">
        <f ca="1"/>
        <v>No</v>
      </c>
      <c r="T200" s="34">
        <v>0</v>
      </c>
      <c r="U200" s="34" t="str">
        <f ca="1"/>
        <v>Medico Cirujano</v>
      </c>
      <c r="V200" s="34" t="str">
        <f ca="1"/>
        <v>Me gusta hablar con las personas, y escuchar lo que piensa.</v>
      </c>
      <c r="W200" s="36" t="str">
        <f ca="1"/>
        <v>A. Soy un discipulador activo, B. Me gusta animar a las personas, E. Me gusta el trabajo con niños, H. Soy organizado (a), J. Me gusta la atención a las personas, O. Puedo enseñar con facilidad</v>
      </c>
      <c r="X200" s="36" t="str">
        <f ca="1"/>
        <v>Si, la temporada pasada, año 2024</v>
      </c>
      <c r="Y200" s="34">
        <v>0</v>
      </c>
      <c r="Z200" s="37" t="s">
        <v>47</v>
      </c>
      <c r="AA200" s="37" t="s">
        <v>47</v>
      </c>
      <c r="AB200" s="37" t="s">
        <v>47</v>
      </c>
      <c r="AC200" s="37" t="s">
        <v>47</v>
      </c>
      <c r="AD200" s="37" t="s">
        <v>47</v>
      </c>
      <c r="AE200" s="37" t="s">
        <v>28</v>
      </c>
      <c r="AF200" s="37"/>
      <c r="AG200" s="23"/>
      <c r="AH200" s="23"/>
      <c r="AI200" s="23"/>
      <c r="AJ200" s="16" t="s">
        <v>154</v>
      </c>
      <c r="AK200" s="16"/>
      <c r="AL200" s="17"/>
    </row>
    <row r="201" spans="1:38" ht="12.75" x14ac:dyDescent="0.35">
      <c r="A201" s="9">
        <v>200</v>
      </c>
      <c r="B201" s="30" t="str">
        <f ca="1"/>
        <v>Azalia, Chamorro Aguilar</v>
      </c>
      <c r="C201" s="31">
        <f ca="1"/>
        <v>20</v>
      </c>
      <c r="D201" s="30" t="str">
        <f ca="1"/>
        <v>Mujer</v>
      </c>
      <c r="E201" s="30" t="str">
        <f ca="1"/>
        <v>Queretaro, Mexico</v>
      </c>
      <c r="F201" s="30" t="str">
        <f ca="1"/>
        <v>zali.chamorro@gmail.com</v>
      </c>
      <c r="G201" s="30">
        <f ca="1"/>
        <v>524424644026</v>
      </c>
      <c r="H201" s="30" t="str">
        <f ca="1"/>
        <v>Semana de niños y niñas (21-25) Julio</v>
      </c>
      <c r="I201" s="30" t="str">
        <f ca="1"/>
        <v>What happens when women say yes to God and walk in faith</v>
      </c>
      <c r="J201" s="30" t="str">
        <f ca="1"/>
        <v>Calvary Fortaleza Querétaro</v>
      </c>
      <c r="K201" s="30" t="str">
        <f ca="1"/>
        <v>Miguel Chamorro</v>
      </c>
      <c r="L201" s="30">
        <f ca="1"/>
        <v>524421592539</v>
      </c>
      <c r="M201" s="30" t="str">
        <f ca="1"/>
        <v>fortalezaqro@gmail.com</v>
      </c>
      <c r="N201" s="30" t="str">
        <f ca="1"/>
        <v>Redes sociales y alabanza</v>
      </c>
      <c r="O201" s="30" t="str">
        <f ca="1"/>
        <v>Yo nací en una familia cristiana por lo que durante toda mi niñez y adolescencia estuve acostumbrada a ir a la iglesia y escuchar sobre Dios , Jesús e historia de la Biblia, por lo que me insensibilicé al Evangelio. Cuando tenía 16, durante la pandemia, asistí virtualmente a un campamento para adolescentes, en el último día Dios de permitió finalmente comprender el evangelio y reconocer mi condición como pecadora y la necesidad que tengo de él.</v>
      </c>
      <c r="P201" s="30" t="str">
        <f ca="1"/>
        <v>Quiero utilizar este tiempo de mis vacaciones de verano para que Dios me use y para ser de bendición a otros.</v>
      </c>
      <c r="Q201" s="30" t="str">
        <f ca="1"/>
        <v>No</v>
      </c>
      <c r="R201" s="30">
        <v>0</v>
      </c>
      <c r="S201" s="30" t="str">
        <f ca="1"/>
        <v>No</v>
      </c>
      <c r="T201" s="30">
        <v>0</v>
      </c>
      <c r="U201" s="30" t="str">
        <f ca="1"/>
        <v>Arquitectura</v>
      </c>
      <c r="V201" s="30" t="str">
        <f ca="1"/>
        <v>Tomar fotos con cámara profesional, cantar, hablar inglés</v>
      </c>
      <c r="W201" s="16" t="str">
        <f ca="1"/>
        <v>A. Soy un discipulador activo, B. Me gusta animar a las personas, H. Soy organizado (a), J. Me gusta la atención a las personas, L. Soy bueno (a) en canto o algún instrumento, N. Suelo llevar el liderazgo en un grupo, O. Puedo enseñar con facilidad</v>
      </c>
      <c r="X201" s="16" t="str">
        <f ca="1"/>
        <v>Si, 2018 y 2019</v>
      </c>
      <c r="Y201" s="30">
        <v>0</v>
      </c>
      <c r="Z201" s="23" t="s">
        <v>51</v>
      </c>
      <c r="AA201" s="23"/>
      <c r="AB201" s="23"/>
      <c r="AC201" s="23"/>
      <c r="AD201" s="23"/>
      <c r="AE201" s="23" t="s">
        <v>25</v>
      </c>
      <c r="AF201" s="23" t="s">
        <v>26</v>
      </c>
      <c r="AG201" s="23"/>
      <c r="AH201" s="23"/>
      <c r="AI201" s="23"/>
      <c r="AJ201" s="16"/>
      <c r="AK201" s="16"/>
      <c r="AL201" s="17"/>
    </row>
    <row r="202" spans="1:38" ht="12.75" x14ac:dyDescent="0.35">
      <c r="A202" s="45">
        <v>201</v>
      </c>
      <c r="B202" s="34" t="str">
        <f ca="1"/>
        <v>Emilio, Tenorio</v>
      </c>
      <c r="C202" s="35">
        <f ca="1"/>
        <v>19</v>
      </c>
      <c r="D202" s="34" t="str">
        <f ca="1"/>
        <v>Hombre</v>
      </c>
      <c r="E202" s="34" t="str">
        <f ca="1"/>
        <v>Mexico City, Mexico</v>
      </c>
      <c r="F202" s="34" t="str">
        <f ca="1"/>
        <v>tenorioaemilio@gmail.com</v>
      </c>
      <c r="G202" s="34">
        <f ca="1"/>
        <v>525578491497</v>
      </c>
      <c r="H202" s="34" t="str">
        <f ca="1"/>
        <v>Jóvenes de 13 – 17 años / SEM1/ (28 Julio a 02 de agosto)</v>
      </c>
      <c r="I202" s="34" t="str">
        <f ca="1"/>
        <v>Reina Valera 1960</v>
      </c>
      <c r="J202" s="34" t="str">
        <f ca="1"/>
        <v>Humanidad Transformada</v>
      </c>
      <c r="K202" s="34" t="str">
        <f ca="1"/>
        <v>Cristobal Montealegre</v>
      </c>
      <c r="L202" s="34" t="str">
        <f ca="1"/>
        <v>#ERROR!</v>
      </c>
      <c r="M202" s="34" t="str">
        <f ca="1"/>
        <v>ht@itransform.net</v>
      </c>
      <c r="N202" s="34" t="str">
        <f ca="1"/>
        <v>Enseñanza, misiones y centro de atención integral</v>
      </c>
      <c r="O202" s="34" t="str">
        <f ca="1"/>
        <v>Fui salvado en el momento en el que dispuse a escuchar a mi Padre, porque él siempre ha estado. El día en el que yo decidí aceptarlo, inmediatamente él me limpió y me hizo hijo.</v>
      </c>
      <c r="P202" s="34" t="str">
        <f ca="1"/>
        <v>Me gustaría estar dispuesto a lo que Dios tenga para entregar a todos, es una oportunidad muy valiosa.</v>
      </c>
      <c r="Q202" s="34" t="str">
        <f ca="1"/>
        <v>Si</v>
      </c>
      <c r="R202" s="34" t="str">
        <f ca="1"/>
        <v>Artes marciales; Muay thai, jiu jitsu, box y kickboxing. Gym, basketball y correr</v>
      </c>
      <c r="S202" s="34" t="str">
        <f ca="1"/>
        <v>No</v>
      </c>
      <c r="T202" s="34">
        <v>0</v>
      </c>
      <c r="U202" s="34" t="str">
        <f ca="1"/>
        <v>Arquitectura</v>
      </c>
      <c r="V202" s="34" t="str">
        <f ca="1"/>
        <v>Sé pintar, dibujar a cualquier tipo de material. Escribo, soy buen lector y tengo una alta capacidad de escritura.</v>
      </c>
      <c r="W202" s="36" t="str">
        <f ca="1"/>
        <v>A. Soy un discipulador activo, B. Me gusta animar a las personas, C. Suelo buscar que el trabajo se realice en equipo, D. Me gustan los deportes, E. Me gusta el trabajo con niños, F. Soy eficiente en el trabajo con herramientas, equipos y maquinarias, G. Soy más eficiente en el trabajo individual, H. Soy organizado (a), I. Se me facilita el trabajo físico, J. Me gusta la atención a las personas, K. Soy creativo (a), N. Suelo llevar el liderazgo en un grupo, O. Puedo enseñar con facilidad</v>
      </c>
      <c r="X202" s="36" t="str">
        <f ca="1"/>
        <v>No</v>
      </c>
      <c r="Y202" s="34">
        <v>0</v>
      </c>
      <c r="Z202" s="37" t="s">
        <v>51</v>
      </c>
      <c r="AA202" s="37"/>
      <c r="AB202" s="37"/>
      <c r="AC202" s="37"/>
      <c r="AD202" s="37"/>
      <c r="AE202" s="37"/>
      <c r="AF202" s="37"/>
      <c r="AG202" s="23" t="s">
        <v>28</v>
      </c>
      <c r="AH202" s="23"/>
      <c r="AI202" s="23"/>
      <c r="AJ202" s="16" t="s">
        <v>155</v>
      </c>
      <c r="AK202" s="16"/>
      <c r="AL202" s="17"/>
    </row>
    <row r="203" spans="1:38" ht="12.75" x14ac:dyDescent="0.35">
      <c r="A203" s="9">
        <v>202</v>
      </c>
      <c r="B203" s="30" t="str">
        <f ca="1"/>
        <v>Eliel, Priske Alanis</v>
      </c>
      <c r="C203" s="31">
        <f ca="1"/>
        <v>20</v>
      </c>
      <c r="D203" s="30" t="str">
        <f ca="1"/>
        <v>Hombre</v>
      </c>
      <c r="E203" s="30" t="str">
        <f ca="1"/>
        <v>Queretaro, Mexico</v>
      </c>
      <c r="F203" s="30" t="str">
        <f ca="1"/>
        <v>elielprial@gmail.com</v>
      </c>
      <c r="G203" s="30">
        <f ca="1"/>
        <v>524141234390</v>
      </c>
      <c r="H203" s="30" t="str">
        <f ca="1"/>
        <v>Jóvenes de 13 – 17 años / SEM1/ (28 Julio a 02 de agosto)</v>
      </c>
      <c r="I203" s="30" t="str">
        <f ca="1"/>
        <v>Hora Silenciosa</v>
      </c>
      <c r="J203" s="30" t="str">
        <f ca="1"/>
        <v>Iglesia Bíblica Misionera Tequisquiapan</v>
      </c>
      <c r="K203" s="30" t="str">
        <f ca="1"/>
        <v>Coleman Dale Victor Priske Bond</v>
      </c>
      <c r="L203" s="30">
        <f ca="1"/>
        <v>524141017265</v>
      </c>
      <c r="M203" s="30" t="str">
        <f ca="1"/>
        <v>colemanpriske@gmail.com</v>
      </c>
      <c r="N203" s="30" t="str">
        <f ca="1"/>
        <v>Sonido y lider de jovenes majores</v>
      </c>
      <c r="O203" s="30" t="str">
        <f ca="1"/>
        <v>Naci en un hogar cristiano, estuve siempre en contacto con la Palabra, pero, llendo a campamentos, pero cuando realmente entendi el evangelio fue cuando me decidi por bautizarme, hablaron conmigo y me preguntaron si sabia porque lo queria, ahi fue cuando hablando entendi que era un pecador, que no podia salvarme, que el unico que podia hacerlo era Cristo y no se ocupaba nada mas que creer en El y que era suficiente.</v>
      </c>
      <c r="P203" s="30" t="str">
        <f ca="1"/>
        <v>Tengo una semana libre y me gustaria poder usarla en servir.</v>
      </c>
      <c r="Q203" s="30" t="str">
        <f ca="1"/>
        <v>No</v>
      </c>
      <c r="R203" s="30">
        <v>0</v>
      </c>
      <c r="S203" s="30" t="str">
        <f ca="1"/>
        <v>Si</v>
      </c>
      <c r="T203" s="30" t="str">
        <f ca="1"/>
        <v>Toco la guitarra</v>
      </c>
      <c r="U203" s="30" t="str">
        <f ca="1"/>
        <v>Estudio Ingeniería en Desarrollo de Software multiplataforma</v>
      </c>
      <c r="V203" s="30" t="str">
        <f ca="1"/>
        <v>Se soldar, tocar instrumentos, experiencia en consejeria, se usar diversas herramientas aparte de tener habilidades en informatica</v>
      </c>
      <c r="W203" s="16" t="str">
        <f ca="1"/>
        <v>A. Soy un discipulador activo, B. Me gusta animar a las personas, F. Soy eficiente en el trabajo con herramientas, equipos y maquinarias, G. Soy más eficiente en el trabajo individual, H. Soy organizado (a), K. Soy creativo (a), L. Soy bueno (a) en canto o algún instrumento, M. Soy bueno (a) con los números, N. Suelo llevar el liderazgo en un grupo, O. Puedo enseñar con facilidad</v>
      </c>
      <c r="X203" s="16" t="str">
        <f ca="1"/>
        <v>Si, desde 2012</v>
      </c>
      <c r="Y203" s="30">
        <v>0</v>
      </c>
      <c r="Z203" s="23" t="s">
        <v>51</v>
      </c>
      <c r="AA203" s="23"/>
      <c r="AB203" s="23"/>
      <c r="AC203" s="23"/>
      <c r="AD203" s="23"/>
      <c r="AE203" s="23"/>
      <c r="AF203" s="23"/>
      <c r="AG203" s="23" t="s">
        <v>45</v>
      </c>
      <c r="AH203" s="23"/>
      <c r="AI203" s="23"/>
      <c r="AJ203" s="16"/>
      <c r="AK203" s="16"/>
      <c r="AL203" s="17"/>
    </row>
    <row r="204" spans="1:38" ht="12.75" x14ac:dyDescent="0.35">
      <c r="A204" s="9">
        <v>203</v>
      </c>
      <c r="B204" s="30" t="str">
        <f ca="1"/>
        <v>Andrew Angel, Solano Palé</v>
      </c>
      <c r="C204" s="31">
        <f ca="1"/>
        <v>18</v>
      </c>
      <c r="D204" s="30" t="str">
        <f ca="1"/>
        <v>Hombre</v>
      </c>
      <c r="E204" s="30" t="str">
        <f ca="1"/>
        <v>Mexico City, Mexico</v>
      </c>
      <c r="F204" s="30" t="str">
        <f ca="1"/>
        <v>epicoficial33@gmail.com</v>
      </c>
      <c r="G204" s="30">
        <f ca="1"/>
        <v>525648224695</v>
      </c>
      <c r="H204" s="30" t="str">
        <f ca="1"/>
        <v>Semana de niños y niñas (21-25) Julio, Jóvenes de 13 – 17 años / SEM1/ (28 Julio a 02 de agosto)</v>
      </c>
      <c r="I204" s="30" t="str">
        <f ca="1"/>
        <v>la charla con mi padre</v>
      </c>
      <c r="J204" s="30" t="str">
        <f ca="1"/>
        <v>iglesia cristiana bautista de san juan ixtayopan</v>
      </c>
      <c r="K204" s="30" t="str">
        <f ca="1"/>
        <v>Pedro</v>
      </c>
      <c r="L204" s="30">
        <f ca="1"/>
        <v>525573311405</v>
      </c>
      <c r="M204" s="30" t="str">
        <f ca="1"/>
        <v>pedroclasic@gmail.com</v>
      </c>
      <c r="N204" s="30" t="str">
        <f ca="1"/>
        <v>ayudante</v>
      </c>
      <c r="O204" s="30" t="str">
        <f ca="1"/>
        <v>mi testimonio fue que me reencontré con un amigo mío el cual me enseño de la palabra de dios ya que estaba metido en malos pasos y empecé a creer en nuestro señor y salvador que es dios</v>
      </c>
      <c r="P204" s="30" t="str">
        <f ca="1"/>
        <v>Para apoyar en los diferentes capos para que pv reciba mas invitados</v>
      </c>
      <c r="Q204" s="30" t="str">
        <f ca="1"/>
        <v>No</v>
      </c>
      <c r="R204" s="30">
        <v>0</v>
      </c>
      <c r="S204" s="30" t="str">
        <f ca="1"/>
        <v>Si</v>
      </c>
      <c r="T204" s="30" t="str">
        <f ca="1"/>
        <v>Corneta</v>
      </c>
      <c r="U204" s="30" t="str">
        <f ca="1"/>
        <v>Diseño grafico</v>
      </c>
      <c r="V204" s="30" t="str">
        <f ca="1"/>
        <v>Soy un diseñador grafico con el 70% de experiencia en ese campo</v>
      </c>
      <c r="W204" s="16" t="str">
        <f ca="1"/>
        <v>B. Me gusta animar a las personas, K. Soy creativo (a), O. Puedo enseñar con facilidad</v>
      </c>
      <c r="X204" s="16" t="str">
        <f ca="1"/>
        <v>el año pasado 2024</v>
      </c>
      <c r="Y204" s="30">
        <v>0</v>
      </c>
      <c r="Z204" s="23" t="s">
        <v>51</v>
      </c>
      <c r="AA204" s="23"/>
      <c r="AB204" s="23"/>
      <c r="AC204" s="23"/>
      <c r="AD204" s="23"/>
      <c r="AE204" s="23" t="s">
        <v>50</v>
      </c>
      <c r="AF204" s="23"/>
      <c r="AG204" s="23"/>
      <c r="AH204" s="23"/>
      <c r="AI204" s="23"/>
      <c r="AJ204" s="16"/>
      <c r="AK204" s="16"/>
      <c r="AL204" s="17"/>
    </row>
    <row r="205" spans="1:38" ht="12.75" x14ac:dyDescent="0.35">
      <c r="A205" s="9">
        <v>204</v>
      </c>
      <c r="B205" s="30" t="str">
        <f ca="1"/>
        <v>Zahid Jabneel, Mendez Collado</v>
      </c>
      <c r="C205" s="31">
        <f ca="1"/>
        <v>19</v>
      </c>
      <c r="D205" s="30" t="str">
        <f ca="1"/>
        <v>Hombre</v>
      </c>
      <c r="E205" s="30" t="str">
        <f ca="1"/>
        <v>Veracruz, Mexico</v>
      </c>
      <c r="F205" s="30" t="str">
        <f ca="1"/>
        <v>zajmendez7@gmail.com</v>
      </c>
      <c r="G205" s="30">
        <f ca="1"/>
        <v>522721230275</v>
      </c>
      <c r="H205" s="30" t="str">
        <f ca="1"/>
        <v>Semana de niños y niñas (21-25) Julio, Jóvenes de 13 – 17 años / SEM1/ (28 Julio a 02 de agosto)</v>
      </c>
      <c r="I205" s="30" t="str">
        <f ca="1"/>
        <v>La Buena Parte</v>
      </c>
      <c r="J205" s="30" t="str">
        <f ca="1"/>
        <v>El Sembrador</v>
      </c>
      <c r="K205" s="30" t="str">
        <f ca="1"/>
        <v>Alejandro Garcia Pereza</v>
      </c>
      <c r="L205" s="30">
        <f ca="1"/>
        <v>522721390989</v>
      </c>
      <c r="M205" s="30" t="str">
        <f ca="1"/>
        <v>pinwuinol@gmail.com</v>
      </c>
      <c r="N205" s="30" t="str">
        <f ca="1"/>
        <v>Maestro Escuelita Biblica</v>
      </c>
      <c r="O205" s="30" t="str">
        <f ca="1"/>
        <v>Mis papás desde pequeño mi unducieron en el camino del Señor, y conforme he crecido he aprendido mas de Dios de tal forma que lo que hago para Dios y lo que creo para mi ya no es una simple religion, sino un estilo de vida porque en varias ocasiones he visto y sentido la mano de Dios obrando en mi vida</v>
      </c>
      <c r="P205" s="30" t="str">
        <f ca="1"/>
        <v>Desde hace 2 años habia querido venir al campamento, pero por varias circunstancias no habia podido, me contaron de servir como campero y quize venir a servir, pero me dijeron que  no podia si no habia sido campero, gracias a Dios ya fui campero y me permite el venir a servirle</v>
      </c>
      <c r="Q205" s="30" t="str">
        <f ca="1"/>
        <v>Si</v>
      </c>
      <c r="R205" s="30" t="str">
        <f ca="1"/>
        <v>Senderismo</v>
      </c>
      <c r="S205" s="30" t="str">
        <f ca="1"/>
        <v>No</v>
      </c>
      <c r="T205" s="30">
        <v>0</v>
      </c>
      <c r="U205" s="30" t="str">
        <f ca="1"/>
        <v>Ingenieria Quimica</v>
      </c>
      <c r="V205" s="30" t="str">
        <f ca="1"/>
        <v>Se me da mucho la creatividad, el relatar una historia o explicar algo igual, se me da muy bien las manualidades, soy atento y se dibujar</v>
      </c>
      <c r="W205" s="16" t="str">
        <f ca="1"/>
        <v>B. Me gusta animar a las personas, C. Suelo buscar que el trabajo se realice en equipo, E. Me gusta el trabajo con niños, J. Me gusta la atención a las personas, K. Soy creativo (a), L. Soy bueno (a) en canto o algún instrumento, M. Soy bueno (a) con los números, N. Suelo llevar el liderazgo en un grupo, O. Puedo enseñar con facilidad</v>
      </c>
      <c r="X205" s="16" t="str">
        <f ca="1"/>
        <v>Sip, en 2025</v>
      </c>
      <c r="Y205" s="30">
        <v>0</v>
      </c>
      <c r="Z205" s="23" t="s">
        <v>51</v>
      </c>
      <c r="AA205" s="23"/>
      <c r="AB205" s="23"/>
      <c r="AC205" s="23"/>
      <c r="AD205" s="23"/>
      <c r="AE205" s="23" t="s">
        <v>45</v>
      </c>
      <c r="AF205" s="23"/>
      <c r="AG205" s="23"/>
      <c r="AH205" s="23"/>
      <c r="AI205" s="23"/>
      <c r="AJ205" s="16"/>
      <c r="AK205" s="16"/>
      <c r="AL205" s="17"/>
    </row>
    <row r="206" spans="1:38" ht="12.75" x14ac:dyDescent="0.35">
      <c r="A206" s="9">
        <v>205</v>
      </c>
      <c r="B206" s="30" t="str">
        <f ca="1"/>
        <v>Mia, Mendoza Trujillo</v>
      </c>
      <c r="C206" s="31">
        <f ca="1"/>
        <v>19</v>
      </c>
      <c r="D206" s="30" t="str">
        <f ca="1"/>
        <v>Mujer</v>
      </c>
      <c r="E206" s="30" t="str">
        <f ca="1"/>
        <v>Veracruz, Mexico</v>
      </c>
      <c r="F206" s="30" t="str">
        <f ca="1"/>
        <v>trujilomia@gmail.com</v>
      </c>
      <c r="G206" s="30">
        <f ca="1"/>
        <v>522721539731</v>
      </c>
      <c r="H206" s="30" t="str">
        <f ca="1"/>
        <v>Semana de niños y niñas (21-25) Julio, Jóvenes de 13 – 17 años / SEM1/ (28 Julio a 02 de agosto)</v>
      </c>
      <c r="I206" s="30" t="str">
        <f ca="1"/>
        <v>Glorify</v>
      </c>
      <c r="J206" s="30" t="str">
        <f ca="1"/>
        <v>Casa del Rey</v>
      </c>
      <c r="K206" s="30" t="str">
        <f ca="1"/>
        <v>Martha Luquez</v>
      </c>
      <c r="L206" s="30">
        <f ca="1"/>
        <v>522721008946</v>
      </c>
      <c r="M206" s="30" t="str">
        <f ca="1"/>
        <v>Marthaluques21@me.com</v>
      </c>
      <c r="N206" s="30" t="str">
        <f ca="1"/>
        <v>Servir en área juvenil</v>
      </c>
      <c r="O206" s="30" t="str">
        <f ca="1"/>
        <v>Cuando era pequeña iba a la iglesia con mis abuelitos, conforme fui creciendo yo comencé a ir porque quería conocer a Dios, iba yo sola ya q mi mamá no quería ir, después de tiempo mi tío siempre me llevaba a todos los eventos de la iglesia. Acepté a Cristo a la edad de 13 años, quiero seguir conociendo a Cristo, sin duda me ha mostrado muchas cosas</v>
      </c>
      <c r="P206" s="30" t="str">
        <f ca="1"/>
        <v>Se que ahora soy parte del reino, tengo q servir a Dios y me gustaría aprovechar esta oportunidad porque sé q todo es de corazón y para el creador</v>
      </c>
      <c r="Q206" s="30" t="str">
        <f ca="1"/>
        <v>Si</v>
      </c>
      <c r="R206" s="30" t="str">
        <f ca="1"/>
        <v>Crossfit y gym</v>
      </c>
      <c r="S206" s="30" t="str">
        <f ca="1"/>
        <v>No</v>
      </c>
      <c r="T206" s="30">
        <v>0</v>
      </c>
      <c r="U206" s="30" t="str">
        <f ca="1"/>
        <v>Este año entro a ingeniería química en UV</v>
      </c>
      <c r="V206" s="30" t="str">
        <f ca="1"/>
        <v>Cocinar, ayudar a niños, manualidades, bailar</v>
      </c>
      <c r="W206" s="16" t="str">
        <f ca="1"/>
        <v>A. Soy un discipulador activo, B. Me gusta animar a las personas, E. Me gusta el trabajo con niños, H. Soy organizado (a), J. Me gusta la atención a las personas, K. Soy creativo (a)</v>
      </c>
      <c r="X206" s="16" t="str">
        <f ca="1"/>
        <v>Si, 2016, 2017,2020,2025</v>
      </c>
      <c r="Y206" s="30">
        <v>0</v>
      </c>
      <c r="Z206" s="23" t="s">
        <v>51</v>
      </c>
      <c r="AA206" s="23"/>
      <c r="AB206" s="23"/>
      <c r="AC206" s="23"/>
      <c r="AD206" s="23"/>
      <c r="AE206" s="23" t="s">
        <v>25</v>
      </c>
      <c r="AF206" s="23"/>
      <c r="AG206" s="23"/>
      <c r="AH206" s="23"/>
      <c r="AI206" s="23"/>
      <c r="AJ206" s="16"/>
      <c r="AK206" s="16"/>
      <c r="AL206" s="17"/>
    </row>
    <row r="207" spans="1:38" ht="12.75" x14ac:dyDescent="0.35">
      <c r="A207" s="9">
        <v>206</v>
      </c>
      <c r="B207" s="30" t="str">
        <f ca="1"/>
        <v>Nelly, González Ramos</v>
      </c>
      <c r="C207" s="31">
        <f ca="1"/>
        <v>26</v>
      </c>
      <c r="D207" s="30" t="str">
        <f ca="1"/>
        <v>Mujer</v>
      </c>
      <c r="E207" s="30" t="str">
        <f ca="1"/>
        <v>Puebla, Mexico</v>
      </c>
      <c r="F207" s="30" t="str">
        <f ca="1"/>
        <v>nelglez07@gmail.com</v>
      </c>
      <c r="G207" s="30">
        <f ca="1"/>
        <v>522711049617</v>
      </c>
      <c r="H207" s="30" t="str">
        <f ca="1"/>
        <v>Jóvenes de 13 – 17 años / SEM2/ (4 - 09 agosto)</v>
      </c>
      <c r="I207" s="30" t="str">
        <f ca="1"/>
        <v>Enseñarás el buen camino-El Sembrador</v>
      </c>
      <c r="J207" s="30" t="str">
        <f ca="1"/>
        <v>Iglesia Zozutla Poniente</v>
      </c>
      <c r="K207" s="30" t="str">
        <f ca="1"/>
        <v>Gamaliel González González</v>
      </c>
      <c r="L207" s="30">
        <f ca="1"/>
        <v>522371082113</v>
      </c>
      <c r="M207" s="30" t="str">
        <f ca="1"/>
        <v>gamitaglez@gmail.com</v>
      </c>
      <c r="N207" s="30" t="str">
        <f ca="1"/>
        <v>Alabanza, enseñanza a párvulos</v>
      </c>
      <c r="O207" s="30" t="str">
        <f ca="1"/>
        <v>Nací en cuna cristiana, toda mi vida he asistido a la iglesia, nunca me obligaron a ir pero realmente asistía por costumbre, nunca fui intencional. 
Cuando tenía 15 años a mi papá le detectaron cancer en el esófago en segunda etapa, no le daban esperanzas de vida, en ese momento afirmé mi fe por la necesidad que tenía, mi único consuelo y refugio fue nuestro Señor y hoy puedo decir con toda confianza que uno de sus grandes propósitos fue atraerme hacia Él.</v>
      </c>
      <c r="P207" s="30" t="str">
        <f ca="1"/>
        <v>He asistido anteriormente como campera pero también me gusta servir y siempre he tenido el deseo de desarrollar un servicio allá</v>
      </c>
      <c r="Q207" s="30" t="str">
        <f ca="1"/>
        <v>No</v>
      </c>
      <c r="R207" s="30">
        <v>0</v>
      </c>
      <c r="S207" s="30" t="str">
        <f ca="1"/>
        <v>Si</v>
      </c>
      <c r="T207" s="30" t="str">
        <f ca="1"/>
        <v>Ukulele</v>
      </c>
      <c r="U207" s="30" t="str">
        <f ca="1"/>
        <v>Ya terminé mis estudios de licenciatura</v>
      </c>
      <c r="V207" s="30" t="str">
        <f ca="1"/>
        <v>Licenciatura en educación primaria</v>
      </c>
      <c r="W207" s="16" t="str">
        <f ca="1"/>
        <v>E. Me gusta el trabajo con niños, H. Soy organizado (a), I. Se me facilita el trabajo físico, J. Me gusta la atención a las personas, K. Soy creativo (a), L. Soy bueno (a) en canto o algún instrumento, N. Suelo llevar el liderazgo en un grupo, O. Puedo enseñar con facilidad</v>
      </c>
      <c r="X207" s="16" t="str">
        <f ca="1"/>
        <v>2021, 2022</v>
      </c>
      <c r="Y207" s="30">
        <v>0</v>
      </c>
      <c r="Z207" s="23" t="s">
        <v>51</v>
      </c>
      <c r="AA207" s="23"/>
      <c r="AB207" s="23"/>
      <c r="AC207" s="23"/>
      <c r="AD207" s="23"/>
      <c r="AE207" s="23" t="s">
        <v>25</v>
      </c>
      <c r="AF207" s="23"/>
      <c r="AG207" s="23"/>
      <c r="AH207" s="23"/>
      <c r="AI207" s="23"/>
      <c r="AJ207" s="16"/>
      <c r="AK207" s="16"/>
      <c r="AL207" s="17"/>
    </row>
    <row r="208" spans="1:38" ht="12.75" x14ac:dyDescent="0.35">
      <c r="A208" s="45">
        <v>207</v>
      </c>
      <c r="B208" s="34" t="str">
        <f ca="1"/>
        <v>Senastian, Mora Mendoza</v>
      </c>
      <c r="C208" s="35">
        <f ca="1"/>
        <v>17</v>
      </c>
      <c r="D208" s="34" t="str">
        <f ca="1"/>
        <v>Hombre</v>
      </c>
      <c r="E208" s="34" t="str">
        <f ca="1"/>
        <v>Queretaro, Mexico</v>
      </c>
      <c r="F208" s="34" t="str">
        <f ca="1"/>
        <v>basticmora@gmail.com</v>
      </c>
      <c r="G208" s="34">
        <f ca="1"/>
        <v>524461695000</v>
      </c>
      <c r="H208" s="34" t="str">
        <f ca="1"/>
        <v>Jóvenes de 13 – 17 años / SEM1/ (28 Julio a 02 de agosto)</v>
      </c>
      <c r="I208" s="34" t="str">
        <f ca="1"/>
        <v>Biblia</v>
      </c>
      <c r="J208" s="34" t="str">
        <f ca="1"/>
        <v>MVI</v>
      </c>
      <c r="K208" s="34" t="str">
        <f ca="1"/>
        <v>Ninguno</v>
      </c>
      <c r="L208" s="34">
        <f ca="1"/>
        <v>527777777777</v>
      </c>
      <c r="M208" s="34" t="str">
        <f ca="1"/>
        <v>pastor@gmail.com</v>
      </c>
      <c r="N208" s="34" t="str">
        <f ca="1"/>
        <v>Oyente</v>
      </c>
      <c r="O208" s="34" t="str">
        <f ca="1"/>
        <v>En la fogata, Dios tocó mi corazón en mi primera vez en el campamento</v>
      </c>
      <c r="P208" s="34" t="str">
        <f ca="1"/>
        <v>Me encanta el campamento, y me encantaría ser parte de él, y por recomendación de amigos</v>
      </c>
      <c r="Q208" s="34" t="str">
        <f ca="1"/>
        <v>No</v>
      </c>
      <c r="R208" s="34">
        <v>0</v>
      </c>
      <c r="S208" s="34" t="str">
        <f ca="1"/>
        <v>No</v>
      </c>
      <c r="T208" s="34">
        <v>0</v>
      </c>
      <c r="U208" s="34" t="str">
        <f ca="1"/>
        <v>Preparatoria</v>
      </c>
      <c r="V208" s="34" t="str">
        <f ca="1"/>
        <v>Adaptabilidad</v>
      </c>
      <c r="W208" s="36" t="str">
        <f ca="1"/>
        <v>F. Soy eficiente en el trabajo con herramientas, equipos y maquinarias, G. Soy más eficiente en el trabajo individual, H. Soy organizado (a), I. Se me facilita el trabajo físico, J. Me gusta la atención a las personas</v>
      </c>
      <c r="X208" s="36" t="str">
        <f ca="1"/>
        <v>Desde 2019</v>
      </c>
      <c r="Y208" s="34">
        <v>0</v>
      </c>
      <c r="Z208" s="37" t="s">
        <v>51</v>
      </c>
      <c r="AA208" s="37"/>
      <c r="AB208" s="37"/>
      <c r="AC208" s="37"/>
      <c r="AD208" s="37"/>
      <c r="AE208" s="37"/>
      <c r="AF208" s="37"/>
      <c r="AG208" s="23"/>
      <c r="AH208" s="23" t="s">
        <v>28</v>
      </c>
      <c r="AI208" s="23"/>
      <c r="AJ208" s="16"/>
      <c r="AK208" s="16"/>
      <c r="AL208" s="17"/>
    </row>
    <row r="209" spans="1:38" ht="12.75" x14ac:dyDescent="0.35">
      <c r="A209" s="9">
        <v>208</v>
      </c>
      <c r="B209" s="47" t="str">
        <f ca="1"/>
        <v>Fernando, Quiñones</v>
      </c>
      <c r="C209" s="48">
        <f ca="1"/>
        <v>31</v>
      </c>
      <c r="D209" s="47" t="str">
        <f ca="1"/>
        <v>Hombre</v>
      </c>
      <c r="E209" s="47" t="str">
        <f ca="1"/>
        <v>Cuba, Cuba</v>
      </c>
      <c r="F209" s="47" t="str">
        <f ca="1"/>
        <v>bernaladventures@gmail.com</v>
      </c>
      <c r="G209" s="47">
        <f ca="1"/>
        <v>5354850715</v>
      </c>
      <c r="H209" s="47" t="str">
        <f ca="1"/>
        <v>Semana de niños y niñas (21-25) Julio, Jóvenes de 13 – 17 años / SEM1/ (28 Julio a 02 de agosto)</v>
      </c>
      <c r="I209" s="47" t="str">
        <f ca="1"/>
        <v>mmmm</v>
      </c>
      <c r="J209" s="47" t="str">
        <f ca="1"/>
        <v>mmmm</v>
      </c>
      <c r="K209" s="47" t="str">
        <f ca="1"/>
        <v>Maikel</v>
      </c>
      <c r="L209" s="47">
        <f ca="1"/>
        <v>525542142329</v>
      </c>
      <c r="M209" s="47" t="str">
        <f ca="1"/>
        <v>maikelclimb@gmail.com</v>
      </c>
      <c r="N209" s="47" t="str">
        <f ca="1"/>
        <v>mmm</v>
      </c>
      <c r="O209" s="47" t="str">
        <f ca="1"/>
        <v>mmmm</v>
      </c>
      <c r="P209" s="47" t="str">
        <f ca="1"/>
        <v>mmm</v>
      </c>
      <c r="Q209" s="47" t="str">
        <f ca="1"/>
        <v>Si</v>
      </c>
      <c r="R209" s="47" t="str">
        <f ca="1"/>
        <v>escalada</v>
      </c>
      <c r="S209" s="47" t="str">
        <f ca="1"/>
        <v>No</v>
      </c>
      <c r="T209" s="47">
        <v>0</v>
      </c>
      <c r="U209" s="47" t="str">
        <f ca="1"/>
        <v>escalada</v>
      </c>
      <c r="V209" s="47" t="str">
        <f ca="1"/>
        <v>escalada</v>
      </c>
      <c r="W209" s="49" t="str">
        <f ca="1"/>
        <v>D. Me gustan los deportes</v>
      </c>
      <c r="X209" s="49" t="str">
        <f ca="1"/>
        <v>no</v>
      </c>
      <c r="Y209" s="47">
        <v>0</v>
      </c>
      <c r="Z209" s="23" t="s">
        <v>51</v>
      </c>
      <c r="AA209" s="23"/>
      <c r="AB209" s="23"/>
      <c r="AC209" s="23"/>
      <c r="AD209" s="23"/>
      <c r="AE209" s="23" t="s">
        <v>50</v>
      </c>
      <c r="AF209" s="23"/>
      <c r="AG209" s="23"/>
      <c r="AH209" s="23"/>
      <c r="AI209" s="23"/>
      <c r="AJ209" s="16"/>
      <c r="AK209" s="16"/>
      <c r="AL209" s="17"/>
    </row>
    <row r="210" spans="1:38" ht="12.75" x14ac:dyDescent="0.35">
      <c r="A210" s="9">
        <v>209</v>
      </c>
      <c r="B210" s="30" t="str">
        <f ca="1"/>
        <v>Jessica Estela, Macías Monroy</v>
      </c>
      <c r="C210" s="31">
        <f ca="1"/>
        <v>18</v>
      </c>
      <c r="D210" s="30" t="str">
        <f ca="1"/>
        <v>Mujer</v>
      </c>
      <c r="E210" s="30" t="str">
        <f ca="1"/>
        <v>Mexico City, Mexico</v>
      </c>
      <c r="F210" s="30" t="str">
        <f ca="1"/>
        <v>jessiejemm@icloud.com</v>
      </c>
      <c r="G210" s="30">
        <f ca="1"/>
        <v>525567459416</v>
      </c>
      <c r="H210" s="30" t="str">
        <f ca="1"/>
        <v>Semana de niños y niñas (21-25) Julio</v>
      </c>
      <c r="I210" s="30" t="str">
        <f ca="1"/>
        <v>la Biblia</v>
      </c>
      <c r="J210" s="30" t="str">
        <f ca="1"/>
        <v>Semilla de Mostaza Sta. Mónica</v>
      </c>
      <c r="K210" s="30" t="str">
        <f ca="1"/>
        <v>David Silva</v>
      </c>
      <c r="L210" s="30">
        <f ca="1"/>
        <v>525565242964</v>
      </c>
      <c r="M210" s="30" t="str">
        <f ca="1"/>
        <v>davidsigaet@gmail.com</v>
      </c>
      <c r="N210" s="30" t="str">
        <f ca="1"/>
        <v>servicio general</v>
      </c>
      <c r="O210" s="30" t="str">
        <f ca="1"/>
        <v>nací en “cuna cristiana” pero hasta que cumplí 15 años fue cuando conscientemente acepté a Cristo como mi Salvador, ese mismo año me bauticé pero no me sentía como cristiana, había veces que lo ocultaba para encajar, fue el año pasado cuándo me ocurrió un accidente en mi pierna aquí en campamento y todo lo que había aprendido en las prédicas me hizo cambiar mi forma de ver las cosas, poner en prioridad a Dios y entender que son sus propósitos y no los míos, en en esa fogata consagré mi vida a Dios</v>
      </c>
      <c r="P210" s="30" t="str">
        <f ca="1"/>
        <v>pienso firmemente que el propósito de Dios para mi vida es estar en el ministerio de servicio, y entre más paso tiempo caminando con Dios me doy cuenta de lo mucho que me gustar estar de lleno en el ministerio</v>
      </c>
      <c r="Q210" s="30" t="str">
        <f ca="1"/>
        <v>Si</v>
      </c>
      <c r="R210" s="30" t="str">
        <f ca="1"/>
        <v>basketball, volleyball, y tochi</v>
      </c>
      <c r="S210" s="30" t="str">
        <f ca="1"/>
        <v>Si</v>
      </c>
      <c r="T210" s="30" t="str">
        <f ca="1"/>
        <v>piano</v>
      </c>
      <c r="U210" s="30" t="str">
        <f ca="1"/>
        <v>estudio la preparatoria en el sistema ACE</v>
      </c>
      <c r="V210" s="30" t="str">
        <f ca="1"/>
        <v>soy buena artista y eficiente en aprender cualquier cosa</v>
      </c>
      <c r="W210" s="16" t="str">
        <f ca="1"/>
        <v>B. Me gusta animar a las personas, C. Suelo buscar que el trabajo se realice en equipo, D. Me gustan los deportes, E. Me gusta el trabajo con niños, K. Soy creativo (a), N. Suelo llevar el liderazgo en un grupo</v>
      </c>
      <c r="X210" s="16" t="str">
        <f ca="1"/>
        <v>2023, 2024 y 2025</v>
      </c>
      <c r="Y210" s="30">
        <v>0</v>
      </c>
      <c r="Z210" s="23" t="s">
        <v>51</v>
      </c>
      <c r="AA210" s="23"/>
      <c r="AB210" s="23"/>
      <c r="AC210" s="23"/>
      <c r="AD210" s="23"/>
      <c r="AE210" s="23" t="s">
        <v>25</v>
      </c>
      <c r="AF210" s="23"/>
      <c r="AG210" s="23"/>
      <c r="AH210" s="23"/>
      <c r="AI210" s="23"/>
      <c r="AJ210" s="16"/>
      <c r="AK210" s="16"/>
      <c r="AL210" s="17"/>
    </row>
    <row r="211" spans="1:38" ht="12.75" x14ac:dyDescent="0.35">
      <c r="A211" s="9">
        <v>210</v>
      </c>
      <c r="B211" s="30" t="str">
        <f ca="1"/>
        <v>Sofía Airam, Arellano Ortiz</v>
      </c>
      <c r="C211" s="31">
        <f ca="1"/>
        <v>20</v>
      </c>
      <c r="D211" s="30" t="str">
        <f ca="1"/>
        <v>Mujer</v>
      </c>
      <c r="E211" s="30" t="str">
        <f ca="1"/>
        <v>Jalisco, Mexico</v>
      </c>
      <c r="F211" s="30" t="str">
        <f ca="1"/>
        <v>sofiairam11@gmail.com</v>
      </c>
      <c r="G211" s="30">
        <f ca="1"/>
        <v>524436957334</v>
      </c>
      <c r="H211" s="30" t="str">
        <f ca="1"/>
        <v>Semana de niños y niñas (21-25) Julio</v>
      </c>
      <c r="I211" s="30" t="str">
        <f ca="1"/>
        <v>Job: confiar en Dios en nuestro sufrimiento</v>
      </c>
      <c r="J211" s="30" t="str">
        <f ca="1"/>
        <v>Vida Guadalajara</v>
      </c>
      <c r="K211" s="30" t="str">
        <f ca="1"/>
        <v>Neftalí Rubio</v>
      </c>
      <c r="L211" s="30">
        <f ca="1"/>
        <v>524411036024</v>
      </c>
      <c r="M211" s="30" t="str">
        <f ca="1"/>
        <v>nefaly@gmail.com</v>
      </c>
      <c r="N211" s="30" t="str">
        <f ca="1"/>
        <v>Alabanza y grupo de Jovenes</v>
      </c>
      <c r="O211" s="30" t="str">
        <f ca="1"/>
        <v>Crecí en una casa donde mi mamá era Cristiana pero mi papá no, esto llevó a un conflicto de Fe en el que mis padres actuaban de manera distinta, cada uno con ideas sobre como debería de ser la vida. Crezco influenciada mayormente por mi mamá pero todo se vuelve difícil en la adolescencia, hasta que después de un intento de suicidio fallido Dios me llama a ser su hija y a creer en sus promesas, y ahora soy salva y siempre con unos brazos a dónde regresar</v>
      </c>
      <c r="P211" s="30" t="str">
        <f ca="1"/>
        <v>En este campamento Dios me llamó a despertar a ser activa en su obra y a seguir trabajando en mis dones, a ver hacia aquellos que siguen antes despues de nosotros.</v>
      </c>
      <c r="Q211" s="30" t="str">
        <f ca="1"/>
        <v>No</v>
      </c>
      <c r="R211" s="30">
        <v>0</v>
      </c>
      <c r="S211" s="30" t="str">
        <f ca="1"/>
        <v>Si</v>
      </c>
      <c r="T211" s="30" t="str">
        <f ca="1"/>
        <v>Canto</v>
      </c>
      <c r="U211" s="30" t="str">
        <f ca="1"/>
        <v>Música en la ciudad de Guadalajara, en la universidad de esta misma ciudad</v>
      </c>
      <c r="V211" s="30" t="str">
        <f ca="1"/>
        <v>Soy maestra de música de niños y adultos, por lo que la paciencia y la facilidad para expresar lo que se busca es algo que se encuentra, además de activa y comprensiva</v>
      </c>
      <c r="W211" s="16" t="str">
        <f ca="1"/>
        <v>B. Me gusta animar a las personas, E. Me gusta el trabajo con niños, J. Me gusta la atención a las personas, K. Soy creativo (a), L. Soy bueno (a) en canto o algún instrumento, O. Puedo enseñar con facilidad</v>
      </c>
      <c r="X211" s="16" t="str">
        <f ca="1"/>
        <v>Justo en 2025, eternos</v>
      </c>
      <c r="Y211" s="30">
        <v>0</v>
      </c>
      <c r="Z211" s="23" t="s">
        <v>51</v>
      </c>
      <c r="AA211" s="23"/>
      <c r="AB211" s="23"/>
      <c r="AC211" s="23"/>
      <c r="AD211" s="23"/>
      <c r="AE211" s="23" t="s">
        <v>25</v>
      </c>
      <c r="AF211" s="23"/>
      <c r="AG211" s="23"/>
      <c r="AH211" s="23"/>
      <c r="AI211" s="23"/>
      <c r="AJ211" s="16"/>
      <c r="AK211" s="16"/>
      <c r="AL211" s="17"/>
    </row>
    <row r="212" spans="1:38" ht="12.75" x14ac:dyDescent="0.35">
      <c r="A212" s="9">
        <v>211</v>
      </c>
      <c r="B212" s="30" t="str">
        <f ca="1"/>
        <v>Casandra Nohemí, Serra Hernández</v>
      </c>
      <c r="C212" s="31">
        <f ca="1"/>
        <v>23</v>
      </c>
      <c r="D212" s="30" t="str">
        <f ca="1"/>
        <v>Mujer</v>
      </c>
      <c r="E212" s="30" t="str">
        <f ca="1"/>
        <v>Mexico, Mexico</v>
      </c>
      <c r="F212" s="30" t="str">
        <f ca="1"/>
        <v>casandrabaez0209@gmail.com</v>
      </c>
      <c r="G212" s="30">
        <f ca="1"/>
        <v>525582139007</v>
      </c>
      <c r="H212" s="30" t="str">
        <f ca="1"/>
        <v>Jóvenes de 13 – 17 años / SEM2/ (4 - 09 agosto), Jóvenes de 13 – 17 años / SEM3/ (11 - 16 agosto)</v>
      </c>
      <c r="I212" s="30" t="str">
        <f ca="1"/>
        <v>Decisiones que transforman</v>
      </c>
      <c r="J212" s="30" t="str">
        <f ca="1"/>
        <v>Iglesia cristiana de la gracia</v>
      </c>
      <c r="K212" s="30" t="str">
        <f ca="1"/>
        <v>Toño Ortega</v>
      </c>
      <c r="L212" s="30">
        <f ca="1"/>
        <v>525530807649</v>
      </c>
      <c r="M212" s="30" t="str">
        <f ca="1"/>
        <v>Toga87@Prodiyi.net.mx</v>
      </c>
      <c r="N212" s="30" t="str">
        <f ca="1"/>
        <v>Cuneros</v>
      </c>
      <c r="O212" s="30" t="str">
        <f ca="1"/>
        <v>En el 2019 como equipante Dios usó a Charito quien me compartió el evangelio y tomé la decisión de cambiar mi vida</v>
      </c>
      <c r="P212" s="30" t="str">
        <f ca="1"/>
        <v>Porque sé que se necesita apoyo</v>
      </c>
      <c r="Q212" s="30" t="str">
        <f ca="1"/>
        <v>No</v>
      </c>
      <c r="R212" s="30">
        <v>0</v>
      </c>
      <c r="S212" s="30" t="str">
        <f ca="1"/>
        <v>No</v>
      </c>
      <c r="T212" s="30">
        <v>0</v>
      </c>
      <c r="U212" s="30" t="str">
        <f ca="1"/>
        <v>La universidad</v>
      </c>
      <c r="V212" s="30" t="str">
        <f ca="1"/>
        <v>;)</v>
      </c>
      <c r="W212" s="16" t="str">
        <f ca="1"/>
        <v>G. Soy más eficiente en el trabajo individual</v>
      </c>
      <c r="X212" s="16" t="str">
        <f ca="1"/>
        <v>Del 2013-2018</v>
      </c>
      <c r="Y212" s="30">
        <v>0</v>
      </c>
      <c r="Z212" s="23" t="s">
        <v>51</v>
      </c>
      <c r="AA212" s="23"/>
      <c r="AB212" s="23"/>
      <c r="AC212" s="23"/>
      <c r="AD212" s="23"/>
      <c r="AE212" s="23" t="s">
        <v>25</v>
      </c>
      <c r="AF212" s="23"/>
      <c r="AG212" s="23"/>
      <c r="AH212" s="23"/>
      <c r="AI212" s="23"/>
      <c r="AJ212" s="16"/>
      <c r="AK212" s="16"/>
      <c r="AL212" s="17"/>
    </row>
    <row r="213" spans="1:38" ht="12.75" x14ac:dyDescent="0.35">
      <c r="A213" s="9">
        <v>212</v>
      </c>
      <c r="B213" s="30" t="str">
        <f ca="1"/>
        <v>Ailany, Aguilar Segovia</v>
      </c>
      <c r="C213" s="31">
        <f ca="1"/>
        <v>18</v>
      </c>
      <c r="D213" s="30" t="str">
        <f ca="1"/>
        <v>Mujer</v>
      </c>
      <c r="E213" s="30" t="str">
        <f ca="1"/>
        <v>Queretaro, Mexico</v>
      </c>
      <c r="F213" s="30" t="str">
        <f ca="1"/>
        <v>lanyasego@gmail.com</v>
      </c>
      <c r="G213" s="30">
        <f ca="1"/>
        <v>524412521563</v>
      </c>
      <c r="H213" s="30" t="str">
        <f ca="1"/>
        <v>Semana de niños y niñas (21-25) Julio, Jóvenes de 13 – 17 años / SEM2/ (4 - 09 agosto)</v>
      </c>
      <c r="I213" s="30" t="str">
        <f ca="1"/>
        <v>Diario de una joven conforme al corazón de Dios</v>
      </c>
      <c r="J213" s="30" t="str">
        <f ca="1"/>
        <v>Horizonte Tequisquiapan</v>
      </c>
      <c r="K213" s="30" t="str">
        <f ca="1"/>
        <v>Víctor Hugo Ventura Vázquez</v>
      </c>
      <c r="L213" s="30">
        <f ca="1"/>
        <v>524422301269</v>
      </c>
      <c r="M213" s="30" t="str">
        <f ca="1"/>
        <v>venturahugo10@gmail.com</v>
      </c>
      <c r="N213" s="30" t="str">
        <f ca="1"/>
        <v>por el momento no sirvo en la igleisa</v>
      </c>
      <c r="O213" s="30" t="str">
        <f ca="1"/>
        <v>Mis papás se divorciaron y años después de volvieron a casar, a partir de eso pude ver que Dios es necesario y debe ser la base de nuestras vidas, que es necesario entregarle todo el control.</v>
      </c>
      <c r="P213" s="30" t="str">
        <f ca="1"/>
        <v>Disfruto mucho el campamento y me gustaría apoyar y servir a Dios</v>
      </c>
      <c r="Q213" s="30" t="str">
        <f ca="1"/>
        <v>No</v>
      </c>
      <c r="R213" s="30">
        <v>0</v>
      </c>
      <c r="S213" s="30" t="str">
        <f ca="1"/>
        <v>Si</v>
      </c>
      <c r="T213" s="30" t="str">
        <f ca="1"/>
        <v>Violín y acordeón</v>
      </c>
      <c r="U213" s="30" t="str">
        <f ca="1"/>
        <v>Licenciatura en educación primaria</v>
      </c>
      <c r="V213" s="30" t="str">
        <f ca="1"/>
        <v>Maestra de la ECM</v>
      </c>
      <c r="W213" s="16" t="str">
        <f ca="1"/>
        <v>B. Me gusta animar a las personas, E. Me gusta el trabajo con niños, H. Soy organizado (a), J. Me gusta la atención a las personas, K. Soy creativo (a), L. Soy bueno (a) en canto o algún instrumento, O. Puedo enseñar con facilidad</v>
      </c>
      <c r="X213" s="16" t="str">
        <f ca="1"/>
        <v>Desde 2022</v>
      </c>
      <c r="Y213" s="30">
        <v>0</v>
      </c>
      <c r="Z213" s="23" t="s">
        <v>51</v>
      </c>
      <c r="AA213" s="23"/>
      <c r="AB213" s="23"/>
      <c r="AC213" s="23"/>
      <c r="AD213" s="23"/>
      <c r="AE213" s="23" t="s">
        <v>26</v>
      </c>
      <c r="AF213" s="23"/>
      <c r="AG213" s="23"/>
      <c r="AH213" s="23"/>
      <c r="AI213" s="23" t="s">
        <v>25</v>
      </c>
      <c r="AJ213" s="16"/>
      <c r="AK213" s="16"/>
      <c r="AL213" s="17"/>
    </row>
    <row r="214" spans="1:38" ht="12.75" x14ac:dyDescent="0.35">
      <c r="A214" s="9">
        <v>213</v>
      </c>
      <c r="B214" s="30" t="str">
        <f ca="1"/>
        <v>Diana Alejandra, Lopez Viveros</v>
      </c>
      <c r="C214" s="31">
        <f ca="1"/>
        <v>22</v>
      </c>
      <c r="D214" s="30" t="str">
        <f ca="1"/>
        <v>Mujer</v>
      </c>
      <c r="E214" s="30" t="str">
        <f ca="1"/>
        <v>Michoacan, Mexico</v>
      </c>
      <c r="F214" s="30" t="str">
        <f ca="1"/>
        <v>dianaalejandraviverosorozco@gmail.com</v>
      </c>
      <c r="G214" s="30">
        <f ca="1"/>
        <v>525614230158</v>
      </c>
      <c r="H214" s="30" t="str">
        <f ca="1"/>
        <v>Semana de niños y niñas (21-25) Julio, Jóvenes de 13 – 17 años / SEM1/ (28 Julio a 02 de agosto)</v>
      </c>
      <c r="I214" s="30" t="str">
        <f ca="1"/>
        <v>Glorify</v>
      </c>
      <c r="J214" s="30" t="str">
        <f ca="1"/>
        <v>Lampei</v>
      </c>
      <c r="K214" s="30" t="str">
        <f ca="1"/>
        <v>David Garcia Nateras</v>
      </c>
      <c r="L214" s="30">
        <f ca="1"/>
        <v>524431427233</v>
      </c>
      <c r="M214" s="30" t="str">
        <f ca="1"/>
        <v>iglesialampei@gmail.com</v>
      </c>
      <c r="N214" s="30" t="str">
        <f ca="1"/>
        <v>Fotografía y niños</v>
      </c>
      <c r="O214" s="30" t="str">
        <f ca="1"/>
        <v>Dios me salvo de un intento de suicidio</v>
      </c>
      <c r="P214" s="30" t="str">
        <f ca="1"/>
        <v>Quiero venir a estudiar en septiembre y me gustaría comenzar a servir desde ya.
Hace tiempo Dios hablo a mi corazón y quiero ser obediente.</v>
      </c>
      <c r="Q214" s="30" t="str">
        <f ca="1"/>
        <v>No</v>
      </c>
      <c r="R214" s="30">
        <v>0</v>
      </c>
      <c r="S214" s="30" t="str">
        <f ca="1"/>
        <v>No</v>
      </c>
      <c r="T214" s="30">
        <v>0</v>
      </c>
      <c r="U214" s="30" t="str">
        <f ca="1"/>
        <v>Biología</v>
      </c>
      <c r="V214" s="30" t="str">
        <f ca="1"/>
        <v>Hago videos en redes sociales</v>
      </c>
      <c r="W214" s="16" t="str">
        <f ca="1"/>
        <v>E. Me gusta el trabajo con niños</v>
      </c>
      <c r="X214" s="16" t="str">
        <f ca="1"/>
        <v>No</v>
      </c>
      <c r="Y214" s="30">
        <v>0</v>
      </c>
      <c r="Z214" s="23" t="s">
        <v>51</v>
      </c>
      <c r="AA214" s="23"/>
      <c r="AB214" s="23"/>
      <c r="AC214" s="23"/>
      <c r="AD214" s="23"/>
      <c r="AE214" s="23" t="s">
        <v>25</v>
      </c>
      <c r="AF214" s="23"/>
      <c r="AG214" s="23"/>
      <c r="AH214" s="23"/>
      <c r="AI214" s="23"/>
      <c r="AJ214" s="16"/>
      <c r="AK214" s="16"/>
      <c r="AL214" s="17"/>
    </row>
    <row r="215" spans="1:38" ht="12.75" x14ac:dyDescent="0.35">
      <c r="A215" s="9">
        <v>214</v>
      </c>
      <c r="B215" s="30" t="str">
        <f ca="1"/>
        <v>Jacob Emanuel, Macías Monroy</v>
      </c>
      <c r="C215" s="31">
        <f ca="1"/>
        <v>20</v>
      </c>
      <c r="D215" s="30" t="str">
        <f ca="1"/>
        <v>Hombre</v>
      </c>
      <c r="E215" s="30" t="str">
        <f ca="1"/>
        <v>Mexico, Mexico</v>
      </c>
      <c r="F215" s="30" t="str">
        <f ca="1"/>
        <v>jemacmon@gmail.com</v>
      </c>
      <c r="G215" s="30">
        <f ca="1"/>
        <v>524777292223</v>
      </c>
      <c r="H215" s="30" t="str">
        <f ca="1"/>
        <v>Semana de niños y niñas (21-25) Julio</v>
      </c>
      <c r="I215" s="30" t="str">
        <f ca="1"/>
        <v>La Biblia</v>
      </c>
      <c r="J215" s="30" t="str">
        <f ca="1"/>
        <v>Semilla de Mostaza Santa Monica</v>
      </c>
      <c r="K215" s="30" t="str">
        <f ca="1"/>
        <v>Patricio Garduño</v>
      </c>
      <c r="L215" s="30">
        <f ca="1"/>
        <v>525540533661</v>
      </c>
      <c r="M215" s="30" t="str">
        <f ca="1"/>
        <v>megarush_92@hotmail.com</v>
      </c>
      <c r="N215" s="30" t="str">
        <f ca="1"/>
        <v>Servía en multimedia, actualmente solo escucho</v>
      </c>
      <c r="O215" s="30" t="str">
        <f ca="1"/>
        <v>Fue en una CEM de 2020 aquí en Palabra de Vida que Dios tocó mi corazón a través del pastor y me quebranté y acepté al señor como mi salvador personal</v>
      </c>
      <c r="P215" s="30" t="str">
        <f ca="1"/>
        <v>Porque en la noche de consagración tomé la decisión de entregarle las riendas de mi vida al Señor y dejarme totalmente que me moldeé a su voluntad, y me nació una chispa para poder quedarme a servir</v>
      </c>
      <c r="Q215" s="30" t="str">
        <f ca="1"/>
        <v>Si</v>
      </c>
      <c r="R215" s="30" t="str">
        <f ca="1"/>
        <v>Basketball</v>
      </c>
      <c r="S215" s="30" t="str">
        <f ca="1"/>
        <v>Si</v>
      </c>
      <c r="T215" s="30" t="str">
        <f ca="1"/>
        <v>Piano</v>
      </c>
      <c r="U215" s="30" t="str">
        <f ca="1"/>
        <v>Fotografía</v>
      </c>
      <c r="V215" s="30" t="str">
        <f ca="1"/>
        <v>Soy fotógrafo , y trabajo en logística en una empresa de logística y transporte</v>
      </c>
      <c r="W215" s="16" t="str">
        <f ca="1"/>
        <v>B. Me gusta animar a las personas, D. Me gustan los deportes, G. Soy más eficiente en el trabajo individual, J. Me gusta la atención a las personas, M. Soy bueno (a) con los números</v>
      </c>
      <c r="X215" s="16" t="str">
        <f ca="1"/>
        <v>Temporada 2023 y 2025</v>
      </c>
      <c r="Y215" s="30">
        <v>0</v>
      </c>
      <c r="Z215" s="23" t="s">
        <v>51</v>
      </c>
      <c r="AA215" s="23"/>
      <c r="AB215" s="23"/>
      <c r="AC215" s="23"/>
      <c r="AD215" s="23"/>
      <c r="AE215" s="23" t="s">
        <v>50</v>
      </c>
      <c r="AF215" s="23"/>
      <c r="AG215" s="23"/>
      <c r="AH215" s="23"/>
      <c r="AI215" s="23"/>
      <c r="AJ215" s="16"/>
      <c r="AK215" s="16"/>
      <c r="AL215" s="17"/>
    </row>
    <row r="216" spans="1:38" ht="12.75" x14ac:dyDescent="0.35">
      <c r="A216" s="9">
        <v>215</v>
      </c>
      <c r="B216" s="30" t="str">
        <f ca="1"/>
        <v>Jahaziel, Ruiz</v>
      </c>
      <c r="C216" s="31">
        <f ca="1"/>
        <v>18</v>
      </c>
      <c r="D216" s="30" t="str">
        <f ca="1"/>
        <v>Hombre</v>
      </c>
      <c r="E216" s="30" t="str">
        <f ca="1"/>
        <v>Mexico, Mexico</v>
      </c>
      <c r="F216" s="30" t="str">
        <f ca="1"/>
        <v>jruizroldan29@gmail.com</v>
      </c>
      <c r="G216" s="30">
        <f ca="1"/>
        <v>525582143226</v>
      </c>
      <c r="H216" s="30" t="str">
        <f ca="1"/>
        <v>Semana de niños y niñas (21-25) Julio, Jóvenes de 13 – 17 años / SEM1/ (28 Julio a 02 de agosto)</v>
      </c>
      <c r="I216" s="30" t="str">
        <f ca="1"/>
        <v>todavía no hago</v>
      </c>
      <c r="J216" s="30" t="str">
        <f ca="1"/>
        <v>centro Cristiano Calacoaya</v>
      </c>
      <c r="K216" s="30" t="str">
        <f ca="1"/>
        <v>Gilberto Rocha Margaín</v>
      </c>
      <c r="L216" s="30">
        <f ca="1"/>
        <v>525553661601</v>
      </c>
      <c r="M216" s="30" t="str">
        <f ca="1"/>
        <v>Giroma@calacoaya.com</v>
      </c>
      <c r="N216" s="30" t="str">
        <f ca="1"/>
        <v>Ayudo a la cocina de la iglesia</v>
      </c>
      <c r="O216" s="30" t="str">
        <f ca="1"/>
        <v>vengo de cuna cristiana pero a pesar de eso era tibio en la palabra, cuando entré a la prepa me desvíe por mal camino, vine a un campamento y hablé con un consejero me ayudó y me guio para tomar una decisión y le entregue mi vida y mis decisiones a Dios, desde ahí e tenido una relación con Dios más cercana, no siempre a sido frecuente pero me e comprometido a seguirlo a él cada día más</v>
      </c>
      <c r="P216" s="30" t="str">
        <f ca="1"/>
        <v>porque me gustaría ser parte del camino de la personas que lleguen a la palabra en el campamento, el ver como reconocen a Dios como su único salvador es algo bonito desde la perspectiva de afuera porque sabes el proceso que pasan, no siempre es el mismo pecado pero se entiende el sentimiento de arrepentiento</v>
      </c>
      <c r="Q216" s="30" t="str">
        <f ca="1"/>
        <v>Si</v>
      </c>
      <c r="R216" s="30" t="str">
        <f ca="1"/>
        <v>fútbol soccer</v>
      </c>
      <c r="S216" s="30" t="str">
        <f ca="1"/>
        <v>No</v>
      </c>
      <c r="T216" s="30">
        <v>0</v>
      </c>
      <c r="U216" s="30" t="str">
        <f ca="1"/>
        <v>estoy esperando respuesta de la universidad</v>
      </c>
      <c r="V216" s="30" t="str">
        <f ca="1"/>
        <v>soy bueno en la cocina y en manualidades</v>
      </c>
      <c r="W216" s="16" t="str">
        <f ca="1"/>
        <v>E. Me gusta el trabajo con niños, G. Soy más eficiente en el trabajo individual, H. Soy organizado (a), O. Puedo enseñar con facilidad</v>
      </c>
      <c r="X216" s="16" t="str">
        <f ca="1"/>
        <v>eh venido en 2019 como niño, 2023,2024 en semana de jóvenes y este año en semana +18</v>
      </c>
      <c r="Y216" s="30">
        <v>0</v>
      </c>
      <c r="Z216" s="30"/>
      <c r="AA216" s="30"/>
      <c r="AB216" s="30"/>
      <c r="AC216" s="30"/>
      <c r="AD216" s="15"/>
      <c r="AE216" s="15" t="s">
        <v>50</v>
      </c>
      <c r="AF216" s="15"/>
      <c r="AG216" s="15"/>
      <c r="AH216" s="15"/>
      <c r="AI216" s="15"/>
      <c r="AJ216" s="30"/>
      <c r="AK216" s="30"/>
      <c r="AL216" s="30"/>
    </row>
    <row r="217" spans="1:38" ht="12.75" x14ac:dyDescent="0.35">
      <c r="A217" s="9">
        <v>216</v>
      </c>
      <c r="B217" s="50" t="str">
        <f ca="1"/>
        <v>Brandon Yair, Gómez Florean</v>
      </c>
      <c r="C217" s="51">
        <f ca="1"/>
        <v>28</v>
      </c>
      <c r="D217" s="50" t="str">
        <f ca="1"/>
        <v>Hombre</v>
      </c>
      <c r="E217" s="50" t="str">
        <f ca="1"/>
        <v>Mexico, Mexico</v>
      </c>
      <c r="F217" s="50" t="str">
        <f ca="1"/>
        <v>bgomezflorean@gmail.com</v>
      </c>
      <c r="G217" s="50">
        <f ca="1"/>
        <v>525586168303</v>
      </c>
      <c r="H217" s="50" t="str">
        <f ca="1"/>
        <v>Semana de niños y niñas (21-25) Julio, Jóvenes de 13 – 17 años / SEM1/ (28 Julio a 02 de agosto)</v>
      </c>
      <c r="I217" s="50" t="str">
        <f ca="1"/>
        <v>Conociendo la voluntad de Dios</v>
      </c>
      <c r="J217" s="50" t="str">
        <f ca="1"/>
        <v>Vida nueva para el mundo Qro</v>
      </c>
      <c r="K217" s="50" t="str">
        <f ca="1"/>
        <v>Christian Alan Alducin</v>
      </c>
      <c r="L217" s="50">
        <f ca="1"/>
        <v>524426693899</v>
      </c>
      <c r="M217" s="50" t="str">
        <f ca="1"/>
        <v>chrisalduciin@gmail.com</v>
      </c>
      <c r="N217" s="50" t="str">
        <f ca="1"/>
        <v>Jóvenes parte del liderazgo</v>
      </c>
      <c r="O217" s="50" t="str">
        <f ca="1"/>
        <v>A la edad de 20 años le entregué mi vida a mi señor Jesús ,reconocí que sin él estaba perdido y que solo él podía salvarme de mis pecados ,creó fielmente que él me rescató y me liberó de todos mis pecados y que ahora soy su hijo .</v>
      </c>
      <c r="P217" s="50" t="str">
        <f ca="1"/>
        <v>Y es un privilegio servir</v>
      </c>
      <c r="Q217" s="50" t="str">
        <f ca="1"/>
        <v>Si</v>
      </c>
      <c r="R217" s="50" t="str">
        <f ca="1"/>
        <v>Gym</v>
      </c>
      <c r="S217" s="50" t="str">
        <f ca="1"/>
        <v>No</v>
      </c>
      <c r="T217" s="50">
        <v>0</v>
      </c>
      <c r="U217" s="50" t="str">
        <f ca="1"/>
        <v>Trabajo</v>
      </c>
      <c r="V217" s="50" t="str">
        <f ca="1"/>
        <v>Detallado de autos</v>
      </c>
      <c r="W217" s="52" t="str">
        <f ca="1"/>
        <v>A. Soy un discipulador activo, B. Me gusta animar a las personas, C. Suelo buscar que el trabajo se realice en equipo, D. Me gustan los deportes</v>
      </c>
      <c r="X217" s="52" t="str">
        <f ca="1"/>
        <v>Si</v>
      </c>
      <c r="Y217" s="50">
        <v>0</v>
      </c>
      <c r="Z217" s="50"/>
      <c r="AA217" s="50"/>
      <c r="AB217" s="50"/>
      <c r="AC217" s="50"/>
      <c r="AD217" s="53"/>
      <c r="AE217" s="54"/>
      <c r="AF217" s="54" t="s">
        <v>45</v>
      </c>
      <c r="AG217" s="55"/>
      <c r="AH217" s="55"/>
      <c r="AI217" s="55"/>
    </row>
    <row r="218" spans="1:38" ht="12.75" x14ac:dyDescent="0.35">
      <c r="A218" s="9">
        <v>217</v>
      </c>
      <c r="B218" s="1" t="str">
        <f ca="1"/>
        <v>Danna Naomi, Peasland Guadarrama</v>
      </c>
      <c r="C218" s="56">
        <f ca="1"/>
        <v>19</v>
      </c>
      <c r="D218" s="1" t="str">
        <f ca="1"/>
        <v>Mujer</v>
      </c>
      <c r="E218" s="1" t="str">
        <f ca="1"/>
        <v>Guanajuato, Mexico</v>
      </c>
      <c r="F218" s="1" t="str">
        <f ca="1"/>
        <v>dannapeasland@gmail.com</v>
      </c>
      <c r="G218" s="1">
        <f ca="1"/>
        <v>524613303628</v>
      </c>
      <c r="H218" s="1" t="str">
        <f ca="1"/>
        <v>Jóvenes de 13 – 17 años / SEM1/ (28 Julio a 02 de agosto), Jóvenes de 13 – 17 años / SEM2/ (4 - 09 agosto), Jóvenes de 13 – 17 años / SEM3/ (11 - 16 agosto)</v>
      </c>
      <c r="I218" s="1" t="str">
        <f ca="1"/>
        <v>Biblia, nuevo testamento</v>
      </c>
      <c r="J218" s="1" t="str">
        <f ca="1"/>
        <v>Iglesia Cristiana Bíblica de Celaya</v>
      </c>
      <c r="K218" s="1" t="str">
        <f ca="1"/>
        <v>Daniel Peasland Alcántara</v>
      </c>
      <c r="L218" s="1">
        <f ca="1"/>
        <v>524613303628</v>
      </c>
      <c r="M218" s="1" t="str">
        <f ca="1"/>
        <v>danielpeasland@outlook.com</v>
      </c>
      <c r="N218" s="1" t="str">
        <f ca="1"/>
        <v>Librería, multimedia, dirigir estudio y tiempo de oración en la reunión de chicas, actividades en la reunión de jóvenes.</v>
      </c>
      <c r="O218" s="1" t="str">
        <f ca="1"/>
        <v>Crecí en una familia cristiana. A los 7 años, el Señor me alcanzó en su gracia. Estaba en mi casa con mis papás y comprendí el Evangelio, que era pecadora, y necesitaba salvación, hice una oración pidiéndole perdón, que me limpiara y salvara.
Fui creyente tibia varios años; no tenía una vida consagrada y devota al Señor de corazón. Empecé a alejarme del Señor, cayendo en un pecado cada vez más fuerte…querer encontrar mi valor fuera de Él, en cómo me veía físicamente, buscando mi valor e identidad en cosas vanas y pasajeras.
Pero sé que el Señor permitió eso para volver a enamorarme y regresar a Él. Un día, a la edad de 14 años, Dios, en su misericordia, me mostró mi pecado y me quebrantó. Llorando y orando, le pedí perdón y le pedí que rompiera esa cadena de pecado que me estaba alejando de crecer en santificación y conocerle más.
Clamé al Señor y me rescató de haber tocado fondo,  Dios rompió esa cadena en mi vida que yo sabía que me estaba alejando de crecer en mi relación con Él. Me recordó que mi identidad está en Él y que soy valiosa a sus ojos y eso llena mi corazón, y lo sigue haciendo cada día.
Desde ese día decidí tomar la decisión de vivir una vida entregada a su servicio y su voluntad, realmente de corazón. Él sigue trabajando en mi vida y en mi corazón cada día. Mi deleite, esperanza y gozo es Cristo. Cada día sé y es una necesidad el volver a la cruz y recordar quién soy en el Padre… soy amada, soy salva, soy acepta y soy su hija, y Él me recuerda la verdad en su Palabra. 
Me extiende su gracia, amor y misericordia todos los días, y mi deseo es vivir cada día de mi vida en obediencia a su Palabra y su voluntad, para alabanza de la gloria de su gracia.</v>
      </c>
      <c r="P218" s="1" t="str">
        <f ca="1"/>
        <v>Porque amo a Dios y quiero obedecerle, he tenido el deseo en mi corazón de hacerlo desde el año pasado y sé que no nace de mi, es un deseo que Dios pone en mi, palabra de vida ha sido parte de mi vida desde chiquita, sé que es un lugar que Dios usa y ha puesto corazones devotos y entregados al Padre que buscan proclamar el Evangelio en esta temporada de campas, y me encanta lo que Dios hace en este lugar a través de hermanos que aman al Señor, todos unidos por una misma fe y gracia, entregarle mi vida y tiempo para su reino y sumarme a esta obra tan hermosa de lo que realmente importa…de lo eterno y poder ser un instrumento para mostrar el amor, gracia y misericordia de Dios. es un deseo que ha estado en mi corazón todo el año, tuve la oportunidad de servir hace 2 años y me encantó, me encanta ver la obra del Espíritu en los corazones y sé que aunque no soy indispensable para el Señor, quiero ofrecer mis servicios a su obra y dejarme usar por Él en el área que se necesite y Él guíe.</v>
      </c>
      <c r="Q218" s="1" t="str">
        <f ca="1"/>
        <v>Si</v>
      </c>
      <c r="R218" s="1" t="str">
        <f ca="1"/>
        <v>Ahorita corro, pero juego futbol y volley</v>
      </c>
      <c r="S218" s="1" t="str">
        <f ca="1"/>
        <v>No</v>
      </c>
      <c r="T218" s="1">
        <v>0</v>
      </c>
      <c r="U218" s="1" t="str">
        <f ca="1"/>
        <v>Terminé la prepa y entro en Septiembre primero Dios a la universidad a la carrera de derecho</v>
      </c>
      <c r="V218" s="1" t="str">
        <f ca="1"/>
        <v>Hago y vendo postres (panadería y pastelería) y me gusta cocinar, disfruto mucho estar con niños, manualidades, bailar, cantar y actuar, me gusta correr, jugar fútbol, volley.</v>
      </c>
      <c r="W218" s="17" t="str">
        <f ca="1"/>
        <v>B. Me gusta animar a las personas, D. Me gustan los deportes, E. Me gusta el trabajo con niños, G. Soy más eficiente en el trabajo individual, J. Me gusta la atención a las personas, K. Soy creativo (a), L. Soy bueno (a) en canto o algún instrumento, N. Suelo llevar el liderazgo en un grupo</v>
      </c>
      <c r="X218" s="17" t="str">
        <f ca="1"/>
        <v>Si, he venido desde 2016 si no mal recuerdo fue mi primer año, de ahí he venido 8-9 veces</v>
      </c>
      <c r="Y218" s="1">
        <v>0</v>
      </c>
      <c r="AD218" s="23"/>
      <c r="AE218" s="55"/>
      <c r="AF218" s="55"/>
      <c r="AG218" s="55" t="s">
        <v>25</v>
      </c>
      <c r="AH218" s="55"/>
      <c r="AI218" s="55"/>
    </row>
    <row r="219" spans="1:38" ht="12.75" x14ac:dyDescent="0.35">
      <c r="A219" s="9">
        <v>218</v>
      </c>
      <c r="B219" s="1" t="str">
        <f ca="1"/>
        <v>Ethan Gadiel, Aguirre López</v>
      </c>
      <c r="C219" s="56">
        <f ca="1"/>
        <v>19</v>
      </c>
      <c r="D219" s="1" t="str">
        <f ca="1"/>
        <v>Hombre</v>
      </c>
      <c r="E219" s="1" t="str">
        <f ca="1"/>
        <v>Hidalgo, Mexico</v>
      </c>
      <c r="F219" s="1" t="str">
        <f ca="1"/>
        <v>ethanlopez208712@gmail.com</v>
      </c>
      <c r="G219" s="1">
        <f ca="1"/>
        <v>527712650080</v>
      </c>
      <c r="H219" s="1" t="str">
        <f ca="1"/>
        <v>Semana de niños y niñas (21-25) Julio, Jóvenes de 13 – 17 años / SEM1/ (28 Julio a 02 de agosto), Jóvenes de 13 – 17 años / SEM2/ (4 - 09 agosto)</v>
      </c>
      <c r="I219" s="1" t="str">
        <f ca="1"/>
        <v>Hora de silencio</v>
      </c>
      <c r="J219" s="1" t="str">
        <f ca="1"/>
        <v>El Jubileo</v>
      </c>
      <c r="K219" s="1" t="str">
        <f ca="1"/>
        <v>Luis Artemio López Camacho</v>
      </c>
      <c r="L219" s="1">
        <f ca="1"/>
        <v>527711366338</v>
      </c>
      <c r="M219" s="1" t="str">
        <f ca="1"/>
        <v>luis.lopez.c@icloud.com</v>
      </c>
      <c r="N219" s="1" t="str">
        <f ca="1"/>
        <v>Multimedia y suplente de maestro</v>
      </c>
      <c r="O219" s="1" t="str">
        <f ca="1"/>
        <v>Yo vengo de cuna cristiana, pero nunca había entendido lo que era que Dios estuviera en mi vida. Estuve viviendo en la iglesia de forma hipócrita, con un vacío en mi corazón hasta que llegó un momento en el que no pude luchar contra mi mismo y entendí que solo Dios podía llenar ese vacío emocional y espiritual que sentía en mi vida.</v>
      </c>
      <c r="P219" s="1" t="str">
        <f ca="1"/>
        <v>Estuve en la semana de jóvenes +18 aconsejado por Kevin, y fue por lo que viví que entendí que me tocaba servir.</v>
      </c>
      <c r="Q219" s="1" t="str">
        <f ca="1"/>
        <v>No</v>
      </c>
      <c r="R219" s="1">
        <v>0</v>
      </c>
      <c r="S219" s="1" t="str">
        <f ca="1"/>
        <v>No</v>
      </c>
      <c r="T219" s="1">
        <v>0</v>
      </c>
      <c r="U219" s="1" t="str">
        <f ca="1"/>
        <v>Ingeniería Mecatronica</v>
      </c>
      <c r="V219" s="1" t="str">
        <f ca="1"/>
        <v>Deportes, liderazgo</v>
      </c>
      <c r="W219" s="17" t="str">
        <f ca="1"/>
        <v>A. Soy un discipulador activo, C. Suelo buscar que el trabajo se realice en equipo, D. Me gustan los deportes, I. Se me facilita el trabajo físico, J. Me gusta la atención a las personas, M. Soy bueno (a) con los números, N. Suelo llevar el liderazgo en un grupo</v>
      </c>
      <c r="X219" s="17" t="str">
        <f ca="1"/>
        <v>Semana 18+ 2025</v>
      </c>
      <c r="Y219" s="1">
        <v>0</v>
      </c>
      <c r="AD219" s="23"/>
      <c r="AE219" s="55"/>
      <c r="AF219" s="55"/>
      <c r="AG219" s="55" t="s">
        <v>50</v>
      </c>
      <c r="AH219" s="55"/>
      <c r="AI219" s="55"/>
    </row>
    <row r="220" spans="1:38" ht="12.75" x14ac:dyDescent="0.35">
      <c r="A220" s="9">
        <v>219</v>
      </c>
      <c r="B220" s="57" t="str">
        <f ca="1"/>
        <v>Franco, Torres</v>
      </c>
      <c r="C220" s="58">
        <f ca="1"/>
        <v>15</v>
      </c>
      <c r="D220" s="57" t="str">
        <f ca="1"/>
        <v>Hombre</v>
      </c>
      <c r="E220" s="57" t="str">
        <f ca="1"/>
        <v>Queretaro, Mexico</v>
      </c>
      <c r="F220" s="57" t="str">
        <f ca="1"/>
        <v>lirio.13@hotmail.com</v>
      </c>
      <c r="G220" s="57">
        <f ca="1"/>
        <v>524421414059</v>
      </c>
      <c r="H220" s="57" t="str">
        <f ca="1"/>
        <v>Semana de niños y niñas (21-25) Julio</v>
      </c>
      <c r="I220" s="57" t="str">
        <f ca="1"/>
        <v>Biblia</v>
      </c>
      <c r="J220" s="57" t="str">
        <f ca="1"/>
        <v>Mr ministerios de Reconciliacion</v>
      </c>
      <c r="K220" s="57" t="str">
        <f ca="1"/>
        <v>Abel Sánchez</v>
      </c>
      <c r="L220" s="57">
        <f ca="1"/>
        <v>524422009595</v>
      </c>
      <c r="M220" s="57" t="str">
        <f ca="1"/>
        <v>excelencia.familias@gmail.com</v>
      </c>
      <c r="N220" s="57" t="str">
        <f ca="1"/>
        <v>En la cafetería</v>
      </c>
      <c r="O220" s="57" t="str">
        <f ca="1"/>
        <v>En un campamento 2017 con mi consejero Cristian</v>
      </c>
      <c r="P220" s="57" t="str">
        <f ca="1"/>
        <v>Para ayudar en lo que pueda</v>
      </c>
      <c r="Q220" s="57" t="str">
        <f ca="1"/>
        <v>Si</v>
      </c>
      <c r="R220" s="57" t="str">
        <f ca="1"/>
        <v>Futbol / esgrima/</v>
      </c>
      <c r="S220" s="57" t="str">
        <f ca="1"/>
        <v>No</v>
      </c>
      <c r="T220" s="57">
        <v>0</v>
      </c>
      <c r="U220" s="57" t="str">
        <f ca="1"/>
        <v>Secundaria</v>
      </c>
      <c r="V220" s="57" t="str">
        <f ca="1"/>
        <v>Liderazgo y servicio</v>
      </c>
      <c r="W220" s="59" t="str">
        <f ca="1"/>
        <v>B. Me gusta animar a las personas, C. Suelo buscar que el trabajo se realice en equipo, D. Me gustan los deportes, E. Me gusta el trabajo con niños, H. Soy organizado (a), I. Se me facilita el trabajo físico, K. Soy creativo (a), N. Suelo llevar el liderazgo en un grupo, O. Puedo enseñar con facilidad</v>
      </c>
      <c r="X220" s="59" t="str">
        <f ca="1"/>
        <v>Desde 2017</v>
      </c>
      <c r="Y220" s="57">
        <v>0</v>
      </c>
      <c r="Z220" s="57"/>
      <c r="AA220" s="57"/>
      <c r="AB220" s="57"/>
      <c r="AC220" s="57"/>
      <c r="AD220" s="44"/>
      <c r="AE220" s="60"/>
      <c r="AF220" s="60"/>
      <c r="AG220" s="55" t="s">
        <v>28</v>
      </c>
      <c r="AH220" s="55"/>
      <c r="AI220" s="55"/>
    </row>
    <row r="221" spans="1:38" ht="12.75" x14ac:dyDescent="0.35">
      <c r="A221" s="9">
        <v>220</v>
      </c>
      <c r="B221" s="1" t="str">
        <f ca="1"/>
        <v>Ulises, Camacho</v>
      </c>
      <c r="C221" s="56">
        <f ca="1"/>
        <v>18</v>
      </c>
      <c r="D221" s="1" t="str">
        <f ca="1"/>
        <v>Hombre</v>
      </c>
      <c r="E221" s="1" t="str">
        <f ca="1"/>
        <v>Puebla, Mexico</v>
      </c>
      <c r="F221" s="1" t="str">
        <f ca="1"/>
        <v>Ulisescamacho237@gmail.com</v>
      </c>
      <c r="G221" s="1">
        <f ca="1"/>
        <v>527351429603</v>
      </c>
      <c r="H221" s="1" t="str">
        <f ca="1"/>
        <v>Semana de niños y niñas (21-25) Julio</v>
      </c>
      <c r="I221" s="1" t="str">
        <f ca="1"/>
        <v>Mi papa siempre nos da uno que el hace en las noches</v>
      </c>
      <c r="J221" s="1" t="str">
        <f ca="1"/>
        <v>Amistad del Valle</v>
      </c>
      <c r="K221" s="1" t="str">
        <f ca="1"/>
        <v>Israel Cmacho</v>
      </c>
      <c r="L221" s="1">
        <f ca="1"/>
        <v>529581247722</v>
      </c>
      <c r="M221" s="1" t="str">
        <f ca="1"/>
        <v>israelcamacho.0307@gmail.com</v>
      </c>
      <c r="N221" s="1" t="str">
        <f ca="1"/>
        <v>Soy nuevo en esa iglesia así que aún andamos viendo</v>
      </c>
      <c r="O221" s="1" t="str">
        <f ca="1"/>
        <v>Siempre he creído en lo que me da lógica pero uno de mis hermanos enfermo y al no poder hacer nada busque a Dios</v>
      </c>
      <c r="P221" s="1" t="str">
        <f ca="1"/>
        <v>Porque estuve ayudando en mi semana de campista y megusto</v>
      </c>
      <c r="Q221" s="1" t="str">
        <f ca="1"/>
        <v>No</v>
      </c>
      <c r="R221" s="1">
        <v>0</v>
      </c>
      <c r="S221" s="1" t="str">
        <f ca="1"/>
        <v>No</v>
      </c>
      <c r="T221" s="1">
        <v>0</v>
      </c>
      <c r="U221" s="1" t="str">
        <f ca="1"/>
        <v>Acabo de terminar la prepa</v>
      </c>
      <c r="V221" s="1" t="str">
        <f ca="1"/>
        <v>Me dedico al ramo inmobiliario y trabaje en una tienda de ropa como cajero o admirador de la mercancía</v>
      </c>
      <c r="W221" s="17" t="str">
        <f ca="1"/>
        <v>C. Suelo buscar que el trabajo se realice en equipo</v>
      </c>
      <c r="X221" s="17" t="str">
        <f ca="1"/>
        <v>Vine en la 2020 y el años pasado y este</v>
      </c>
      <c r="Y221" s="1">
        <v>0</v>
      </c>
      <c r="AD221" s="23"/>
      <c r="AE221" s="55" t="s">
        <v>50</v>
      </c>
      <c r="AF221" s="55"/>
      <c r="AG221" s="55"/>
      <c r="AH221" s="55"/>
      <c r="AI221" s="55"/>
    </row>
    <row r="222" spans="1:38" ht="12.75" x14ac:dyDescent="0.35">
      <c r="A222" s="9">
        <v>221</v>
      </c>
      <c r="B222" s="1" t="str">
        <f ca="1"/>
        <v>Abdiel, Mendez</v>
      </c>
      <c r="C222" s="56">
        <f ca="1"/>
        <v>17</v>
      </c>
      <c r="D222" s="1" t="str">
        <f ca="1"/>
        <v>Hombre</v>
      </c>
      <c r="E222" s="1" t="str">
        <f ca="1"/>
        <v>Campeche, Mexico</v>
      </c>
      <c r="F222" s="1" t="str">
        <f ca="1"/>
        <v>abdiel240617@gmail.com</v>
      </c>
      <c r="G222" s="1">
        <f ca="1"/>
        <v>529381808721</v>
      </c>
      <c r="H222" s="1" t="str">
        <f ca="1"/>
        <v>Jóvenes de 13 – 17 años / SEM1/ (28 Julio a 02 de agosto), Jóvenes de 13 – 17 años / SEM2/ (4 - 09 agosto), Jóvenes de 13 – 17 años / SEM3/ (11 - 16 agosto)</v>
      </c>
      <c r="I222" s="1" t="str">
        <f ca="1"/>
        <v>Política y teología</v>
      </c>
      <c r="J222" s="1" t="str">
        <f ca="1"/>
        <v>Vida sociedad cultural</v>
      </c>
      <c r="K222" s="1" t="str">
        <f ca="1"/>
        <v>J.natividad ramos</v>
      </c>
      <c r="L222" s="1">
        <f ca="1"/>
        <v>529381032007</v>
      </c>
      <c r="M222" s="1" t="str">
        <f ca="1"/>
        <v>jnatividadramosg@gmail.com</v>
      </c>
      <c r="N222" s="1" t="str">
        <f ca="1"/>
        <v>Colaborador de equipo de jóvenes</v>
      </c>
      <c r="O222" s="1" t="str">
        <f ca="1"/>
        <v>A base de una pérdida familia pues me aparte de la iglesia y cuando una persona hablo sobre la vida de Job y como él lo perdió todo, eso toco mi corazón y me hizo pensar de sí Job perdió todo y aún así fue fiel y pues yo que tengo todo que me cuesta seguir a Cristo, pues fue cuando entendí lo que realmente era la salvación</v>
      </c>
      <c r="P222" s="1" t="str">
        <f ca="1"/>
        <v>Para capacitarme más y poder servir a Dios en cualquier área</v>
      </c>
      <c r="Q222" s="1" t="str">
        <f ca="1"/>
        <v>Si</v>
      </c>
      <c r="R222" s="1" t="str">
        <f ca="1"/>
        <v>Fútbol y voley</v>
      </c>
      <c r="S222" s="1" t="str">
        <f ca="1"/>
        <v>Si</v>
      </c>
      <c r="T222" s="1" t="str">
        <f ca="1"/>
        <v>Guitarra</v>
      </c>
      <c r="U222" s="1" t="str">
        <f ca="1"/>
        <v>La prepa</v>
      </c>
      <c r="V222" s="1" t="str">
        <f ca="1"/>
        <v>Soy barista especializado en una cafetería</v>
      </c>
      <c r="W222" s="17" t="str">
        <f ca="1"/>
        <v>A. Soy un discipulador activo, B. Me gusta animar a las personas, D. Me gustan los deportes, J. Me gusta la atención a las personas, L. Soy bueno (a) en canto o algún instrumento, M. Soy bueno (a) con los números, N. Suelo llevar el liderazgo en un grupo, O. Puedo enseñar con facilidad</v>
      </c>
      <c r="X222" s="17" t="str">
        <f ca="1"/>
        <v>Si, 2023</v>
      </c>
      <c r="Y222" s="1">
        <v>0</v>
      </c>
      <c r="AD222" s="23"/>
      <c r="AE222" s="55"/>
      <c r="AF222" s="55"/>
      <c r="AG222" s="55" t="s">
        <v>50</v>
      </c>
      <c r="AH222" s="55"/>
      <c r="AI222" s="55"/>
      <c r="AJ222" s="1" t="s">
        <v>156</v>
      </c>
    </row>
    <row r="223" spans="1:38" ht="12.75" x14ac:dyDescent="0.35">
      <c r="A223" s="9">
        <v>222</v>
      </c>
      <c r="B223" s="1" t="str">
        <f ca="1"/>
        <v>Luz Maria, Ramirez Zuñiga</v>
      </c>
      <c r="C223" s="56">
        <f ca="1"/>
        <v>26</v>
      </c>
      <c r="D223" s="1" t="str">
        <f ca="1"/>
        <v>Mujer</v>
      </c>
      <c r="E223" s="1" t="str">
        <f ca="1"/>
        <v>Mexico City, Mexico</v>
      </c>
      <c r="F223" s="1" t="str">
        <f ca="1"/>
        <v>luzmarinss_21@hotmail.com</v>
      </c>
      <c r="G223" s="1">
        <f ca="1"/>
        <v>525511959099</v>
      </c>
      <c r="H223" s="1" t="str">
        <f ca="1"/>
        <v>Jóvenes de 13 – 17 años / SEM1/ (28 Julio a 02 de agosto)</v>
      </c>
      <c r="I223" s="1" t="str">
        <f ca="1"/>
        <v>En busca de Dios</v>
      </c>
      <c r="J223" s="1" t="str">
        <f ca="1"/>
        <v>Iglesia Cristiana Bautista de San Juan Ixtayopan</v>
      </c>
      <c r="K223" s="1" t="str">
        <f ca="1"/>
        <v>Pedro Ramirez Perez</v>
      </c>
      <c r="L223" s="1">
        <f ca="1"/>
        <v>525535075750</v>
      </c>
      <c r="M223" s="1" t="str">
        <f ca="1"/>
        <v>Pedroclasic@gmail.com</v>
      </c>
      <c r="N223" s="1" t="str">
        <f ca="1"/>
        <v>Estoy en el ministerio de alabanza, pastoreo de jovenes, club infantil de sábados</v>
      </c>
      <c r="O223" s="1" t="str">
        <f ca="1"/>
        <v>Yo era una chica que creía que no tenia ningún tipo de pecados, en 2017 asisti al campamento PDV y mi consejera me dijo que el decir palabras o chisme era un pecado como también el no perdonar, a mi me costaba perdonar a mi mama biológica hasta que conocí mas De Dios, decidí consagrar mi vida en el campamento, pero había cosas que aun seguía haciendo en mi vida, hasta que el 17 de abril decidí tener mi conversión realmente y me bautice, fue cuando realmente hice la voluntad De Dios en mi vida, ahora le sirvo y le sigo.</v>
      </c>
      <c r="P223" s="1" t="str">
        <f ca="1"/>
        <v>Me gusta servir y poder ayudar en lo que pueda.</v>
      </c>
      <c r="Q223" s="1" t="str">
        <f ca="1"/>
        <v>No</v>
      </c>
      <c r="R223" s="1">
        <v>0</v>
      </c>
      <c r="S223" s="1" t="str">
        <f ca="1"/>
        <v>No</v>
      </c>
      <c r="T223" s="1">
        <v>0</v>
      </c>
      <c r="U223" s="1" t="str">
        <f ca="1"/>
        <v>ama de casa</v>
      </c>
      <c r="V223" s="1" t="str">
        <f ca="1"/>
        <v>Contadora Tecnica</v>
      </c>
      <c r="W223" s="17" t="str">
        <f ca="1"/>
        <v>B. Me gusta animar a las personas, E. Me gusta el trabajo con niños, H. Soy organizado (a), J. Me gusta la atención a las personas, K. Soy creativo (a), L. Soy bueno (a) en canto o algún instrumento, M. Soy bueno (a) con los números, N. Suelo llevar el liderazgo en un grupo, O. Puedo enseñar con facilidad</v>
      </c>
      <c r="X223" s="17" t="str">
        <f ca="1"/>
        <v>Si, en 2017</v>
      </c>
      <c r="Y223" s="1">
        <v>0</v>
      </c>
      <c r="AD223" s="23"/>
      <c r="AE223" s="55"/>
      <c r="AF223" s="55"/>
      <c r="AG223" s="55" t="s">
        <v>26</v>
      </c>
      <c r="AH223" s="55"/>
      <c r="AI223" s="55"/>
    </row>
    <row r="224" spans="1:38" ht="12.75" x14ac:dyDescent="0.35">
      <c r="A224" s="9">
        <v>223</v>
      </c>
      <c r="B224" s="1" t="str">
        <f ca="1"/>
        <v>Pablo, Ramirez Fraga</v>
      </c>
      <c r="C224" s="56">
        <f ca="1"/>
        <v>27</v>
      </c>
      <c r="D224" s="1" t="str">
        <f ca="1"/>
        <v>Hombre</v>
      </c>
      <c r="E224" s="1" t="str">
        <f ca="1"/>
        <v>Mexico City, Mexico</v>
      </c>
      <c r="F224" s="1" t="str">
        <f ca="1"/>
        <v>pabloramirezfraga@gmail.com</v>
      </c>
      <c r="G224" s="1">
        <f ca="1"/>
        <v>525573311405</v>
      </c>
      <c r="H224" s="1" t="str">
        <f ca="1"/>
        <v>Jóvenes de 13 – 17 años / SEM1/ (28 Julio a 02 de agosto)</v>
      </c>
      <c r="I224" s="1" t="str">
        <f ca="1"/>
        <v>Biblia</v>
      </c>
      <c r="J224" s="1" t="str">
        <f ca="1"/>
        <v>Iglesia Cristiana Bautista de San Juan Ixtayopan</v>
      </c>
      <c r="K224" s="1" t="str">
        <f ca="1"/>
        <v>Pedro Ramirez Perez</v>
      </c>
      <c r="L224" s="1">
        <f ca="1"/>
        <v>525535075750</v>
      </c>
      <c r="M224" s="1" t="str">
        <f ca="1"/>
        <v>Pedroclasic@gmail.com</v>
      </c>
      <c r="N224" s="1" t="str">
        <f ca="1"/>
        <v>Ministerio de alabanza, pastoreo de jovenes y club infantil sabatino.</v>
      </c>
      <c r="O224" s="1" t="str">
        <f ca="1"/>
        <v>Soy hijo de pastor y crecí en un hogar donde siempre escuché hablar de Dios. Aunque estuve cerca de la iglesia y participé en la escuela dominical, entendí a una edad temprana que, a pesar de mi contexto, no estaba garantizada mi salvación. A los 13-14 años tomé la decisión de aceptar a Cristo como mi Salvador, tras una conversación con mi papá sobre el rapto. Él me ayudó a comprender que Cristo había muerto por mí en la cruz, y esa verdad transformó mi vida.
En mi adolescencia, pasé por momentos de rebeldía, pero fue en el Campamento de Palabras de Vida donde Dios me confrontó y me mostró que ser cristiano no solo era asistir a la iglesia, sino rendir mi vida completamente a Él. Desde entonces, mi vida se ha enfocado en servirle y en vivir para su gloria. …</v>
      </c>
      <c r="P224" s="1" t="str">
        <f ca="1"/>
        <v>Porque me gusta servir a Dios y voy en acompañamiento a mis jovenes de la iglesia.</v>
      </c>
      <c r="Q224" s="1" t="str">
        <f ca="1"/>
        <v>Si</v>
      </c>
      <c r="R224" s="1" t="str">
        <f ca="1"/>
        <v>todos</v>
      </c>
      <c r="S224" s="1" t="str">
        <f ca="1"/>
        <v>Si</v>
      </c>
      <c r="T224" s="1" t="str">
        <f ca="1"/>
        <v>guitarra, piano, bateria y bajo</v>
      </c>
      <c r="U224" s="1" t="str">
        <f ca="1"/>
        <v>trabajo</v>
      </c>
      <c r="V224" s="1" t="str">
        <f ca="1"/>
        <v>Ingeniero Mecanico</v>
      </c>
      <c r="W224" s="17" t="str">
        <f ca="1"/>
        <v>A. Soy un discipulador activo, B. Me gusta animar a las personas, C. Suelo buscar que el trabajo se realice en equipo, D. Me gustan los deportes, E. Me gusta el trabajo con niños, F. Soy eficiente en el trabajo con herramientas, equipos y maquinarias, I. Se me facilita el trabajo físico, J. Me gusta la atención a las personas, K. Soy creativo (a), L. Soy bueno (a) en canto o algún instrumento, N. Suelo llevar el liderazgo en un grupo, O. Puedo enseñar con facilidad</v>
      </c>
      <c r="X224" s="17" t="str">
        <f ca="1"/>
        <v>si, en 2017 y 2018</v>
      </c>
      <c r="Y224" s="1">
        <v>0</v>
      </c>
      <c r="AD224" s="23"/>
      <c r="AE224" s="55"/>
      <c r="AF224" s="55"/>
      <c r="AG224" s="55" t="s">
        <v>45</v>
      </c>
      <c r="AH224" s="55"/>
      <c r="AI224" s="55"/>
    </row>
    <row r="225" spans="1:35" ht="12.75" x14ac:dyDescent="0.35">
      <c r="A225" s="9">
        <v>224</v>
      </c>
      <c r="B225" s="1" t="str">
        <f ca="1"/>
        <v>Samuel, Ortiz Díaz</v>
      </c>
      <c r="C225" s="56">
        <f ca="1"/>
        <v>15</v>
      </c>
      <c r="D225" s="1" t="str">
        <f ca="1"/>
        <v>Hombre</v>
      </c>
      <c r="E225" s="1" t="str">
        <f ca="1"/>
        <v>Mexico, Mexico</v>
      </c>
      <c r="F225" s="1" t="str">
        <f ca="1"/>
        <v>samy2.0sod@gmail.com</v>
      </c>
      <c r="G225" s="1">
        <f ca="1"/>
        <v>525634365579</v>
      </c>
      <c r="H225" s="1" t="str">
        <f ca="1"/>
        <v>Jóvenes de 13 – 17 años / SEM3/ (11 - 16 agosto)</v>
      </c>
      <c r="I225" s="1" t="str">
        <f ca="1"/>
        <v>2 Timoteo 3:16 Vida abundante Atizapán</v>
      </c>
      <c r="J225" s="1" t="str">
        <f ca="1"/>
        <v>Comunidad Cristiana Vida Abundante Atizapán</v>
      </c>
      <c r="K225" s="1" t="str">
        <f ca="1"/>
        <v>Benjamin Avilés Chaparro</v>
      </c>
      <c r="L225" s="1">
        <f ca="1"/>
        <v>525535889519</v>
      </c>
      <c r="M225" s="1" t="str">
        <f ca="1"/>
        <v>pastorccvabenavileschaparro@gmail.com</v>
      </c>
      <c r="N225" s="1" t="str">
        <f ca="1"/>
        <v>Artes-Bienvenida-Adolecentes</v>
      </c>
      <c r="O225" s="1" t="str">
        <f ca="1"/>
        <v>En pocas palabras:
Nací en una cuna Cristiana, mis ambos padres estaban casi siempre en la iglesia, por ende yo también 
A mis 6 años recibí el llamado a ser pastor, todo iba por "buen camino" ese mismo año mis padres se separaron, pasamos de ser una familia ejemplar a ni si quiera ser familia 
A los pocos años fui víctima de viole cia intrafamiliar, llevo una cicatriz real que aún marca lo que paso, pero también el recuerdo del amor de Dios 
Porque apesar de alejarme unos años de la iglesia, de su voluntad, malas amistades, malos hábitos, incluso la apostasía, Dios me llamo a sus pies y hoy, vivo junto con el.</v>
      </c>
      <c r="P225" s="1" t="str">
        <f ca="1"/>
        <v>Llevo 2 años asistiendo a este campamento, ambas veces me ofrecieron la oportunidad de servir y me gustaría tomarlo, he querido ser parte de algo más allá
Ensayos
Orar por otros 
Servir a otros 
Preparar algo para los demás 
Etc...</v>
      </c>
      <c r="Q225" s="1" t="str">
        <f ca="1"/>
        <v>Si</v>
      </c>
      <c r="R225" s="1" t="str">
        <f ca="1"/>
        <v>Básquetbol-Natacion-boxeo/ más natación y pocas habilidades de otros deportes</v>
      </c>
      <c r="S225" s="1" t="str">
        <f ca="1"/>
        <v>Si</v>
      </c>
      <c r="T225" s="1" t="str">
        <f ca="1"/>
        <v>Canto</v>
      </c>
      <c r="U225" s="1" t="str">
        <f ca="1"/>
        <v>La preparatoria</v>
      </c>
      <c r="V225" s="1" t="str">
        <f ca="1"/>
        <v>Soy vendedor, atiendo a ancianos de la tercera edad y soy estudiante de preparatoria</v>
      </c>
      <c r="W225" s="17" t="str">
        <f ca="1"/>
        <v>D. Me gustan los deportes, I. Se me facilita el trabajo físico, J. Me gusta la atención a las personas, L. Soy bueno (a) en canto o algún instrumento, N. Suelo llevar el liderazgo en un grupo, O. Puedo enseñar con facilidad</v>
      </c>
      <c r="X225" s="17" t="str">
        <f ca="1"/>
        <v>Si (Authentic-Reinos</v>
      </c>
      <c r="Y225" s="1">
        <v>0</v>
      </c>
      <c r="AD225" s="23"/>
      <c r="AE225" s="55"/>
      <c r="AF225" s="55"/>
      <c r="AG225" s="55"/>
      <c r="AH225" s="55"/>
      <c r="AI225" s="55" t="s">
        <v>50</v>
      </c>
    </row>
    <row r="226" spans="1:35" ht="12.75" x14ac:dyDescent="0.35">
      <c r="A226" s="9">
        <v>225</v>
      </c>
      <c r="B226" s="1" t="str">
        <f ca="1"/>
        <v>Moisés Abraham, Garcia López</v>
      </c>
      <c r="C226" s="56">
        <f ca="1"/>
        <v>20</v>
      </c>
      <c r="D226" s="1" t="str">
        <f ca="1"/>
        <v>Hombre</v>
      </c>
      <c r="E226" s="1" t="str">
        <f ca="1"/>
        <v>Queretaro, Mexico</v>
      </c>
      <c r="F226" s="1" t="str">
        <f ca="1"/>
        <v>macedo.promso@gmail.com</v>
      </c>
      <c r="G226" s="1">
        <f ca="1"/>
        <v>524426374767</v>
      </c>
      <c r="H226" s="1" t="str">
        <f ca="1"/>
        <v>Jóvenes de 13 – 17 años / SEM2/ (4 - 09 agosto)</v>
      </c>
      <c r="I226" s="1" t="str">
        <f ca="1"/>
        <v>La biblia</v>
      </c>
      <c r="J226" s="1" t="str">
        <f ca="1"/>
        <v>Aif</v>
      </c>
      <c r="K226" s="1" t="str">
        <f ca="1"/>
        <v>Juan Manuel Nuñez</v>
      </c>
      <c r="L226" s="1">
        <f ca="1"/>
        <v>524424953342</v>
      </c>
      <c r="M226" s="1" t="str">
        <f ca="1"/>
        <v>macedo.promso@gmail.com</v>
      </c>
      <c r="N226" s="1" t="str">
        <f ca="1"/>
        <v>Estoy de apoyo en jovenes</v>
      </c>
      <c r="O226" s="1" t="str">
        <f ca="1"/>
        <v>Mi familia es cristiana y otra parte judia yo siempre he asistodo a una iglesia cristiana y judia me eduque en el hogar toda mi vida ahora trabajo, me gusta enseñar y soy paramedico. (No me se elcorreo del pastor )</v>
      </c>
      <c r="P226" s="1" t="str">
        <f ca="1"/>
        <v>Siempre asisti de campista y pienso que ahora ta puedo servir al Señor con los dones que tengo</v>
      </c>
      <c r="Q226" s="1" t="str">
        <f ca="1"/>
        <v>No</v>
      </c>
      <c r="R226" s="1">
        <v>0</v>
      </c>
      <c r="S226" s="1" t="str">
        <f ca="1"/>
        <v>Si</v>
      </c>
      <c r="T226" s="1" t="str">
        <f ca="1"/>
        <v>Viola y violin</v>
      </c>
      <c r="U226" s="1" t="str">
        <f ca="1"/>
        <v>No estudio por ahora</v>
      </c>
      <c r="V226" s="1" t="str">
        <f ca="1"/>
        <v>Paramedico, dibujo, enseño, toco instrumentos</v>
      </c>
      <c r="W226" s="17" t="str">
        <f ca="1"/>
        <v>A. Soy un discipulador activo, B. Me gusta animar a las personas, C. Suelo buscar que el trabajo se realice en equipo, E. Me gusta el trabajo con niños, J. Me gusta la atención a las personas, K. Soy creativo (a), L. Soy bueno (a) en canto o algún instrumento, O. Puedo enseñar con facilidad</v>
      </c>
      <c r="X226" s="17" t="str">
        <f ca="1"/>
        <v>No</v>
      </c>
      <c r="Y226" s="1">
        <v>0</v>
      </c>
      <c r="AD226" s="23"/>
      <c r="AE226" s="55"/>
      <c r="AF226" s="55"/>
      <c r="AG226" s="55"/>
      <c r="AH226" s="55"/>
      <c r="AI226" s="55" t="s">
        <v>50</v>
      </c>
    </row>
    <row r="227" spans="1:35" ht="12.75" x14ac:dyDescent="0.35">
      <c r="A227" s="9">
        <v>226</v>
      </c>
      <c r="B227" s="1" t="str">
        <f ca="1"/>
        <v>Vanessa, Reyes Rodríguez</v>
      </c>
      <c r="C227" s="56">
        <f ca="1"/>
        <v>18</v>
      </c>
      <c r="D227" s="1" t="str">
        <f ca="1"/>
        <v>Mujer</v>
      </c>
      <c r="E227" s="1" t="str">
        <f ca="1"/>
        <v>Queretaro, Mexico</v>
      </c>
      <c r="F227" s="1" t="str">
        <f ca="1"/>
        <v>vanessareyesrodriguezz@gmail.com</v>
      </c>
      <c r="G227" s="1">
        <f ca="1"/>
        <v>524421734282</v>
      </c>
      <c r="H227" s="1" t="str">
        <f ca="1"/>
        <v>Jóvenes de 13 – 17 años / SEM2/ (4 - 09 agosto), Jóvenes de 13 – 17 años / SEM3/ (11 - 16 agosto)</v>
      </c>
      <c r="I227" s="1" t="str">
        <f ca="1"/>
        <v>Si Jesús Me Preguntara</v>
      </c>
      <c r="J227" s="1" t="str">
        <f ca="1"/>
        <v>Horizonte</v>
      </c>
      <c r="K227" s="1" t="str">
        <f ca="1"/>
        <v>Karol Colindres Rodas</v>
      </c>
      <c r="L227" s="1">
        <f ca="1"/>
        <v>43657</v>
      </c>
      <c r="M227" s="1" t="str">
        <f ca="1"/>
        <v>karolcolindres2@gmail.com</v>
      </c>
      <c r="N227" s="1" t="str">
        <f ca="1"/>
        <v>aún no ejerzo en un ministerio</v>
      </c>
      <c r="O227" s="1" t="str">
        <f ca="1"/>
        <v>Fue en el 2019 durante una prédica en un campamento que organizó la escuela</v>
      </c>
      <c r="P227" s="1" t="str">
        <f ca="1"/>
        <v>Porque quiero tener experiencia de servir y pues es una forma diferente de disfrutar el campa</v>
      </c>
      <c r="Q227" s="1" t="str">
        <f ca="1"/>
        <v>Si</v>
      </c>
      <c r="R227" s="1" t="str">
        <f ca="1"/>
        <v>Volley</v>
      </c>
      <c r="S227" s="1" t="str">
        <f ca="1"/>
        <v>No</v>
      </c>
      <c r="T227" s="1">
        <v>0</v>
      </c>
      <c r="U227" s="1" t="str">
        <f ca="1"/>
        <v>acabo de graduarme de prepa</v>
      </c>
      <c r="V227" s="1" t="str">
        <f ca="1"/>
        <v>soy buena dibujando o pintando, juego bien volley, sé cocinar, sé hacer cualquier de limpieza, sé animar a las personas- suelen acercarse a mí para consejos, hablo inglés y español.</v>
      </c>
      <c r="W227" s="17" t="str">
        <f ca="1"/>
        <v>B. Me gusta animar a las personas, C. Suelo buscar que el trabajo se realice en equipo, D. Me gustan los deportes, E. Me gusta el trabajo con niños, G. Soy más eficiente en el trabajo individual, I. Se me facilita el trabajo físico, J. Me gusta la atención a las personas, K. Soy creativo (a), O. Puedo enseñar con facilidad</v>
      </c>
      <c r="X227" s="17" t="str">
        <f ca="1"/>
        <v>si en el 2023 y 2024</v>
      </c>
      <c r="Y227" s="1">
        <v>0</v>
      </c>
      <c r="AD227" s="23"/>
      <c r="AE227" s="55"/>
      <c r="AF227" s="55"/>
      <c r="AG227" s="55"/>
      <c r="AH227" s="55"/>
      <c r="AI227" s="55" t="s">
        <v>25</v>
      </c>
    </row>
    <row r="228" spans="1:35" ht="12.75" x14ac:dyDescent="0.35">
      <c r="A228" s="9">
        <v>227</v>
      </c>
      <c r="B228" s="1" t="str">
        <f ca="1"/>
        <v>Paola, Reyes Rodríguez</v>
      </c>
      <c r="C228" s="56">
        <f ca="1"/>
        <v>19</v>
      </c>
      <c r="D228" s="1" t="str">
        <f ca="1"/>
        <v>Mujer</v>
      </c>
      <c r="E228" s="1" t="str">
        <f ca="1"/>
        <v>Queretaro, Mexico</v>
      </c>
      <c r="F228" s="1" t="str">
        <f ca="1"/>
        <v>paolareyesrca@gmail.com</v>
      </c>
      <c r="G228" s="1">
        <f ca="1"/>
        <v>52443527548</v>
      </c>
      <c r="H228" s="1" t="str">
        <f ca="1"/>
        <v>Jóvenes de 13 – 17 años / SEM2/ (4 - 09 agosto), Jóvenes de 13 – 17 años / SEM3/ (11 - 16 agosto)</v>
      </c>
      <c r="I228" s="1" t="str">
        <f ca="1"/>
        <v>El valor terapéutico del perdón</v>
      </c>
      <c r="J228" s="1" t="str">
        <f ca="1"/>
        <v>Horizonte</v>
      </c>
      <c r="K228" s="1" t="str">
        <f ca="1"/>
        <v>Karol Colindres Rodas</v>
      </c>
      <c r="L228" s="1">
        <f ca="1"/>
        <v>43657</v>
      </c>
      <c r="M228" s="1" t="str">
        <f ca="1"/>
        <v>karolcolindres2@gmail.com</v>
      </c>
      <c r="N228" s="1" t="str">
        <f ca="1"/>
        <v>aún no ejerzo en uno</v>
      </c>
      <c r="O228" s="1" t="str">
        <f ca="1"/>
        <v>Yo era católica y tenía creencias y pensamientos erróneos, creía que conocía a Dios pero estaba equivocada. Conocí a Cristo mediante unos amigos de mis papás que nos invitaron a la iglesia, ahí me hablar de aceptar a Cristo en mi corazón y como salvador, y desde los 12 años hasta ahora sigo enamorándome de Cristo cada día más.</v>
      </c>
      <c r="P228" s="1" t="str">
        <f ca="1"/>
        <v>Me gustaría servir porque es algo que nunca he echo y se que Dios quiere que lo haga antes de entrar a la universidad a estudiar medicina y que tal vez en un futuro ya no te va la oportunidad de servir.</v>
      </c>
      <c r="Q228" s="1" t="str">
        <f ca="1"/>
        <v>Si</v>
      </c>
      <c r="R228" s="1" t="str">
        <f ca="1"/>
        <v>Volleyball</v>
      </c>
      <c r="S228" s="1" t="str">
        <f ca="1"/>
        <v>No</v>
      </c>
      <c r="T228" s="1">
        <v>0</v>
      </c>
      <c r="U228" s="1" t="str">
        <f ca="1"/>
        <v>Todavía no entro a la carrera</v>
      </c>
      <c r="V228" s="1" t="str">
        <f ca="1"/>
        <v>aprendo rápido, se hacer cualquier cosa relacionada con la limpieza de hogar, se cocinar, hablo inglés y español, juego bien volley , se bailar,</v>
      </c>
      <c r="W228" s="17" t="str">
        <f ca="1"/>
        <v>B. Me gusta animar a las personas, C. Suelo buscar que el trabajo se realice en equipo, D. Me gustan los deportes, H. Soy organizado (a), I. Se me facilita el trabajo físico, J. Me gusta la atención a las personas, K. Soy creativo (a), M. Soy bueno (a) con los números, N. Suelo llevar el liderazgo en un grupo, O. Puedo enseñar con facilidad</v>
      </c>
      <c r="X228" s="17" t="str">
        <f ca="1"/>
        <v>2023 y 2024</v>
      </c>
      <c r="Y228" s="1">
        <v>0</v>
      </c>
      <c r="AD228" s="23"/>
      <c r="AE228" s="55"/>
      <c r="AF228" s="55"/>
      <c r="AG228" s="55"/>
      <c r="AH228" s="55"/>
      <c r="AI228" s="55" t="s">
        <v>25</v>
      </c>
    </row>
    <row r="229" spans="1:35" ht="12.75" x14ac:dyDescent="0.35">
      <c r="A229" s="9">
        <v>228</v>
      </c>
      <c r="B229" s="1" t="str">
        <f ca="1"/>
        <v>Juan Carlos, Soto Vázquez</v>
      </c>
      <c r="C229" s="56">
        <f ca="1"/>
        <v>23</v>
      </c>
      <c r="D229" s="1" t="str">
        <f ca="1"/>
        <v>Hombre</v>
      </c>
      <c r="E229" s="1" t="str">
        <f ca="1"/>
        <v>Queretaro, Mexico</v>
      </c>
      <c r="F229" s="1" t="str">
        <f ca="1"/>
        <v>sotojcv@gmail.com</v>
      </c>
      <c r="G229" s="1">
        <f ca="1"/>
        <v>527296728432</v>
      </c>
      <c r="H229" s="1" t="str">
        <f ca="1"/>
        <v>Jóvenes de 13 – 17 años / SEM1/ (28 Julio a 02 de agosto)</v>
      </c>
      <c r="I229" s="1" t="str">
        <f ca="1"/>
        <v>Biblia</v>
      </c>
      <c r="J229" s="1" t="str">
        <f ca="1"/>
        <v>Iglesia Bíblica Vida Nueva</v>
      </c>
      <c r="K229" s="1" t="str">
        <f ca="1"/>
        <v>Héctor Villanueva</v>
      </c>
      <c r="L229" s="1">
        <f ca="1"/>
        <v>524421578292</v>
      </c>
      <c r="M229" s="1" t="str">
        <f ca="1"/>
        <v>hectorjvj@gmail.com</v>
      </c>
      <c r="N229" s="1" t="str">
        <f ca="1"/>
        <v>Líder de club biblico</v>
      </c>
      <c r="O229" s="1" t="str">
        <f ca="1"/>
        <v>Dios me salvó cuando era pequeño y mi avivamiento vino tiempo después cuando tenía 18 años cuando me cansé de vivir peleando con el pecado en mis propias fuerzas y entonces Dios cambió mi vida como nunca antes y así lo ha estado haciendo hasta hoy.</v>
      </c>
      <c r="P229" s="1" t="str">
        <f ca="1"/>
        <v>Deseo ser parte porque es un privilegio servir al Señor y siempre que se dé la oportunidad como esta semana pues quiero hacerlo en obediencia a la gran comisión.</v>
      </c>
      <c r="Q229" s="1" t="str">
        <f ca="1"/>
        <v>Si</v>
      </c>
      <c r="R229" s="1" t="str">
        <f ca="1"/>
        <v>Básquet</v>
      </c>
      <c r="S229" s="1" t="str">
        <f ca="1"/>
        <v>Si</v>
      </c>
      <c r="T229" s="1" t="str">
        <f ca="1"/>
        <v>Piano</v>
      </c>
      <c r="U229" s="1" t="str">
        <f ca="1"/>
        <v>Administración en finanzas</v>
      </c>
      <c r="V229" s="1" t="str">
        <f ca="1"/>
        <v>Facilidad para enseñar.</v>
      </c>
      <c r="W229" s="17" t="str">
        <f ca="1"/>
        <v>A. Soy un discipulador activo, B. Me gusta animar a las personas, D. Me gustan los deportes, E. Me gusta el trabajo con niños, J. Me gusta la atención a las personas, K. Soy creativo (a), O. Puedo enseñar con facilidad</v>
      </c>
      <c r="X229" s="17" t="str">
        <f ca="1"/>
        <v>Sí, 2020</v>
      </c>
      <c r="Y229" s="1">
        <v>0</v>
      </c>
      <c r="AD229" s="23"/>
      <c r="AE229" s="55"/>
      <c r="AF229" s="55"/>
      <c r="AG229" s="55" t="s">
        <v>45</v>
      </c>
      <c r="AH229" s="55"/>
      <c r="AI229" s="55"/>
    </row>
    <row r="230" spans="1:35" ht="12.75" x14ac:dyDescent="0.35">
      <c r="A230" s="9">
        <v>229</v>
      </c>
      <c r="B230" s="1" t="str">
        <f ca="1"/>
        <v>Marisol, Liu Ng</v>
      </c>
      <c r="C230" s="56">
        <f ca="1"/>
        <v>24</v>
      </c>
      <c r="D230" s="1" t="str">
        <f ca="1"/>
        <v>Mujer</v>
      </c>
      <c r="E230" s="1" t="str">
        <f ca="1"/>
        <v>Queretaro, Mexico</v>
      </c>
      <c r="F230" s="1" t="str">
        <f ca="1"/>
        <v>marisolng26@gmail.com</v>
      </c>
      <c r="G230" s="1">
        <f ca="1"/>
        <v>527298598399</v>
      </c>
      <c r="H230" s="1" t="str">
        <f ca="1"/>
        <v>Jóvenes de 13 – 17 años / SEM1/ (28 Julio a 02 de agosto)</v>
      </c>
      <c r="I230" s="1" t="str">
        <f ca="1"/>
        <v>Biblia</v>
      </c>
      <c r="J230" s="1" t="str">
        <f ca="1"/>
        <v>Iglesia bíblica vida nueva en Querétaro.</v>
      </c>
      <c r="K230" s="1" t="str">
        <f ca="1"/>
        <v>Héctor Villanueva</v>
      </c>
      <c r="L230" s="1">
        <f ca="1"/>
        <v>524421578292</v>
      </c>
      <c r="M230" s="1" t="str">
        <f ca="1"/>
        <v>hectorjvj@gmail.com</v>
      </c>
      <c r="N230" s="1" t="str">
        <f ca="1"/>
        <v>Líder de club biblico</v>
      </c>
      <c r="O230" s="1" t="str">
        <f ca="1"/>
        <v>Desde pequeña acepté a Cristo pero no comprendí completamente el mensaje de salvación hasta que profundicé en su palabra cuando tenía 18 años estudiando en el instituto bíblico y ahí acepté el amor de Dios en mi vida y dejé de tener dudas sobre mi salvación.</v>
      </c>
      <c r="P230" s="1" t="str">
        <f ca="1"/>
        <v>Porque Dios quiere que le sirvamos siempre que hay la oportunidad.</v>
      </c>
      <c r="Q230" s="1" t="str">
        <f ca="1"/>
        <v>No</v>
      </c>
      <c r="R230" s="1">
        <v>0</v>
      </c>
      <c r="S230" s="1" t="str">
        <f ca="1"/>
        <v>No</v>
      </c>
      <c r="T230" s="1">
        <v>0</v>
      </c>
      <c r="U230" s="1" t="str">
        <f ca="1"/>
        <v>Pedagogía</v>
      </c>
      <c r="V230" s="1" t="str">
        <f ca="1"/>
        <v>Facilidad para enseñar y don de servicio</v>
      </c>
      <c r="W230" s="17" t="str">
        <f ca="1"/>
        <v>A. Soy un discipulador activo, C. Suelo buscar que el trabajo se realice en equipo, G. Soy más eficiente en el trabajo individual, H. Soy organizado (a), J. Me gusta la atención a las personas, K. Soy creativo (a), O. Puedo enseñar con facilidad</v>
      </c>
      <c r="X230" s="17" t="str">
        <f ca="1"/>
        <v>No</v>
      </c>
      <c r="Y230" s="1">
        <v>0</v>
      </c>
      <c r="AD230" s="23"/>
      <c r="AE230" s="55"/>
      <c r="AF230" s="55"/>
      <c r="AG230" s="55" t="s">
        <v>25</v>
      </c>
      <c r="AH230" s="55"/>
      <c r="AI230" s="55"/>
    </row>
    <row r="231" spans="1:35" ht="12.75" x14ac:dyDescent="0.35">
      <c r="A231" s="9">
        <v>230</v>
      </c>
      <c r="B231" s="1" t="str">
        <f ca="1"/>
        <v>Julio, Villanueva Aranda</v>
      </c>
      <c r="C231" s="56">
        <f ca="1"/>
        <v>24</v>
      </c>
      <c r="D231" s="1" t="str">
        <f ca="1"/>
        <v>Hombre</v>
      </c>
      <c r="E231" s="1" t="str">
        <f ca="1"/>
        <v>Queretaro, Mexico</v>
      </c>
      <c r="F231" s="1" t="str">
        <f ca="1"/>
        <v>juliovillaran05@gmail.com</v>
      </c>
      <c r="G231" s="1">
        <f ca="1"/>
        <v>524423819650</v>
      </c>
      <c r="H231" s="1" t="str">
        <f ca="1"/>
        <v>Jóvenes de 13 – 17 años / SEM1/ (28 Julio a 02 de agosto)</v>
      </c>
      <c r="I231" s="1" t="str">
        <f ca="1"/>
        <v>.</v>
      </c>
      <c r="J231" s="1" t="str">
        <f ca="1"/>
        <v>.</v>
      </c>
      <c r="K231" s="1" t="str">
        <f ca="1"/>
        <v>.</v>
      </c>
      <c r="L231" s="1">
        <f ca="1"/>
        <v>52442111111</v>
      </c>
      <c r="M231" s="1" t="str">
        <f ca="1"/>
        <v>2@gmail.com</v>
      </c>
      <c r="N231" s="1" t="str">
        <f ca="1"/>
        <v>.</v>
      </c>
      <c r="O231" s="1" t="str">
        <f ca="1"/>
        <v>.
.</v>
      </c>
      <c r="P231" s="1" t="str">
        <f ca="1"/>
        <v>.</v>
      </c>
      <c r="Q231" s="1" t="str">
        <f ca="1"/>
        <v>No</v>
      </c>
      <c r="R231" s="1">
        <v>0</v>
      </c>
      <c r="S231" s="1" t="str">
        <f ca="1"/>
        <v>No</v>
      </c>
      <c r="T231" s="1">
        <v>0</v>
      </c>
      <c r="U231" s="1" t="str">
        <f ca="1"/>
        <v>.</v>
      </c>
      <c r="V231" s="1" t="str">
        <f ca="1"/>
        <v>.</v>
      </c>
      <c r="W231" s="17" t="str">
        <f ca="1"/>
        <v>N. Suelo llevar el liderazgo en un grupo</v>
      </c>
      <c r="X231" s="17" t="str">
        <f ca="1"/>
        <v>.</v>
      </c>
      <c r="Y231" s="1">
        <v>0</v>
      </c>
      <c r="AG231" s="55" t="s">
        <v>50</v>
      </c>
      <c r="AH231" s="55"/>
      <c r="AI231" s="55"/>
    </row>
    <row r="232" spans="1:35" ht="12.75" x14ac:dyDescent="0.35">
      <c r="A232" s="9">
        <v>231</v>
      </c>
      <c r="B232" s="1" t="str">
        <f ca="1"/>
        <v>Joel Salvador, Almeraz Rubio</v>
      </c>
      <c r="C232" s="56">
        <f ca="1"/>
        <v>23</v>
      </c>
      <c r="D232" s="1" t="str">
        <f ca="1"/>
        <v>Hombre</v>
      </c>
      <c r="E232" s="1" t="str">
        <f ca="1"/>
        <v>Jalisco, Mexico</v>
      </c>
      <c r="F232" s="1" t="str">
        <f ca="1"/>
        <v>Joel20almeraz@gmail.com</v>
      </c>
      <c r="G232" s="61">
        <f ca="1"/>
        <v>523318841885</v>
      </c>
      <c r="H232" s="1" t="str">
        <f ca="1"/>
        <v>Jóvenes de 13 – 17 años / SEM1/ (28 Julio a 02 de agosto)</v>
      </c>
      <c r="I232" s="1" t="str">
        <f ca="1"/>
        <v>Quiet time</v>
      </c>
      <c r="J232" s="1" t="str">
        <f ca="1"/>
        <v>Emanuel</v>
      </c>
      <c r="K232" s="1" t="str">
        <f ca="1"/>
        <v>Jesús García</v>
      </c>
      <c r="L232" s="1">
        <f ca="1"/>
        <v>523311128056</v>
      </c>
      <c r="M232" s="1" t="str">
        <f ca="1"/>
        <v>jesus_garcia7@hotmail.com</v>
      </c>
      <c r="N232" s="1" t="str">
        <f ca="1"/>
        <v>Multimedia y Liderazgo de jóvenes</v>
      </c>
      <c r="O232" s="1" t="str">
        <f ca="1"/>
        <v>Yo acepté a Jesucristo como mi único y suficiente salvador a los 10 años en un campamento y entregué mi vida al Señor en una fogata en palabra de vida</v>
      </c>
      <c r="P232" s="1" t="str">
        <f ca="1"/>
        <v>Me gustaría servir y que mi vida alabe al Padre, y que otras personas conozcan de Él</v>
      </c>
      <c r="Q232" s="1" t="str">
        <f ca="1"/>
        <v>Si</v>
      </c>
      <c r="R232" s="1" t="str">
        <f ca="1"/>
        <v>Futbol, Ciclismo de montaña</v>
      </c>
      <c r="S232" s="1" t="str">
        <f ca="1"/>
        <v>No</v>
      </c>
      <c r="T232" s="1">
        <v>0</v>
      </c>
      <c r="U232" s="1" t="str">
        <f ca="1"/>
        <v>Estudié cultura física y deportes</v>
      </c>
      <c r="V232" s="1" t="str">
        <f ca="1"/>
        <v>Soy instructor de actividades físicas para adultos mayores, también trabajo con niños en una escuela de ciclismo</v>
      </c>
      <c r="W232" s="17" t="str">
        <f ca="1"/>
        <v>A. Soy un discipulador activo, B. Me gusta animar a las personas, C. Suelo buscar que el trabajo se realice en equipo, D. Me gustan los deportes, E. Me gusta el trabajo con niños, H. Soy organizado (a), J. Me gusta la atención a las personas, K. Soy creativo (a), N. Suelo llevar el liderazgo en un grupo, O. Puedo enseñar con facilidad</v>
      </c>
      <c r="X232" s="17" t="str">
        <f ca="1"/>
        <v>2012, 2014, 2015, 2016</v>
      </c>
      <c r="Y232" s="1">
        <v>0</v>
      </c>
      <c r="AG232" s="55" t="s">
        <v>45</v>
      </c>
      <c r="AH232" s="55"/>
      <c r="AI232" s="55"/>
    </row>
    <row r="233" spans="1:35" ht="12.75" x14ac:dyDescent="0.35">
      <c r="A233" s="9">
        <v>232</v>
      </c>
      <c r="B233" s="62" t="str">
        <f ca="1"/>
        <v>Bequez, Rodriguez mendez</v>
      </c>
      <c r="C233" s="63">
        <f ca="1"/>
        <v>22</v>
      </c>
      <c r="D233" s="62" t="str">
        <f ca="1"/>
        <v>Hombre</v>
      </c>
      <c r="E233" s="62" t="str">
        <f ca="1"/>
        <v>Jalisco, Mexico</v>
      </c>
      <c r="F233" s="62" t="str">
        <f ca="1"/>
        <v>bequez0406@gmail.com</v>
      </c>
      <c r="G233" s="62">
        <f ca="1"/>
        <v>523326545533</v>
      </c>
      <c r="H233" s="62" t="str">
        <f ca="1"/>
        <v>Jóvenes de 13 – 17 años / SEM1/ (28 Julio a 02 de agosto)</v>
      </c>
      <c r="I233" s="62" t="str">
        <f ca="1"/>
        <v>Lectura personal</v>
      </c>
      <c r="J233" s="62" t="str">
        <f ca="1"/>
        <v>Iglesia vida</v>
      </c>
      <c r="K233" s="62" t="str">
        <f ca="1"/>
        <v>Neftali</v>
      </c>
      <c r="L233" s="62">
        <f ca="1"/>
        <v>523326545533</v>
      </c>
      <c r="M233" s="62" t="str">
        <f ca="1"/>
        <v>nefaly@gmail.com</v>
      </c>
      <c r="N233" s="62" t="str">
        <f ca="1"/>
        <v>Jovenes lider</v>
      </c>
      <c r="O233" s="62" t="str">
        <f ca="1"/>
        <v>Renia 12 años conoci a nef, predico con el envagelilio ilustrado y entendi que era el evangelio</v>
      </c>
      <c r="P233" s="62" t="str">
        <f ca="1"/>
        <v>Me gusta servir , como cada año , para alcansar a mas personas</v>
      </c>
      <c r="Q233" s="62" t="str">
        <f ca="1"/>
        <v>Si</v>
      </c>
      <c r="R233" s="62" t="str">
        <f ca="1"/>
        <v>Fut , basquet , bici</v>
      </c>
      <c r="S233" s="62" t="str">
        <f ca="1"/>
        <v>No</v>
      </c>
      <c r="T233" s="62">
        <v>0</v>
      </c>
      <c r="U233" s="62" t="str">
        <f ca="1"/>
        <v>Termine mi año en guatemala , y estoy por retomar mis estudios</v>
      </c>
      <c r="V233" s="62" t="str">
        <f ca="1"/>
        <v>Deportes</v>
      </c>
      <c r="W233" s="64" t="str">
        <f ca="1"/>
        <v>A. Soy un discipulador activo, B. Me gusta animar a las personas, C. Suelo buscar que el trabajo se realice en equipo, D. Me gustan los deportes, I. Se me facilita el trabajo físico, K. Soy creativo (a)</v>
      </c>
      <c r="X233" s="64">
        <f ca="1"/>
        <v>2019</v>
      </c>
      <c r="Y233" s="62">
        <v>0</v>
      </c>
      <c r="Z233" s="62"/>
      <c r="AA233" s="62"/>
      <c r="AB233" s="62"/>
      <c r="AC233" s="62"/>
      <c r="AD233" s="62"/>
      <c r="AE233" s="62"/>
      <c r="AF233" s="65" t="s">
        <v>50</v>
      </c>
      <c r="AG233" s="55" t="s">
        <v>51</v>
      </c>
      <c r="AH233" s="55" t="s">
        <v>45</v>
      </c>
      <c r="AI233" s="55" t="s">
        <v>50</v>
      </c>
    </row>
    <row r="234" spans="1:35" ht="12.75" x14ac:dyDescent="0.35">
      <c r="A234" s="9">
        <v>233</v>
      </c>
      <c r="B234" s="1" t="str">
        <f ca="1"/>
        <v>Baruc, Valero</v>
      </c>
      <c r="C234" s="56">
        <f ca="1"/>
        <v>20</v>
      </c>
      <c r="D234" s="1" t="str">
        <f ca="1"/>
        <v>Hombre</v>
      </c>
      <c r="E234" s="1" t="str">
        <f ca="1"/>
        <v>Veracruz, Mexico</v>
      </c>
      <c r="F234" s="1" t="str">
        <f ca="1"/>
        <v>vartru_valero05@outlook.com</v>
      </c>
      <c r="G234" s="61">
        <f ca="1"/>
        <v>522722489813</v>
      </c>
      <c r="H234" s="1" t="str">
        <f ca="1"/>
        <v>Jóvenes de 13 – 17 años / SEM1/ (28 Julio a 02 de agosto)</v>
      </c>
      <c r="I234" s="1" t="str">
        <f ca="1"/>
        <v>Biblia</v>
      </c>
      <c r="J234" s="1" t="str">
        <f ca="1"/>
        <v>Iglesia bautista redención</v>
      </c>
      <c r="K234" s="1" t="str">
        <f ca="1"/>
        <v>Aldo Ramirez</v>
      </c>
      <c r="L234" s="1">
        <f ca="1"/>
        <v>522294358989</v>
      </c>
      <c r="M234" s="1" t="str">
        <f ca="1"/>
        <v>nomelose@hotmail.com</v>
      </c>
      <c r="N234" s="1" t="str">
        <f ca="1"/>
        <v>ayudo en algunas actividades</v>
      </c>
      <c r="O234" s="1" t="str">
        <f ca="1"/>
        <v>Desde muy chico conocí de Dios por mis padres, pero no tiene mucho que realmente intento tener una relación con Dios y quiero hacer su voluntad y dejar que él guíe mi vida :)</v>
      </c>
      <c r="P234" s="1" t="str">
        <f ca="1"/>
        <v>Pues la verdad no quería estar de equipante, pero después del campamento sentí un gran deseo de servir y ayudar en lo que se pueda</v>
      </c>
      <c r="Q234" s="1" t="str">
        <f ca="1"/>
        <v>Si</v>
      </c>
      <c r="R234" s="1" t="str">
        <f ca="1"/>
        <v>Basketball</v>
      </c>
      <c r="S234" s="1" t="str">
        <f ca="1"/>
        <v>Si</v>
      </c>
      <c r="T234" s="1" t="str">
        <f ca="1"/>
        <v>Guitarra</v>
      </c>
      <c r="U234" s="1" t="str">
        <f ca="1"/>
        <v>Negocios internacionales</v>
      </c>
      <c r="V234" s="1" t="str">
        <f ca="1"/>
        <v>De dibujar, y me gusta mucho las actividades de riesgo je</v>
      </c>
      <c r="W234" s="17" t="str">
        <f ca="1"/>
        <v>D. Me gustan los deportes, G. Soy más eficiente en el trabajo individual</v>
      </c>
      <c r="X234" s="17" t="str">
        <f ca="1"/>
        <v>Si, ya van como 7 años que estoy de campero y 1 de equipante</v>
      </c>
      <c r="Y234" s="1">
        <v>0</v>
      </c>
      <c r="AG234" s="55" t="s">
        <v>51</v>
      </c>
      <c r="AH234" s="55"/>
      <c r="AI234" s="55" t="s">
        <v>50</v>
      </c>
    </row>
    <row r="235" spans="1:35" ht="12.75" x14ac:dyDescent="0.35">
      <c r="A235" s="9">
        <v>234</v>
      </c>
      <c r="B235" s="66" t="str">
        <f ca="1"/>
        <v>Sebastian, Mora Mendoza</v>
      </c>
      <c r="C235" s="67">
        <f ca="1"/>
        <v>18</v>
      </c>
      <c r="D235" s="66" t="str">
        <f ca="1"/>
        <v>Hombre</v>
      </c>
      <c r="E235" s="66" t="str">
        <f ca="1"/>
        <v>Queretaro, Mexico</v>
      </c>
      <c r="F235" s="66" t="str">
        <f ca="1"/>
        <v>basticmora@gmail.com</v>
      </c>
      <c r="G235" s="66">
        <f ca="1"/>
        <v>524461695000</v>
      </c>
      <c r="H235" s="66" t="str">
        <f ca="1"/>
        <v>Jóvenes de 13 – 17 años / SEM1/ (28 Julio a 02 de agosto)</v>
      </c>
      <c r="I235" s="66" t="str">
        <f ca="1"/>
        <v>Biblia</v>
      </c>
      <c r="J235" s="66" t="str">
        <f ca="1"/>
        <v>MVI</v>
      </c>
      <c r="K235" s="66" t="str">
        <f ca="1"/>
        <v>Jonathan Hernández Loera</v>
      </c>
      <c r="L235" s="66">
        <f ca="1"/>
        <v>524422121125</v>
      </c>
      <c r="M235" s="66" t="str">
        <f ca="1"/>
        <v>oficinamviqueretaro@gmail.com</v>
      </c>
      <c r="N235" s="66" t="str">
        <f ca="1"/>
        <v>Mantenimiento</v>
      </c>
      <c r="O235" s="66" t="str">
        <f ca="1"/>
        <v>Fue en mi primer campamento al que asistí, en 2019 en el momento de la fogata</v>
      </c>
      <c r="P235" s="66" t="str">
        <f ca="1"/>
        <v>Fui el año pasado gracias a unos amigos que me invitaron y me gustó servir</v>
      </c>
      <c r="Q235" s="66" t="str">
        <f ca="1"/>
        <v>No</v>
      </c>
      <c r="R235" s="66">
        <v>0</v>
      </c>
      <c r="S235" s="66" t="str">
        <f ca="1"/>
        <v>No</v>
      </c>
      <c r="T235" s="66">
        <v>0</v>
      </c>
      <c r="U235" s="66" t="str">
        <f ca="1"/>
        <v>Preparatoria</v>
      </c>
      <c r="V235" s="66" t="str">
        <f ca="1"/>
        <v>Capacidad de adaptación</v>
      </c>
      <c r="W235" s="68" t="str">
        <f ca="1"/>
        <v>F. Soy eficiente en el trabajo con herramientas, equipos y maquinarias, G. Soy más eficiente en el trabajo individual, H. Soy organizado (a), I. Se me facilita el trabajo físico</v>
      </c>
      <c r="X235" s="68" t="str">
        <f ca="1"/>
        <v>Desde el 2019</v>
      </c>
      <c r="Y235" s="66">
        <v>0</v>
      </c>
      <c r="Z235" s="66"/>
      <c r="AA235" s="66"/>
      <c r="AB235" s="66"/>
      <c r="AC235" s="66"/>
      <c r="AD235" s="66"/>
      <c r="AE235" s="66"/>
      <c r="AF235" s="66"/>
      <c r="AG235" s="55" t="s">
        <v>28</v>
      </c>
      <c r="AH235" s="55" t="s">
        <v>28</v>
      </c>
      <c r="AI235" s="55"/>
    </row>
    <row r="236" spans="1:35" ht="12.75" x14ac:dyDescent="0.35">
      <c r="A236" s="9">
        <v>235</v>
      </c>
      <c r="B236" s="1" t="str">
        <f ca="1"/>
        <v>Kevin Jesús, Cruz Mandujano</v>
      </c>
      <c r="C236" s="56">
        <f ca="1"/>
        <v>26</v>
      </c>
      <c r="D236" s="1" t="str">
        <f ca="1"/>
        <v>Hombre</v>
      </c>
      <c r="E236" s="1" t="str">
        <f ca="1"/>
        <v>Campeche, Mexico</v>
      </c>
      <c r="F236" s="1" t="str">
        <f ca="1"/>
        <v>kevinmandujano9@gmail.com</v>
      </c>
      <c r="G236" s="1">
        <f ca="1"/>
        <v>529381077990</v>
      </c>
      <c r="H236" s="1" t="str">
        <f ca="1"/>
        <v>Jóvenes de 13 – 17 años / SEM2/ (4 - 09 agosto), Jóvenes de 13 – 17 años / SEM3/ (11 - 16 agosto)</v>
      </c>
      <c r="I236" s="1" t="str">
        <f ca="1"/>
        <v>Vida SC</v>
      </c>
      <c r="J236" s="1" t="str">
        <f ca="1"/>
        <v>Vida Sc</v>
      </c>
      <c r="K236" s="1" t="str">
        <f ca="1"/>
        <v>José Natividad Ramos Oyosa</v>
      </c>
      <c r="L236" s="1">
        <f ca="1"/>
        <v>529381032007</v>
      </c>
      <c r="M236" s="1" t="str">
        <f ca="1"/>
        <v>jnatividadramosg@gmail.com</v>
      </c>
      <c r="N236" s="1" t="str">
        <f ca="1"/>
        <v>Alabanza/ Jovenes</v>
      </c>
      <c r="O236" s="1" t="str">
        <f ca="1"/>
        <v>Desde pequeño he asistido a la iglesia pero no había tenido un encuentro real con Dios hasta hace 5 años, el Señor se reveló de una gran manera en mi vida y todo cambio</v>
      </c>
      <c r="P236" s="1" t="str">
        <f ca="1"/>
        <v>Ya he sido consejero y en mi iglesia soy uno de los líderes de jóvenes, voy con el objetivo de servir al Señor y seguir aprendiendo de cómo darle seguimiento a los chicos</v>
      </c>
      <c r="Q236" s="1" t="str">
        <f ca="1"/>
        <v>No</v>
      </c>
      <c r="R236" s="1">
        <v>0</v>
      </c>
      <c r="S236" s="1" t="str">
        <f ca="1"/>
        <v>Si</v>
      </c>
      <c r="T236" s="1" t="str">
        <f ca="1"/>
        <v>Guitarra y bajo</v>
      </c>
      <c r="U236" s="1" t="str">
        <f ca="1"/>
        <v>Ingeniería en energías</v>
      </c>
      <c r="V236" s="1" t="str">
        <f ca="1"/>
        <v>Maestro</v>
      </c>
      <c r="W236" s="17" t="str">
        <f ca="1"/>
        <v>A. Soy un discipulador activo, B. Me gusta animar a las personas, C. Suelo buscar que el trabajo se realice en equipo, G. Soy más eficiente en el trabajo individual, H. Soy organizado (a), J. Me gusta la atención a las personas, K. Soy creativo (a), L. Soy bueno (a) en canto o algún instrumento, N. Suelo llevar el liderazgo en un grupo</v>
      </c>
      <c r="X236" s="17" t="str">
        <f ca="1"/>
        <v>Hace 2 años fui consejero</v>
      </c>
      <c r="Y236" s="1">
        <v>0</v>
      </c>
      <c r="AG236" s="55" t="s">
        <v>51</v>
      </c>
      <c r="AH236" s="55"/>
      <c r="AI236" s="55" t="s">
        <v>45</v>
      </c>
    </row>
    <row r="237" spans="1:35" ht="12.75" x14ac:dyDescent="0.35">
      <c r="A237" s="9">
        <v>236</v>
      </c>
      <c r="B237" s="66" t="str">
        <f ca="1"/>
        <v>Pablo Jafet, Sanchez Garcia</v>
      </c>
      <c r="C237" s="67">
        <f ca="1"/>
        <v>18</v>
      </c>
      <c r="D237" s="66" t="str">
        <f ca="1"/>
        <v>Hombre</v>
      </c>
      <c r="E237" s="66" t="str">
        <f ca="1"/>
        <v>Queretaro, Mexico</v>
      </c>
      <c r="F237" s="66" t="str">
        <f ca="1"/>
        <v>PabloSanchez2106@hotmail.com</v>
      </c>
      <c r="G237" s="66">
        <f ca="1"/>
        <v>524425654393</v>
      </c>
      <c r="H237" s="66" t="str">
        <f ca="1"/>
        <v>Jóvenes de 13 – 17 años / SEM1/ (28 Julio a 02 de agosto)</v>
      </c>
      <c r="I237" s="66" t="str">
        <f ca="1"/>
        <v>Hora Silenciosa</v>
      </c>
      <c r="J237" s="66" t="str">
        <f ca="1"/>
        <v>Ministerios de Reconciliacion</v>
      </c>
      <c r="K237" s="66" t="str">
        <f ca="1"/>
        <v>Abel Sánchez</v>
      </c>
      <c r="L237" s="66">
        <f ca="1"/>
        <v>524422009595</v>
      </c>
      <c r="M237" s="66" t="str">
        <f ca="1"/>
        <v>abogadosur@hotmail.com</v>
      </c>
      <c r="N237" s="66" t="str">
        <f ca="1"/>
        <v>liderazgo de jóvenes</v>
      </c>
      <c r="O237" s="66" t="str">
        <f ca="1"/>
        <v>Nací en familia cristiana, y para mí todo era lo mismo, simplemente no tenía una relación con Dios, sin embargo a los 14 años, entregué mi vida a Cristo en el campamento</v>
      </c>
      <c r="P237" s="66" t="str">
        <f ca="1"/>
        <v>Me gustaría darle mi última semana de vacaciones a Dios</v>
      </c>
      <c r="Q237" s="66" t="str">
        <f ca="1"/>
        <v>Si</v>
      </c>
      <c r="R237" s="66" t="str">
        <f ca="1"/>
        <v>Futbol, Basketball</v>
      </c>
      <c r="S237" s="66" t="str">
        <f ca="1"/>
        <v>No</v>
      </c>
      <c r="T237" s="66">
        <v>0</v>
      </c>
      <c r="U237" s="66" t="str">
        <f ca="1"/>
        <v>Medicina</v>
      </c>
      <c r="V237" s="66" t="str">
        <f ca="1"/>
        <v>Hablar en público, se me dan los deportes muy bien, organizo personas, trabajo de mantenimiento</v>
      </c>
      <c r="W237" s="68" t="str">
        <f ca="1"/>
        <v>B. Me gusta animar a las personas, C. Suelo buscar que el trabajo se realice en equipo, D. Me gustan los deportes, F. Soy eficiente en el trabajo con herramientas, equipos y maquinarias, H. Soy organizado (a), I. Se me facilita el trabajo físico, K. Soy creativo (a), N. Suelo llevar el liderazgo en un grupo, O. Puedo enseñar con facilidad</v>
      </c>
      <c r="X237" s="68" t="str">
        <f ca="1"/>
        <v>Si desde 2018</v>
      </c>
      <c r="Y237" s="66">
        <v>0</v>
      </c>
      <c r="Z237" s="66"/>
      <c r="AA237" s="66"/>
      <c r="AB237" s="66"/>
      <c r="AC237" s="66"/>
      <c r="AD237" s="66"/>
      <c r="AE237" s="66"/>
      <c r="AF237" s="66"/>
      <c r="AG237" s="55" t="s">
        <v>28</v>
      </c>
      <c r="AH237" s="55" t="s">
        <v>28</v>
      </c>
      <c r="AI237" s="55"/>
    </row>
    <row r="238" spans="1:35" ht="12.75" x14ac:dyDescent="0.35">
      <c r="A238" s="9">
        <v>237</v>
      </c>
      <c r="B238" s="66" t="str">
        <f ca="1"/>
        <v>Leonardo, Mora</v>
      </c>
      <c r="C238" s="67">
        <f ca="1"/>
        <v>16</v>
      </c>
      <c r="D238" s="66" t="str">
        <f ca="1"/>
        <v>Hombre</v>
      </c>
      <c r="E238" s="66" t="str">
        <f ca="1"/>
        <v>Queretaro, Mexico</v>
      </c>
      <c r="F238" s="66" t="str">
        <f ca="1"/>
        <v>leonardomoramendoza54@gmail.com</v>
      </c>
      <c r="G238" s="66">
        <f ca="1"/>
        <v>524461414307</v>
      </c>
      <c r="H238" s="66" t="str">
        <f ca="1"/>
        <v>Jóvenes de 13 – 17 años / SEM1/ (28 Julio a 02 de agosto)</v>
      </c>
      <c r="I238" s="66" t="str">
        <f ca="1"/>
        <v>Alabanza</v>
      </c>
      <c r="J238" s="66" t="str">
        <f ca="1"/>
        <v>MVI</v>
      </c>
      <c r="K238" s="66" t="str">
        <f ca="1"/>
        <v>Jonathan Hernández Loera</v>
      </c>
      <c r="L238" s="66">
        <f ca="1"/>
        <v>524422121125</v>
      </c>
      <c r="M238" s="66" t="str">
        <f ca="1"/>
        <v>oficinamviqueretaro@gmail.com</v>
      </c>
      <c r="N238" s="66" t="str">
        <f ca="1"/>
        <v>No cuento con uno actualmente</v>
      </c>
      <c r="O238" s="66" t="str">
        <f ca="1"/>
        <v>Pues yo vengo de cuna cristiana, pero todavía no estaba muy seguro de tomar ese paso de salvación hasta que fui a palabra de vida a mis 13 años fue que en la fogata después de la predicación tomé la edición de aceptar a Dios en mi corazón.</v>
      </c>
      <c r="P238" s="66" t="str">
        <f ca="1"/>
        <v>Por qué quiero adorar a Dios con mi servicio a Él y pasar tiempo con amigos que no he visto en tiempo</v>
      </c>
      <c r="Q238" s="66" t="str">
        <f ca="1"/>
        <v>Si</v>
      </c>
      <c r="R238" s="66" t="str">
        <f ca="1"/>
        <v>Futbol</v>
      </c>
      <c r="S238" s="66" t="str">
        <f ca="1"/>
        <v>No</v>
      </c>
      <c r="T238" s="66">
        <v>0</v>
      </c>
      <c r="U238" s="66" t="str">
        <f ca="1"/>
        <v>4to semestre de preparatoria</v>
      </c>
      <c r="V238" s="66" t="str">
        <f ca="1"/>
        <v>Los deportes más en el futbol pero le sé un poco a todos</v>
      </c>
      <c r="W238" s="68" t="str">
        <f ca="1"/>
        <v>B. Me gusta animar a las personas, D. Me gustan los deportes, H. Soy organizado (a)</v>
      </c>
      <c r="X238" s="68" t="str">
        <f ca="1"/>
        <v>Si, en las últimas tres temporadas</v>
      </c>
      <c r="Y238" s="66">
        <v>0</v>
      </c>
      <c r="Z238" s="66"/>
      <c r="AA238" s="66"/>
      <c r="AB238" s="66"/>
      <c r="AC238" s="66"/>
      <c r="AD238" s="66"/>
      <c r="AE238" s="66"/>
      <c r="AF238" s="66"/>
      <c r="AG238" s="55" t="s">
        <v>28</v>
      </c>
      <c r="AH238" s="55" t="s">
        <v>28</v>
      </c>
      <c r="AI238" s="55"/>
    </row>
    <row r="239" spans="1:35" ht="12.75" x14ac:dyDescent="0.35">
      <c r="A239" s="9">
        <v>238</v>
      </c>
      <c r="B239" s="1" t="str">
        <f ca="1"/>
        <v>Jire Isaí, Méndez Vázquez</v>
      </c>
      <c r="C239" s="56">
        <f ca="1"/>
        <v>24</v>
      </c>
      <c r="D239" s="1" t="str">
        <f ca="1"/>
        <v>Hombre</v>
      </c>
      <c r="E239" s="1" t="str">
        <f ca="1"/>
        <v>Jalisco, Mexico</v>
      </c>
      <c r="F239" s="1" t="str">
        <f ca="1"/>
        <v>mendezjire@gmail.com</v>
      </c>
      <c r="G239" s="1">
        <f ca="1"/>
        <v>523324552145</v>
      </c>
      <c r="H239" s="1" t="str">
        <f ca="1"/>
        <v>Jóvenes de 13 – 17 años / SEM1/ (28 Julio a 02 de agosto)</v>
      </c>
      <c r="I239" s="1" t="str">
        <f ca="1"/>
        <v>Claves para un cambio profundo</v>
      </c>
      <c r="J239" s="1" t="str">
        <f ca="1"/>
        <v>Iglesia vida</v>
      </c>
      <c r="K239" s="1" t="str">
        <f ca="1"/>
        <v>Neftalí Rubio</v>
      </c>
      <c r="L239" s="1">
        <f ca="1"/>
        <v>524411036024</v>
      </c>
      <c r="M239" s="1" t="str">
        <f ca="1"/>
        <v>nefaly@gmail.com</v>
      </c>
      <c r="N239" s="1" t="str">
        <f ca="1"/>
        <v>Jóvenes y alabanza</v>
      </c>
      <c r="O239" s="1" t="str">
        <f ca="1"/>
        <v>No tenía una identidad definida y que quería hacer con mi vida a la hora de elegir que estudiar, ahí decidí aceptar el perdón de Cristo por mis pecados y enfocarme en servirle con toda mi vida</v>
      </c>
      <c r="P239" s="1" t="str">
        <f ca="1"/>
        <v>Me encanta ser parte de su obra y ver su poder manifestado a mi alrededor</v>
      </c>
      <c r="Q239" s="1" t="str">
        <f ca="1"/>
        <v>Si</v>
      </c>
      <c r="R239" s="1" t="str">
        <f ca="1"/>
        <v>Fut</v>
      </c>
      <c r="S239" s="1" t="str">
        <f ca="1"/>
        <v>Si</v>
      </c>
      <c r="T239" s="1" t="str">
        <f ca="1"/>
        <v>Batería y guitarra</v>
      </c>
      <c r="U239" s="1" t="str">
        <f ca="1"/>
        <v>Producción musical</v>
      </c>
      <c r="V239" s="1" t="str">
        <f ca="1"/>
        <v>Administrativo de una uni</v>
      </c>
      <c r="W239" s="17" t="str">
        <f ca="1"/>
        <v>A. Soy un discipulador activo, B. Me gusta animar a las personas, C. Suelo buscar que el trabajo se realice en equipo, D. Me gustan los deportes, I. Se me facilita el trabajo físico, J. Me gusta la atención a las personas, K. Soy creativo (a), L. Soy bueno (a) en canto o algún instrumento, M. Soy bueno (a) con los números, O. Puedo enseñar con facilidad</v>
      </c>
      <c r="X239" s="17" t="str">
        <f ca="1"/>
        <v>Smn, 2022</v>
      </c>
      <c r="Y239" s="1">
        <v>0</v>
      </c>
      <c r="AG239" s="55" t="s">
        <v>51</v>
      </c>
      <c r="AH239" s="55" t="s">
        <v>45</v>
      </c>
      <c r="AI239" s="55"/>
    </row>
    <row r="240" spans="1:35" ht="12.75" x14ac:dyDescent="0.35">
      <c r="A240" s="9">
        <v>239</v>
      </c>
      <c r="B240" s="1" t="str">
        <f ca="1"/>
        <v>Zeyry Adrian, Carbajal Miranda</v>
      </c>
      <c r="C240" s="56">
        <f ca="1"/>
        <v>31</v>
      </c>
      <c r="D240" s="1" t="str">
        <f ca="1"/>
        <v>Hombre</v>
      </c>
      <c r="E240" s="1" t="str">
        <f ca="1"/>
        <v>Jalisco, Mexico</v>
      </c>
      <c r="F240" s="1" t="str">
        <f ca="1"/>
        <v>zeyrymiranda@gmail.com</v>
      </c>
      <c r="G240" s="1">
        <f ca="1"/>
        <v>523338417251</v>
      </c>
      <c r="H240" s="1" t="str">
        <f ca="1"/>
        <v>Jóvenes de 13 – 17 años / SEM1/ (28 Julio a 02 de agosto)</v>
      </c>
      <c r="I240" s="1" t="str">
        <f ca="1"/>
        <v>Glorify</v>
      </c>
      <c r="J240" s="1" t="str">
        <f ca="1"/>
        <v>Vida</v>
      </c>
      <c r="K240" s="1" t="str">
        <f ca="1"/>
        <v>Neftalí Rubio Bonilla</v>
      </c>
      <c r="L240" s="1">
        <f ca="1"/>
        <v>524411036024</v>
      </c>
      <c r="M240" s="1" t="str">
        <f ca="1"/>
        <v>nefaly@gmail.com</v>
      </c>
      <c r="N240" s="1" t="str">
        <f ca="1"/>
        <v>Redes sociales en Vive + jóvenes mayores y en la cafetería</v>
      </c>
      <c r="O240" s="1" t="str">
        <f ca="1"/>
        <v>Crecí con un padre violento cuando tomaba, pero mi madre me enseñó a depender de un Dios al que podíamos llamar Papá y el día en que mi padre se volvió loco hice una oración que cambió mi vida, acudí a Dios e hice mi confesión de fe, rogándole que fuera mi padre celestial y terrenal. Hasta el día de hoy he sentido y tenido una relación más personal con mi Jesús y creo que muchos jóvenes que han pasado por lo mismo deben saber que Dios puede cubrir cualquier vacío.</v>
      </c>
      <c r="P240" s="1" t="str">
        <f ca="1"/>
        <v>Quiero servir en un lugar en donde puedo cumplir mi propósito como hijo de Dios, con aquellos jóvenes que están quebrados como yo en algún momento de mi vida lo estuve.</v>
      </c>
      <c r="Q240" s="1" t="str">
        <f ca="1"/>
        <v>Si</v>
      </c>
      <c r="R240" s="1" t="str">
        <f ca="1"/>
        <v>Gimnasio</v>
      </c>
      <c r="S240" s="1" t="str">
        <f ca="1"/>
        <v>Si</v>
      </c>
      <c r="T240" s="1" t="str">
        <f ca="1"/>
        <v>El pandero</v>
      </c>
      <c r="U240" s="1" t="str">
        <f ca="1"/>
        <v>Inglés</v>
      </c>
      <c r="V240" s="1" t="str">
        <f ca="1"/>
        <v>Soy Abogado</v>
      </c>
      <c r="W240" s="17" t="str">
        <f ca="1"/>
        <v>A. Soy un discipulador activo, B. Me gusta animar a las personas, C. Suelo buscar que el trabajo se realice en equipo, H. Soy organizado (a), K. Soy creativo (a), N. Suelo llevar el liderazgo en un grupo, O. Puedo enseñar con facilidad</v>
      </c>
      <c r="X240" s="17" t="str">
        <f ca="1"/>
        <v>Si, hace dos años y equipante el año pasado.</v>
      </c>
      <c r="Y240" s="1">
        <v>0</v>
      </c>
      <c r="AG240" s="55" t="s">
        <v>51</v>
      </c>
      <c r="AH240" s="55" t="s">
        <v>45</v>
      </c>
      <c r="AI240" s="55" t="s">
        <v>50</v>
      </c>
    </row>
    <row r="241" spans="1:38" ht="12.75" x14ac:dyDescent="0.35">
      <c r="A241" s="9">
        <v>240</v>
      </c>
      <c r="B241" s="1" t="str">
        <f ca="1"/>
        <v>Iñaki Alejandro, Maldonado Diaz</v>
      </c>
      <c r="C241" s="56">
        <f ca="1"/>
        <v>21</v>
      </c>
      <c r="D241" s="1" t="str">
        <f ca="1"/>
        <v>Hombre</v>
      </c>
      <c r="E241" s="1" t="str">
        <f ca="1"/>
        <v>Tamaulipas, Mexico</v>
      </c>
      <c r="F241" s="1" t="str">
        <f ca="1"/>
        <v>inaki04@outlook.com</v>
      </c>
      <c r="G241" s="1">
        <f ca="1"/>
        <v>528333415479</v>
      </c>
      <c r="H241" s="1" t="str">
        <f ca="1"/>
        <v>Jóvenes de 13 – 17 años / SEM1/ (28 Julio a 02 de agosto)</v>
      </c>
      <c r="I241" s="1" t="str">
        <f ca="1"/>
        <v>HS</v>
      </c>
      <c r="J241" s="1" t="str">
        <f ca="1"/>
        <v>Gracia sobre Gracua</v>
      </c>
      <c r="K241" s="1" t="str">
        <f ca="1"/>
        <v>Edgar Franco</v>
      </c>
      <c r="L241" s="1">
        <f ca="1"/>
        <v>528331768824</v>
      </c>
      <c r="M241" s="1" t="str">
        <f ca="1"/>
        <v>edgar.franco83@gmail.com</v>
      </c>
      <c r="N241" s="1" t="str">
        <f ca="1"/>
        <v>Siervo de jóvenes</v>
      </c>
      <c r="O241" s="1" t="str">
        <f ca="1"/>
        <v>No soy de cama cristiana, mi familia no es cristiana, tuve un acercamiento a la iglesia a los 16 años y conocí a Cristo a los 20, comprendí en el evangelio y una noche le confesé al Señor y entregué mi vida a él</v>
      </c>
      <c r="P241" s="1" t="str">
        <f ca="1"/>
        <v>Quiero servir al Señor, y acompañar a mi primo que vino a esta semana</v>
      </c>
      <c r="Q241" s="1" t="str">
        <f ca="1"/>
        <v>Si</v>
      </c>
      <c r="R241" s="1" t="str">
        <f ca="1"/>
        <v>Futbol</v>
      </c>
      <c r="S241" s="1" t="str">
        <f ca="1"/>
        <v>Si</v>
      </c>
      <c r="T241" s="1" t="str">
        <f ca="1"/>
        <v>Guitarra</v>
      </c>
      <c r="U241" s="1" t="str">
        <f ca="1"/>
        <v>Ing industrial</v>
      </c>
      <c r="V241" s="1" t="str">
        <f ca="1"/>
        <v>Barbero</v>
      </c>
      <c r="W241" s="17" t="str">
        <f ca="1"/>
        <v>C. Suelo buscar que el trabajo se realice en equipo, D. Me gustan los deportes, I. Se me facilita el trabajo físico, J. Me gusta la atención a las personas, M. Soy bueno (a) con los números</v>
      </c>
      <c r="X241" s="17" t="str">
        <f ca="1"/>
        <v>Si, en la semana +18 de este año</v>
      </c>
      <c r="Y241" s="1">
        <v>0</v>
      </c>
      <c r="AG241" s="55" t="s">
        <v>51</v>
      </c>
      <c r="AH241" s="55" t="s">
        <v>50</v>
      </c>
      <c r="AI241" s="55"/>
    </row>
    <row r="242" spans="1:38" ht="12.75" x14ac:dyDescent="0.35">
      <c r="A242" s="9">
        <v>241</v>
      </c>
      <c r="B242" s="1" t="str">
        <f ca="1"/>
        <v>Elisabet sinai, Mendez casanova</v>
      </c>
      <c r="C242" s="56">
        <f ca="1"/>
        <v>15</v>
      </c>
      <c r="D242" s="1" t="str">
        <f ca="1"/>
        <v>Mujer</v>
      </c>
      <c r="E242" s="1" t="str">
        <f ca="1"/>
        <v>Campeche, Mexico</v>
      </c>
      <c r="F242" s="1" t="str">
        <f ca="1"/>
        <v>elisabet240617@gmail.com</v>
      </c>
      <c r="G242" s="1">
        <f ca="1"/>
        <v>529381884771</v>
      </c>
      <c r="H242" s="1" t="str">
        <f ca="1"/>
        <v>Jóvenes de 13 – 17 años / SEM1/ (28 Julio a 02 de agosto), Jóvenes de 13 – 17 años / SEM2/ (4 - 09 agosto), Jóvenes de 13 – 17 años / SEM3/ (11 - 16 agosto)</v>
      </c>
      <c r="I242" s="1" t="str">
        <f ca="1"/>
        <v>Vsc</v>
      </c>
      <c r="J242" s="1" t="str">
        <f ca="1"/>
        <v>Vida sociedad ciltural</v>
      </c>
      <c r="K242" s="1" t="str">
        <f ca="1"/>
        <v>J. Natividad Ramos</v>
      </c>
      <c r="L242" s="1">
        <f ca="1"/>
        <v>529381032007</v>
      </c>
      <c r="M242" s="1" t="str">
        <f ca="1"/>
        <v>jnatividadramosg@gmail.com</v>
      </c>
      <c r="N242" s="1" t="str">
        <f ca="1"/>
        <v>Limpieza</v>
      </c>
      <c r="O242" s="1" t="str">
        <f ca="1"/>
        <v>Acepte a cristo a los 13 años despues de darme cue ta que no puedo hacer nada sin cristo y que queria serviorle toda la vida</v>
      </c>
      <c r="P242" s="1" t="str">
        <f ca="1"/>
        <v>Para impactar a otros y demostra que aun lavando un plato o limpiando un baño estas sirviendo al señor fielmente</v>
      </c>
      <c r="Q242" s="1" t="str">
        <f ca="1"/>
        <v>No</v>
      </c>
      <c r="R242" s="1">
        <v>0</v>
      </c>
      <c r="S242" s="1" t="str">
        <f ca="1"/>
        <v>No</v>
      </c>
      <c r="T242" s="1">
        <v>0</v>
      </c>
      <c r="U242" s="1" t="str">
        <f ca="1"/>
        <v>Bachillerato</v>
      </c>
      <c r="V242" s="1" t="str">
        <f ca="1"/>
        <v>Te go paciencia</v>
      </c>
      <c r="W242" s="17" t="str">
        <f ca="1"/>
        <v>A. Soy un discipulador activo, C. Suelo buscar que el trabajo se realice en equipo, N. Suelo llevar el liderazgo en un grupo</v>
      </c>
      <c r="X242" s="17" t="str">
        <f ca="1"/>
        <v>Si, en semana de adolecentes</v>
      </c>
      <c r="Y242" s="1">
        <v>0</v>
      </c>
      <c r="AG242" s="55" t="s">
        <v>51</v>
      </c>
      <c r="AH242" s="55" t="s">
        <v>25</v>
      </c>
      <c r="AI242" s="55"/>
    </row>
    <row r="243" spans="1:38" ht="12.75" x14ac:dyDescent="0.35">
      <c r="A243" s="69">
        <v>242</v>
      </c>
      <c r="B243" s="57" t="str">
        <f ca="1"/>
        <v>Karina, Pollard</v>
      </c>
      <c r="C243" s="58">
        <f ca="1"/>
        <v>54</v>
      </c>
      <c r="D243" s="57" t="str">
        <f ca="1"/>
        <v>Mujer</v>
      </c>
      <c r="E243" s="57" t="str">
        <f ca="1"/>
        <v>Illinois, United States</v>
      </c>
      <c r="F243" s="57" t="str">
        <f ca="1"/>
        <v>karypollard@gmail.com</v>
      </c>
      <c r="G243" s="57" t="str">
        <f ca="1"/>
        <v>#ERROR!</v>
      </c>
      <c r="H243" s="57" t="str">
        <f ca="1"/>
        <v>Jóvenes de 13 – 17 años / SEM3/ (11 - 16 agosto)</v>
      </c>
      <c r="I243" s="57" t="str">
        <f ca="1"/>
        <v>Mi Biblia</v>
      </c>
      <c r="J243" s="57" t="str">
        <f ca="1"/>
        <v>Ministerios Plenitud de Vida</v>
      </c>
      <c r="K243" s="57" t="str">
        <f ca="1"/>
        <v>Roberto Cambrany</v>
      </c>
      <c r="L243" s="57" t="str">
        <f ca="1"/>
        <v>#ERROR!</v>
      </c>
      <c r="M243" s="57" t="str">
        <f ca="1"/>
        <v>Roberto.Cambrany@crosslifeefc.org</v>
      </c>
      <c r="N243" s="57" t="str">
        <f ca="1"/>
        <v>Enseñanza y oración</v>
      </c>
      <c r="O243" s="57" t="str">
        <f ca="1"/>
        <v>Crecí en una familia cristiana. Recibí al Señor Jesucristo como mi Salvador a los 12 años. Pero empezé a conocerlo de una manera personal a los 25 años más o menos. Sin embargo cada vez entiendo de una manera más profunda la Obra de redencion  y Salvacion en Cristo, lo que significa vida cristiana y la Verdad de la Palabra de Dios en mi vida.</v>
      </c>
      <c r="P243" s="57" t="str">
        <f ca="1"/>
        <v>Nos encantaría que niestros dos hijos pudierán asistir al campamento y yo poder ser parte de su experiencia estándo esa semana en el campamento, sierviéndo!!
Siempre encuentro mucho gozo y satisfacción en servir al Señor!</v>
      </c>
      <c r="Q243" s="57" t="str">
        <f ca="1"/>
        <v>No</v>
      </c>
      <c r="R243" s="57">
        <v>0</v>
      </c>
      <c r="S243" s="57" t="str">
        <f ca="1"/>
        <v>No</v>
      </c>
      <c r="T243" s="57">
        <v>0</v>
      </c>
      <c r="U243" s="57" t="str">
        <f ca="1"/>
        <v>Soy Mamá, y sigo estudiándo la Palabra de Dios.</v>
      </c>
      <c r="V243" s="57" t="str">
        <f ca="1"/>
        <v>Escuchar y dar Palabras de ánimo. Servir en lo que se necesite.</v>
      </c>
      <c r="W243" s="59" t="str">
        <f ca="1"/>
        <v>B. Me gusta animar a las personas, J. Me gusta la atención a las personas</v>
      </c>
      <c r="X243" s="59" t="str">
        <f ca="1"/>
        <v>No</v>
      </c>
      <c r="Y243" s="57">
        <v>0</v>
      </c>
      <c r="Z243" s="57"/>
      <c r="AA243" s="57"/>
      <c r="AB243" s="57"/>
      <c r="AC243" s="57"/>
      <c r="AD243" s="57"/>
      <c r="AE243" s="57"/>
      <c r="AF243" s="57"/>
      <c r="AG243" s="60" t="s">
        <v>51</v>
      </c>
      <c r="AH243" s="60"/>
      <c r="AI243" s="60" t="s">
        <v>28</v>
      </c>
      <c r="AJ243" s="70" t="s">
        <v>157</v>
      </c>
      <c r="AK243" s="57"/>
      <c r="AL243" s="57"/>
    </row>
    <row r="244" spans="1:38" ht="12.75" x14ac:dyDescent="0.35">
      <c r="A244" s="9">
        <v>243</v>
      </c>
      <c r="B244" s="1" t="str">
        <f ca="1"/>
        <v>Jose Maria, Martinez Valle</v>
      </c>
      <c r="C244" s="56">
        <f ca="1"/>
        <v>18</v>
      </c>
      <c r="D244" s="1" t="str">
        <f ca="1"/>
        <v>Hombre</v>
      </c>
      <c r="E244" s="1" t="str">
        <f ca="1"/>
        <v>Jalisco, Mexico</v>
      </c>
      <c r="F244" s="1" t="str">
        <f ca="1"/>
        <v>chemam004@outlook.es</v>
      </c>
      <c r="G244" s="1">
        <f ca="1"/>
        <v>523321776077</v>
      </c>
      <c r="H244" s="1" t="str">
        <f ca="1"/>
        <v>Jóvenes de 13 – 17 años / SEM1/ (28 Julio a 02 de agosto), Jóvenes de 13 – 17 años / SEM2/ (4 - 09 agosto), Jóvenes de 13 – 17 años / SEM3/ (11 - 16 agosto)</v>
      </c>
      <c r="I244" s="1" t="str">
        <f ca="1"/>
        <v>Mi Pan Diario</v>
      </c>
      <c r="J244" s="1" t="str">
        <f ca="1"/>
        <v>Vida</v>
      </c>
      <c r="K244" s="1" t="str">
        <f ca="1"/>
        <v>Neftali</v>
      </c>
      <c r="L244" s="1">
        <f ca="1"/>
        <v>524411036024</v>
      </c>
      <c r="M244" s="1" t="str">
        <f ca="1"/>
        <v>nefaly0710@gmail.com</v>
      </c>
      <c r="N244" s="1" t="str">
        <f ca="1"/>
        <v>Jóvenes</v>
      </c>
      <c r="O244" s="1" t="str">
        <f ca="1"/>
        <v>Dios me salvo cuando me invitaron a una iglesia y asisti, y estando ahi senti como el señor me hablo</v>
      </c>
      <c r="P244" s="1" t="str">
        <f ca="1"/>
        <v>Para servir a Dios</v>
      </c>
      <c r="Q244" s="1" t="str">
        <f ca="1"/>
        <v>Si</v>
      </c>
      <c r="R244" s="1" t="str">
        <f ca="1"/>
        <v>Básquetbol</v>
      </c>
      <c r="S244" s="1" t="str">
        <f ca="1"/>
        <v>Si</v>
      </c>
      <c r="T244" s="1" t="str">
        <f ca="1"/>
        <v>Trompet</v>
      </c>
      <c r="U244" s="1" t="str">
        <f ca="1"/>
        <v>Universidad</v>
      </c>
      <c r="V244" s="1" t="str">
        <f ca="1"/>
        <v>Ingles</v>
      </c>
      <c r="W244" s="17" t="str">
        <f ca="1"/>
        <v>A. Soy un discipulador activo, B. Me gusta animar a las personas, I. Se me facilita el trabajo físico, K. Soy creativo (a)</v>
      </c>
      <c r="X244" s="17" t="str">
        <f ca="1"/>
        <v>Temporada 2024</v>
      </c>
      <c r="Y244" s="1">
        <v>0</v>
      </c>
      <c r="AG244" s="55" t="s">
        <v>51</v>
      </c>
      <c r="AH244" s="55"/>
      <c r="AI244" s="55" t="s">
        <v>50</v>
      </c>
    </row>
    <row r="245" spans="1:38" ht="12.75" x14ac:dyDescent="0.35">
      <c r="A245" s="9">
        <v>244</v>
      </c>
      <c r="B245" s="1" t="str">
        <f ca="1"/>
        <v>Isaac Antonio, Hernández García</v>
      </c>
      <c r="C245" s="56">
        <f ca="1"/>
        <v>40</v>
      </c>
      <c r="D245" s="1" t="str">
        <f ca="1"/>
        <v>Hombre</v>
      </c>
      <c r="E245" s="1" t="str">
        <f ca="1"/>
        <v>Mexico, Mexico</v>
      </c>
      <c r="F245" s="1" t="str">
        <f ca="1"/>
        <v>isaac_hg@hotmail.com</v>
      </c>
      <c r="G245" s="1">
        <f ca="1"/>
        <v>525532048106</v>
      </c>
      <c r="H245" s="1" t="str">
        <f ca="1"/>
        <v>Jóvenes de 13 – 17 años / SEM1/ (28 Julio a 02 de agosto), Jóvenes de 13 – 17 años / SEM2/ (4 - 09 agosto), Jóvenes de 13 – 17 años / SEM3/ (11 - 16 agosto)</v>
      </c>
      <c r="I245" s="1" t="str">
        <f ca="1"/>
        <v>Devocional Diario Personal</v>
      </c>
      <c r="J245" s="1" t="str">
        <f ca="1"/>
        <v>Semilla de Mostaza</v>
      </c>
      <c r="K245" s="1" t="str">
        <f ca="1"/>
        <v>NA</v>
      </c>
      <c r="L245" s="1">
        <f ca="1"/>
        <v>520000000000</v>
      </c>
      <c r="M245" s="1" t="str">
        <f ca="1"/>
        <v>isaac_hg@hotmail.com</v>
      </c>
      <c r="N245" s="1" t="str">
        <f ca="1"/>
        <v>Ministerio al aire libre en la escalada deportiva</v>
      </c>
      <c r="O245" s="1" t="str">
        <f ca="1"/>
        <v>A los 12 años conocí de Cristo pero por situaciones personales y familiares me aleje de la iglesia y de Cristo por rebeldía e inmadurez, después por el vacío en mi vida, de nuevo tuve la oportunidad de ir a una iglesia y comencé a entender varias y otras cosas en donde entendí el propósito de la salvación.</v>
      </c>
      <c r="P245" s="1" t="str">
        <f ca="1"/>
        <v>Para poder hablar de Jesús a quien quiera escuchar, compartir un tiempo con varios amigos y servir en Aventura, asistiendo a los chicos y chicas que lo requieran.</v>
      </c>
      <c r="Q245" s="1" t="str">
        <f ca="1"/>
        <v>Si</v>
      </c>
      <c r="R245" s="1" t="str">
        <f ca="1"/>
        <v>Escalada Deportiva</v>
      </c>
      <c r="S245" s="1" t="str">
        <f ca="1"/>
        <v>No</v>
      </c>
      <c r="T245" s="1">
        <v>0</v>
      </c>
      <c r="U245" s="1" t="str">
        <f ca="1"/>
        <v>Trabajo de Oficina</v>
      </c>
      <c r="V245" s="1" t="str">
        <f ca="1"/>
        <v>Mercadotecnia</v>
      </c>
      <c r="W245" s="17" t="str">
        <f ca="1"/>
        <v>B. Me gusta animar a las personas, C. Suelo buscar que el trabajo se realice en equipo, D. Me gustan los deportes, H. Soy organizado (a), I. Se me facilita el trabajo físico, J. Me gusta la atención a las personas, K. Soy creativo (a), M. Soy bueno (a) con los números, N. Suelo llevar el liderazgo en un grupo, O. Puedo enseñar con facilidad</v>
      </c>
      <c r="X245" s="17" t="str">
        <f ca="1"/>
        <v>No, pero he sido equipante en las 3 temporadas pasadas.</v>
      </c>
      <c r="Y245" s="1">
        <v>0</v>
      </c>
      <c r="AG245" s="55" t="s">
        <v>51</v>
      </c>
      <c r="AH245" s="55"/>
      <c r="AI245" s="55" t="s">
        <v>50</v>
      </c>
    </row>
    <row r="246" spans="1:38" ht="44.25" customHeight="1" x14ac:dyDescent="0.35">
      <c r="A246" s="69">
        <v>245</v>
      </c>
      <c r="B246" s="57" t="str">
        <f ca="1"/>
        <v>Santiago, Centeno Romero</v>
      </c>
      <c r="C246" s="58">
        <f ca="1"/>
        <v>21</v>
      </c>
      <c r="D246" s="57" t="str">
        <f ca="1"/>
        <v>Hombre</v>
      </c>
      <c r="E246" s="57" t="str">
        <f ca="1"/>
        <v>Mexico City, Mexico</v>
      </c>
      <c r="F246" s="57" t="str">
        <f ca="1"/>
        <v>santiagocenteno594@gmail.com</v>
      </c>
      <c r="G246" s="57">
        <f ca="1"/>
        <v>525511958955</v>
      </c>
      <c r="H246" s="57" t="str">
        <f ca="1"/>
        <v>Jóvenes de 13 – 17 años / SEM2/ (4 - 09 agosto)</v>
      </c>
      <c r="I246" s="57" t="str">
        <f ca="1"/>
        <v>Crece</v>
      </c>
      <c r="J246" s="57" t="str">
        <f ca="1"/>
        <v>Vida Nueva</v>
      </c>
      <c r="K246" s="57" t="str">
        <f ca="1"/>
        <v>Mario del Valle</v>
      </c>
      <c r="L246" s="57">
        <f ca="1"/>
        <v>525624927344</v>
      </c>
      <c r="M246" s="57" t="str">
        <f ca="1"/>
        <v>Mariodelvalle@gmail.com</v>
      </c>
      <c r="N246" s="57" t="str">
        <f ca="1"/>
        <v>Centro conexión</v>
      </c>
      <c r="O246" s="57" t="str">
        <f ca="1"/>
        <v>De cuna Cristiana, asistía pero no me interesaba. Fue hasta los 19 años que acepte a Jesús</v>
      </c>
      <c r="P246" s="57" t="str">
        <f ca="1"/>
        <v>Ser discípulo y poder apoyar a un lugar que me gusta bastante</v>
      </c>
      <c r="Q246" s="57" t="str">
        <f ca="1"/>
        <v>Si</v>
      </c>
      <c r="R246" s="57" t="str">
        <f ca="1"/>
        <v>Fútbol</v>
      </c>
      <c r="S246" s="57" t="str">
        <f ca="1"/>
        <v>No</v>
      </c>
      <c r="T246" s="57">
        <v>0</v>
      </c>
      <c r="U246" s="57" t="str">
        <f ca="1"/>
        <v>Economía</v>
      </c>
      <c r="V246" s="57" t="str">
        <f ca="1"/>
        <v>Soy ayudante de investigador</v>
      </c>
      <c r="W246" s="59" t="str">
        <f ca="1"/>
        <v>C. Suelo buscar que el trabajo se realice en equipo, H. Soy organizado (a), N. Suelo llevar el liderazgo en un grupo</v>
      </c>
      <c r="X246" s="59" t="str">
        <f ca="1"/>
        <v>En la semana +18</v>
      </c>
      <c r="Y246" s="57">
        <v>0</v>
      </c>
      <c r="Z246" s="57"/>
      <c r="AA246" s="57"/>
      <c r="AB246" s="57"/>
      <c r="AC246" s="57"/>
      <c r="AD246" s="57"/>
      <c r="AE246" s="57"/>
      <c r="AF246" s="57"/>
      <c r="AG246" s="60" t="s">
        <v>51</v>
      </c>
      <c r="AH246" s="60"/>
      <c r="AI246" s="60" t="s">
        <v>50</v>
      </c>
      <c r="AJ246" s="70" t="s">
        <v>158</v>
      </c>
      <c r="AK246" s="57"/>
      <c r="AL246" s="57"/>
    </row>
    <row r="247" spans="1:38" ht="48.75" customHeight="1" x14ac:dyDescent="0.35">
      <c r="A247" s="9">
        <v>246</v>
      </c>
      <c r="B247" s="1" t="str">
        <f ca="1"/>
        <v>Fernando, Soto González</v>
      </c>
      <c r="C247" s="56">
        <f ca="1"/>
        <v>16</v>
      </c>
      <c r="D247" s="1" t="str">
        <f ca="1"/>
        <v>Hombre</v>
      </c>
      <c r="E247" s="1" t="str">
        <f ca="1"/>
        <v>Queretaro, Mexico</v>
      </c>
      <c r="F247" s="1" t="str">
        <f ca="1"/>
        <v>dinagonzalez1986@gmail.com</v>
      </c>
      <c r="G247" s="1">
        <f ca="1"/>
        <v>524426014520</v>
      </c>
      <c r="H247" s="1" t="str">
        <f ca="1"/>
        <v>Jóvenes de 13 – 17 años / SEM2/ (4 - 09 agosto)</v>
      </c>
      <c r="I247" s="1" t="str">
        <f ca="1"/>
        <v>HORA SILENCIOSA PARA JÓVENES. Un-año interactivo devocional diario.</v>
      </c>
      <c r="J247" s="1" t="str">
        <f ca="1"/>
        <v>Grace Community Querétaro</v>
      </c>
      <c r="K247" s="1" t="str">
        <f ca="1"/>
        <v>Óscar Mata</v>
      </c>
      <c r="L247" s="1">
        <f ca="1"/>
        <v>524424432103</v>
      </c>
      <c r="M247" s="1" t="str">
        <f ca="1"/>
        <v>Oskarmata@icloud.com</v>
      </c>
      <c r="N247" s="1" t="str">
        <f ca="1"/>
        <v>Anfitriones, aseo</v>
      </c>
      <c r="O247" s="1" t="str">
        <f ca="1"/>
        <v>Mmm... honestamente, este es un tema delicado para mí, pero está bien. Desde pequeño, yo solía ser un chico solitario y triste, que vivía día tras día al borde de las adicciones y los malos pensamientos que me dominaban todo el tiempo. Tenía depresión, luchaba constantemente contra la soledad, el morbo, la apatía y la lujuria (aunque nunca llegue a acercarme físicamente a nadie por los demás defectos mencionados), creía que no valía la pena vivir, no podía entender quien era esa Dios del que toda mi familia hablaba, porque no me hablaba y porque yo era incapaz de sentir algo; era completamente indiferente a sonrisas, abrazos y al amor en general. Estaba desesperado por encontrar algo, cualquier cosa, que me anclará a este mundo, una simple razón para seguir viviendo. No fue hasta que la culpa me carcomio que confesé como me sentía y todo lo que hacía. Inicialmente eso me libero, pero yo quería más, quería estar libre de pecado y ser feliz. Finalmente, con el tiempo confesé mis pecados al Señor, y comencé a crecer mente. Ahora, aunque sigo creciendo, he Sido salvó en Cristo, y estoy trabajando por mejorar día tras día.</v>
      </c>
      <c r="P247" s="1" t="str">
        <f ca="1"/>
        <v>Bueno, durante mucho tiempo he sido alguien recio a divertirse e inflexible con los planes de el resto de la gente, no muchas veces se me ha presentado la oportunidad de estar en compañía de otros jóvenes a los cuales servir e intercambiar intereses. Tampoco soy alguien que le guste mucho ir de campamento, de hecho participe como campero el año pasado, y la experiencia no me sorprendió mucho; técnicamente hablando, ya que los mensajes y enseñanzas que obtuve me ayudaron mucho. Pero, a pesar de mis inseguridades respecto al tema, acabe decidiendo ir nuevamente como equipante no para divertirme, sino para servir a Dios, al igual que mi hermana, que ya lleva 3 años aquí. Me agrada la idea de ayudar a los chicos y chicas del lugar y al personal, en lugar de ser alguien que solo va a divertirse. Claro que todos tienen su propia idea sobre lo que es realmente importante, pero yo quiero superar mis temores y servir a Dios y a mi comunidad, que es la iglesia.</v>
      </c>
      <c r="Q247" s="1" t="str">
        <f ca="1"/>
        <v>No</v>
      </c>
      <c r="R247" s="1">
        <v>0</v>
      </c>
      <c r="S247" s="1" t="str">
        <f ca="1"/>
        <v>Si</v>
      </c>
      <c r="T247" s="1" t="str">
        <f ca="1"/>
        <v>Guitarra, pero aún me falta practicar mucho para llegara ser decente, jajaja.</v>
      </c>
      <c r="U247" s="1" t="str">
        <f ca="1"/>
        <v>Actualmente, estoy a medio camino de la preparatoria; aún no estudio alguna carrera.</v>
      </c>
      <c r="V247" s="1" t="str">
        <f ca="1"/>
        <v>No tengo oficios o profesión profesional a causa de mi corta edad, pero me encanta escribir historias, de hecho, estoy trabajando en varias novelas.</v>
      </c>
      <c r="W247" s="17" t="str">
        <f ca="1"/>
        <v>B. Me gusta animar a las personas, C. Suelo buscar que el trabajo se realice en equipo, G. Soy más eficiente en el trabajo individual, H. Soy organizado (a), J. Me gusta la atención a las personas, K. Soy creativo (a), N. Suelo llevar el liderazgo en un grupo, O. Puedo enseñar con facilidad</v>
      </c>
      <c r="X247" s="17" t="str">
        <f ca="1"/>
        <v>Si, fui como campero el año pasado durante la segunda semana de adolescentes, en la temporada de Reinos, creo que se llamaba.</v>
      </c>
      <c r="Y247" s="1">
        <v>0</v>
      </c>
      <c r="AG247" s="55" t="s">
        <v>51</v>
      </c>
      <c r="AH247" s="55"/>
      <c r="AI247" s="55" t="s">
        <v>50</v>
      </c>
      <c r="AJ247" s="1" t="s">
        <v>159</v>
      </c>
    </row>
    <row r="248" spans="1:38" ht="12.75" x14ac:dyDescent="0.35">
      <c r="A248" s="69">
        <v>247</v>
      </c>
      <c r="B248" s="57" t="str">
        <f ca="1"/>
        <v>Edgar Mauricio, Ruiz Mata</v>
      </c>
      <c r="C248" s="58">
        <f ca="1"/>
        <v>33</v>
      </c>
      <c r="D248" s="57" t="str">
        <f ca="1"/>
        <v>Hombre</v>
      </c>
      <c r="E248" s="57" t="str">
        <f ca="1"/>
        <v>Queretaro, Mexico</v>
      </c>
      <c r="F248" s="57" t="str">
        <f ca="1"/>
        <v>emrm0314@gmail.com</v>
      </c>
      <c r="G248" s="57">
        <f ca="1"/>
        <v>524272025656</v>
      </c>
      <c r="H248" s="57" t="str">
        <f ca="1"/>
        <v>Jóvenes de 13 – 17 años / SEM2/ (4 - 09 agosto)</v>
      </c>
      <c r="I248" s="57" t="str">
        <f ca="1"/>
        <v>Ninguno</v>
      </c>
      <c r="J248" s="57" t="str">
        <f ca="1"/>
        <v>Emaús</v>
      </c>
      <c r="K248" s="57" t="str">
        <f ca="1"/>
        <v>Rubén Márquez Meza</v>
      </c>
      <c r="L248" s="57">
        <f ca="1"/>
        <v>524271589207</v>
      </c>
      <c r="M248" s="57" t="str">
        <f ca="1"/>
        <v>marquezmruben@hotmail.com</v>
      </c>
      <c r="N248" s="57" t="str">
        <f ca="1"/>
        <v>Ninguno</v>
      </c>
      <c r="O248" s="57" t="str">
        <f ca="1"/>
        <v>Asistí a 2 campamentos, ya había escuchado de la palabra a mis 16 años, hasta el 2do campamento acepté a Cristo como MI Salvador y decidí servirle de tiempo completo</v>
      </c>
      <c r="P248" s="57" t="str">
        <f ca="1"/>
        <v>Dios hablando a mi vida, me ha llamado a servir.</v>
      </c>
      <c r="Q248" s="57" t="str">
        <f ca="1"/>
        <v>Si</v>
      </c>
      <c r="R248" s="57" t="str">
        <f ca="1"/>
        <v>Fútbol</v>
      </c>
      <c r="S248" s="57" t="str">
        <f ca="1"/>
        <v>No</v>
      </c>
      <c r="T248" s="57">
        <v>0</v>
      </c>
      <c r="U248" s="57" t="str">
        <f ca="1"/>
        <v>Administración</v>
      </c>
      <c r="V248" s="57" t="str">
        <f ca="1"/>
        <v>Fútbol, servicio a personas, admon</v>
      </c>
      <c r="W248" s="59" t="str">
        <f ca="1"/>
        <v>J. Me gusta la atención a las personas, O. Puedo enseñar con facilidad</v>
      </c>
      <c r="X248" s="59" t="str">
        <f ca="1"/>
        <v>No</v>
      </c>
      <c r="Y248" s="57">
        <v>0</v>
      </c>
      <c r="Z248" s="57"/>
      <c r="AA248" s="57"/>
      <c r="AB248" s="57"/>
      <c r="AC248" s="57"/>
      <c r="AD248" s="57"/>
      <c r="AE248" s="57"/>
      <c r="AF248" s="57"/>
      <c r="AG248" s="60" t="s">
        <v>51</v>
      </c>
      <c r="AH248" s="60"/>
      <c r="AI248" s="60" t="s">
        <v>28</v>
      </c>
      <c r="AJ248" s="57" t="s">
        <v>160</v>
      </c>
      <c r="AK248" s="57"/>
      <c r="AL248" s="57"/>
    </row>
    <row r="249" spans="1:38" ht="12.75" x14ac:dyDescent="0.35">
      <c r="A249" s="9">
        <v>248</v>
      </c>
      <c r="B249" s="1" t="str">
        <f ca="1"/>
        <v>Mariana, Guadarrama</v>
      </c>
      <c r="C249" s="56">
        <f ca="1"/>
        <v>16</v>
      </c>
      <c r="D249" s="1" t="str">
        <f ca="1"/>
        <v>Mujer</v>
      </c>
      <c r="E249" s="1" t="str">
        <f ca="1"/>
        <v>Mexico City, Mexico</v>
      </c>
      <c r="F249" s="1" t="str">
        <f ca="1"/>
        <v>marianaguadarramagl@gmail.com</v>
      </c>
      <c r="G249" s="1">
        <f ca="1"/>
        <v>525631103883</v>
      </c>
      <c r="H249" s="1" t="str">
        <f ca="1"/>
        <v>Jóvenes de 13 – 17 años / SEM2/ (4 - 09 agosto)</v>
      </c>
      <c r="I249" s="1" t="str">
        <f ca="1"/>
        <v>Diario pan</v>
      </c>
      <c r="J249" s="1" t="str">
        <f ca="1"/>
        <v>Satélite iglesia cristiana</v>
      </c>
      <c r="K249" s="1" t="str">
        <f ca="1"/>
        <v>Enrique guadarrama</v>
      </c>
      <c r="L249" s="1">
        <f ca="1"/>
        <v>525585814335</v>
      </c>
      <c r="M249" s="1" t="str">
        <f ca="1"/>
        <v>eguadarrama77@hotmail.com</v>
      </c>
      <c r="N249" s="1" t="str">
        <f ca="1"/>
        <v>Niños</v>
      </c>
      <c r="O249" s="1" t="str">
        <f ca="1"/>
        <v>yo empecé a pensar que Dios no me podría perdonar por las cosas que yo hacía porque no lo conocía y yo me quería acercar a Dios pero tenía pena, entonces un día en la iglesia predicaron acerca de cómo Dios me ama y me perdona y ahí le entregue todas mis cargas y lo reconocí como mi salvador</v>
      </c>
      <c r="P249" s="1" t="str">
        <f ca="1"/>
        <v>Me encanta venir al campa y me gustaría regresar un poco de lo que hacen por mi</v>
      </c>
      <c r="Q249" s="1" t="str">
        <f ca="1"/>
        <v>No</v>
      </c>
      <c r="R249" s="1">
        <v>0</v>
      </c>
      <c r="S249" s="1" t="str">
        <f ca="1"/>
        <v>No</v>
      </c>
      <c r="T249" s="1">
        <v>0</v>
      </c>
      <c r="U249" s="1" t="str">
        <f ca="1"/>
        <v>La prepa</v>
      </c>
      <c r="V249" s="1" t="str">
        <f ca="1"/>
        <v>Se cocinar y dar órdenes o seguirlas</v>
      </c>
      <c r="W249" s="17" t="str">
        <f ca="1"/>
        <v>B. Me gusta animar a las personas, H. Soy organizado (a), K. Soy creativo (a), N. Suelo llevar el liderazgo en un grupo</v>
      </c>
      <c r="X249" s="17" t="str">
        <f ca="1"/>
        <v>Sip, en la de jóvenes</v>
      </c>
      <c r="Y249" s="1">
        <v>0</v>
      </c>
      <c r="AG249" s="55" t="s">
        <v>51</v>
      </c>
      <c r="AH249" s="55"/>
      <c r="AI249" s="55" t="s">
        <v>25</v>
      </c>
    </row>
    <row r="250" spans="1:38" ht="12.75" x14ac:dyDescent="0.35">
      <c r="A250" s="9">
        <v>249</v>
      </c>
      <c r="B250" s="1" t="str">
        <f ca="1"/>
        <v>Giovanni, Roldan</v>
      </c>
      <c r="C250" s="56">
        <f ca="1"/>
        <v>31</v>
      </c>
      <c r="D250" s="1" t="str">
        <f ca="1"/>
        <v>Hombre</v>
      </c>
      <c r="E250" s="1" t="str">
        <f ca="1"/>
        <v>Mexico, Mexico</v>
      </c>
      <c r="F250" s="1" t="str">
        <f ca="1"/>
        <v>vannynovjor@gmail.com</v>
      </c>
      <c r="G250" s="1">
        <f ca="1"/>
        <v>525625995950</v>
      </c>
      <c r="H250" s="1" t="str">
        <f ca="1"/>
        <v>Toda la temporada (07 de Julio al 16 de agosto)</v>
      </c>
      <c r="I250" s="1" t="str">
        <f ca="1"/>
        <v>La biblia en 365 dias</v>
      </c>
      <c r="J250" s="1" t="str">
        <f ca="1"/>
        <v>Iglesia de Dios 7 dia Templo Abiel</v>
      </c>
      <c r="K250" s="1" t="str">
        <f ca="1"/>
        <v>Noe Hernandez</v>
      </c>
      <c r="L250" s="1">
        <f ca="1"/>
        <v>525574454223</v>
      </c>
      <c r="M250" s="1" t="str">
        <f ca="1"/>
        <v>noe.hernandez25@gmail.com</v>
      </c>
      <c r="N250" s="1" t="str">
        <f ca="1"/>
        <v>Lider de Jovenes</v>
      </c>
      <c r="O250" s="1" t="str">
        <f ca="1"/>
        <v>Estuve perdido varios años en el alcohol y las drogas, yo era corredor de bolsa y en el peor momento de mi vida Dios me saco de ahi, ahora soy bautizado y sirvo con agradecimiekto y devocion a Dios</v>
      </c>
      <c r="P250" s="1" t="str">
        <f ca="1"/>
        <v>Porque los mire en Tik Tok y senti un llamado importante en mi corazon, no se xomo explicarlo solo se que senti la necesidad de registrarme como voluntatio para trabajar en la obra del señor</v>
      </c>
      <c r="Q250" s="1" t="str">
        <f ca="1"/>
        <v>Si</v>
      </c>
      <c r="R250" s="1" t="str">
        <f ca="1"/>
        <v>Futbol y atletismo</v>
      </c>
      <c r="S250" s="1" t="str">
        <f ca="1"/>
        <v>No</v>
      </c>
      <c r="T250" s="1">
        <v>0</v>
      </c>
      <c r="U250" s="1" t="str">
        <f ca="1"/>
        <v>Finanzas</v>
      </c>
      <c r="V250" s="1" t="str">
        <f ca="1"/>
        <v>Me desenvuelvo en el area de la finanzas, planeacion financiera</v>
      </c>
      <c r="W250" s="17" t="str">
        <f ca="1"/>
        <v>A. Soy un discipulador activo, B. Me gusta animar a las personas, E. Me gusta el trabajo con niños, H. Soy organizado (a), I. Se me facilita el trabajo físico, M. Soy bueno (a) con los números, N. Suelo llevar el liderazgo en un grupo, O. Puedo enseñar con facilidad</v>
      </c>
      <c r="X250" s="17" t="str">
        <f ca="1"/>
        <v>No</v>
      </c>
      <c r="Y250" s="1">
        <v>0</v>
      </c>
      <c r="AG250" s="55" t="s">
        <v>51</v>
      </c>
      <c r="AH250" s="55"/>
      <c r="AI250" s="55" t="s">
        <v>50</v>
      </c>
    </row>
    <row r="251" spans="1:38" ht="12.75" x14ac:dyDescent="0.35">
      <c r="A251" s="69">
        <v>250</v>
      </c>
      <c r="B251" s="57" t="str">
        <f ca="1"/>
        <v>Ximena, Hernandez Juarez</v>
      </c>
      <c r="C251" s="58">
        <f ca="1"/>
        <v>15</v>
      </c>
      <c r="D251" s="57" t="str">
        <f ca="1"/>
        <v>Hombre</v>
      </c>
      <c r="E251" s="57" t="str">
        <f ca="1"/>
        <v>Queretaro, Mexico</v>
      </c>
      <c r="F251" s="57" t="str">
        <f ca="1"/>
        <v>ximenahzjz@gmail.com</v>
      </c>
      <c r="G251" s="57">
        <f ca="1"/>
        <v>524422302096</v>
      </c>
      <c r="H251" s="57" t="str">
        <f ca="1"/>
        <v>Jóvenes de 13 – 17 años / SEM2/ (4 - 09 agosto)</v>
      </c>
      <c r="I251" s="57" t="str">
        <f ca="1"/>
        <v>yo hago el mio</v>
      </c>
      <c r="J251" s="57" t="str">
        <f ca="1"/>
        <v>satélite iglesia cristiana</v>
      </c>
      <c r="K251" s="57" t="str">
        <f ca="1"/>
        <v>enrique guadarrama</v>
      </c>
      <c r="L251" s="57">
        <f ca="1"/>
        <v>525585814335</v>
      </c>
      <c r="M251" s="57" t="str">
        <f ca="1"/>
        <v>eguadarrama77@hotmail.com</v>
      </c>
      <c r="N251" s="57" t="str">
        <f ca="1"/>
        <v>niños</v>
      </c>
      <c r="O251" s="57" t="str">
        <f ca="1"/>
        <v>Hola, me llamo Ximena y tengo 15 años. Antes me sentía solo, enojado y sin ganas de nada. Un día fui a la iglesia con mi tía y ahí escuché que Jesús me ama y que murió por mí.
Esa noche oré, le pedí perdón a Dios y le dije que quería cambiar. Desde ese momento, mi vida es diferente. Ya no me siento solo, tengo paz y sé que Dios está conmigo. Me salvó, y ahora vive el en mi</v>
      </c>
      <c r="P251" s="57" t="str">
        <f ca="1"/>
        <v>Quisiera ser parte de su equipo por la experiencia ya que ya llevo 4 años siendo campera y quisiera experimentar algo diferente</v>
      </c>
      <c r="Q251" s="57" t="str">
        <f ca="1"/>
        <v>Si</v>
      </c>
      <c r="R251" s="57" t="str">
        <f ca="1"/>
        <v>Volleyball</v>
      </c>
      <c r="S251" s="57" t="str">
        <f ca="1"/>
        <v>No</v>
      </c>
      <c r="T251" s="57">
        <v>0</v>
      </c>
      <c r="U251" s="57" t="str">
        <f ca="1"/>
        <v>preparatoria</v>
      </c>
      <c r="V251" s="57" t="str">
        <f ca="1"/>
        <v>Juego volleyball</v>
      </c>
      <c r="W251" s="59" t="str">
        <f ca="1"/>
        <v>B. Me gusta animar a las personas, D. Me gustan los deportes, E. Me gusta el trabajo con niños, H. Soy organizado (a), J. Me gusta la atención a las personas</v>
      </c>
      <c r="X251" s="59" t="str">
        <f ca="1"/>
        <v>semana de jóvenes</v>
      </c>
      <c r="Y251" s="57">
        <v>0</v>
      </c>
      <c r="Z251" s="57"/>
      <c r="AA251" s="57"/>
      <c r="AB251" s="57"/>
      <c r="AC251" s="57"/>
      <c r="AD251" s="57"/>
      <c r="AE251" s="57"/>
      <c r="AF251" s="57"/>
      <c r="AG251" s="60" t="s">
        <v>51</v>
      </c>
      <c r="AH251" s="60"/>
      <c r="AI251" s="60" t="s">
        <v>28</v>
      </c>
      <c r="AJ251" s="57"/>
      <c r="AK251" s="57"/>
      <c r="AL251" s="57"/>
    </row>
    <row r="252" spans="1:38" ht="12.75" x14ac:dyDescent="0.35">
      <c r="A252" s="9">
        <v>251</v>
      </c>
      <c r="B252" s="1" t="str">
        <f ca="1"/>
        <v>Dana Ailén, Campis Román</v>
      </c>
      <c r="C252" s="56">
        <f ca="1"/>
        <v>17</v>
      </c>
      <c r="D252" s="1" t="str">
        <f ca="1"/>
        <v>Mujer</v>
      </c>
      <c r="E252" s="1" t="str">
        <f ca="1"/>
        <v>Queretaro, Mexico</v>
      </c>
      <c r="F252" s="1" t="str">
        <f ca="1"/>
        <v>danacampisard@gmail.com</v>
      </c>
      <c r="G252" s="1">
        <f ca="1"/>
        <v>414141022696</v>
      </c>
      <c r="H252" s="1" t="str">
        <f ca="1"/>
        <v>Jóvenes de 13 – 17 años / SEM2/ (4 - 09 agosto), Jóvenes de 13 – 17 años / SEM3/ (11 - 16 agosto)</v>
      </c>
      <c r="I252" s="1" t="str">
        <f ca="1"/>
        <v>Hora Silenciosa de Palabra de Vida obvio</v>
      </c>
      <c r="J252" s="1" t="str">
        <f ca="1"/>
        <v>Iglesia Bíblica Misionera Tequisquiapan</v>
      </c>
      <c r="K252" s="1" t="str">
        <f ca="1"/>
        <v>Coleman Victor Priske Bond</v>
      </c>
      <c r="L252" s="1">
        <f ca="1"/>
        <v>414141017265</v>
      </c>
      <c r="M252" s="1" t="str">
        <f ca="1"/>
        <v>colemanpriske@gmail.com</v>
      </c>
      <c r="N252" s="1" t="str">
        <f ca="1"/>
        <v>Escuela Dominical niños</v>
      </c>
      <c r="O252" s="1" t="str">
        <f ca="1"/>
        <v>Siempre he sido cristiana porque mis papis son pastores misioneros profetas siervos de Dios</v>
      </c>
      <c r="P252" s="1" t="str">
        <f ca="1"/>
        <v>No hay consejeras
Dios me dijo que me rife</v>
      </c>
      <c r="Q252" s="1" t="str">
        <f ca="1"/>
        <v>Si</v>
      </c>
      <c r="R252" s="1" t="str">
        <f ca="1"/>
        <v>Ajedrez</v>
      </c>
      <c r="S252" s="1" t="str">
        <f ca="1"/>
        <v>No</v>
      </c>
      <c r="T252" s="1">
        <v>0</v>
      </c>
      <c r="U252" s="1" t="str">
        <f ca="1"/>
        <v>La Biblia</v>
      </c>
      <c r="V252" s="1" t="str">
        <f ca="1"/>
        <v>Hago trenzas</v>
      </c>
      <c r="W252" s="17" t="str">
        <f ca="1"/>
        <v>A. Soy un discipulador activo, B. Me gusta animar a las personas, C. Suelo buscar que el trabajo se realice en equipo, D. Me gustan los deportes, E. Me gusta el trabajo con niños, F. Soy eficiente en el trabajo con herramientas, equipos y maquinarias, G. Soy más eficiente en el trabajo individual, H. Soy organizado (a), I. Se me facilita el trabajo físico, J. Me gusta la atención a las personas, K. Soy creativo (a), L. Soy bueno (a) en canto o algún instrumento, M. Soy bueno (a) con los números, N. Suelo llevar el liderazgo en un grupo, O. Puedo enseñar con facilidad</v>
      </c>
      <c r="X252" s="17" t="str">
        <f ca="1"/>
        <v>No nuna</v>
      </c>
      <c r="Y252" s="1">
        <v>0</v>
      </c>
      <c r="AG252" s="55" t="s">
        <v>51</v>
      </c>
      <c r="AH252" s="55"/>
      <c r="AI252" s="55" t="s">
        <v>26</v>
      </c>
    </row>
    <row r="253" spans="1:38" ht="12.75" x14ac:dyDescent="0.35">
      <c r="A253" s="9">
        <v>252</v>
      </c>
      <c r="B253" s="1" t="str">
        <f ca="1"/>
        <v>Mariana, Martínez Jaramillo</v>
      </c>
      <c r="C253" s="56">
        <f ca="1"/>
        <v>24</v>
      </c>
      <c r="D253" s="1" t="str">
        <f ca="1"/>
        <v>Mujer</v>
      </c>
      <c r="E253" s="1" t="str">
        <f ca="1"/>
        <v>Morelos, Mexico</v>
      </c>
      <c r="F253" s="1" t="str">
        <f ca="1"/>
        <v>marmartzjaramillo@gmail.com</v>
      </c>
      <c r="G253" s="1">
        <f ca="1"/>
        <v>527775567100</v>
      </c>
      <c r="H253" s="1" t="str">
        <f ca="1"/>
        <v>Jóvenes de 13 – 17 años / SEM3/ (11 - 16 agosto)</v>
      </c>
      <c r="I253" s="1" t="str">
        <f ca="1"/>
        <v>Uso devocional personal, es decir leo un capítulo por día y escribo qué entendí, qué me habló Dios y cómo lo aplico a mi vida</v>
      </c>
      <c r="J253" s="1" t="str">
        <f ca="1"/>
        <v>La Mies Cuernavaca</v>
      </c>
      <c r="K253" s="1" t="str">
        <f ca="1"/>
        <v>Mariana Jaramillo</v>
      </c>
      <c r="L253" s="1">
        <f ca="1"/>
        <v>527774517856</v>
      </c>
      <c r="M253" s="1" t="str">
        <f ca="1"/>
        <v>majo262811@gmail.com</v>
      </c>
      <c r="N253" s="1" t="str">
        <f ca="1"/>
        <v>Alabanza (Coro), Kids (Alabanza kids), Maestra de instituto bíblico, REPS (Recibimiento)</v>
      </c>
      <c r="O253" s="1" t="str">
        <f ca="1"/>
        <v>Soy hija de padres cristianos, por lo que siempre buscaron que estuviera creciendo en ese ambiente. Pero no fue hasta los 16 años que fui consciente de la salvación que Cristo da, por medio de una relación fallida y de darme cuenta de que por mis propias ambiciones podría ser capaz de destruir a mi familia, decidí rendirle mi vida a Dios.</v>
      </c>
      <c r="P253" s="1" t="str">
        <f ca="1"/>
        <v>He sido parte de otros campamentos cristianos que se dedican a evangelizar como Tierra Alta en sus sedes en Morelos y Coahuila, esta temporada de mi vida fue algo compleja en cuanto a mi salud, por lo que decidí tomarme un tiempo con mi familia. Vi un video de tiktok de este campamento y quise intentar aplicar para la última semana.</v>
      </c>
      <c r="Q253" s="1" t="str">
        <f ca="1"/>
        <v>No</v>
      </c>
      <c r="R253" s="1">
        <v>0</v>
      </c>
      <c r="S253" s="1" t="str">
        <f ca="1"/>
        <v>No</v>
      </c>
      <c r="T253" s="1">
        <v>0</v>
      </c>
      <c r="U253" s="1" t="str">
        <f ca="1"/>
        <v>Terminé la licenciatura en historia.</v>
      </c>
      <c r="V253" s="1" t="str">
        <f ca="1"/>
        <v>Licenciada en Historia, Licenciada en Teología</v>
      </c>
      <c r="W253" s="17" t="str">
        <f ca="1"/>
        <v>A. Soy un discipulador activo, B. Me gusta animar a las personas, C. Suelo buscar que el trabajo se realice en equipo, E. Me gusta el trabajo con niños, H. Soy organizado (a), J. Me gusta la atención a las personas, K. Soy creativo (a), L. Soy bueno (a) en canto o algún instrumento, M. Soy bueno (a) con los números, N. Suelo llevar el liderazgo en un grupo, O. Puedo enseñar con facilidad</v>
      </c>
      <c r="X253" s="17" t="str">
        <f ca="1"/>
        <v>No</v>
      </c>
      <c r="Y253" s="1">
        <v>0</v>
      </c>
      <c r="AG253" s="55" t="s">
        <v>51</v>
      </c>
      <c r="AH253" s="55"/>
      <c r="AI253" s="55" t="s">
        <v>25</v>
      </c>
    </row>
    <row r="254" spans="1:38" ht="12.75" x14ac:dyDescent="0.35">
      <c r="A254" s="9">
        <v>253</v>
      </c>
      <c r="B254" s="1" t="str">
        <f ca="1"/>
        <v>Alondra Garcia Pineda, Alondra Garcia Pineda</v>
      </c>
      <c r="C254" s="56">
        <f ca="1"/>
        <v>15</v>
      </c>
      <c r="D254" s="1" t="str">
        <f ca="1"/>
        <v>Mujer</v>
      </c>
      <c r="E254" s="1" t="str">
        <f ca="1"/>
        <v>Mexico City, Mexico</v>
      </c>
      <c r="F254" s="1" t="str">
        <f ca="1"/>
        <v>alondragarpin15@gmail.com</v>
      </c>
      <c r="G254" s="1">
        <f ca="1"/>
        <v>527712635603</v>
      </c>
      <c r="H254" s="1" t="str">
        <f ca="1"/>
        <v>Jóvenes de 13 – 17 años / SEM2/ (4 - 09 agosto)</v>
      </c>
      <c r="I254" s="1" t="str">
        <f ca="1"/>
        <v>Salmos</v>
      </c>
      <c r="J254" s="1" t="str">
        <f ca="1"/>
        <v>Satelite iglesia cristiana pib</v>
      </c>
      <c r="K254" s="1" t="str">
        <f ca="1"/>
        <v>Enrique Guadarrama</v>
      </c>
      <c r="L254" s="1">
        <f ca="1"/>
        <v>525585814335</v>
      </c>
      <c r="M254" s="1" t="str">
        <f ca="1"/>
        <v>eguadarrama77@hotmail.com</v>
      </c>
      <c r="N254" s="1" t="str">
        <f ca="1"/>
        <v>Niños</v>
      </c>
      <c r="O254" s="1" t="str">
        <f ca="1"/>
        <v>Jesús me salvó de problemas familiares muy fuertes, mi ayudo a acercar a mi familia nuevamente a escuchar de su palabra y me salvó de poder tener algo cercano a cancer</v>
      </c>
      <c r="P254" s="1" t="str">
        <f ca="1"/>
        <v>Deseo poder servirle a mi señor y salvador de la mejor manera para él y para mi, es algo que anhelo desde hace tiempo y estoy segura que este pensamiento viene desde oración</v>
      </c>
      <c r="Q254" s="1" t="str">
        <f ca="1"/>
        <v>Si</v>
      </c>
      <c r="R254" s="1" t="str">
        <f ca="1"/>
        <v>Tochito bandera</v>
      </c>
      <c r="S254" s="1" t="str">
        <f ca="1"/>
        <v>No</v>
      </c>
      <c r="T254" s="1">
        <v>0</v>
      </c>
      <c r="U254" s="1" t="str">
        <f ca="1"/>
        <v>Estudio la preparatoria</v>
      </c>
      <c r="V254" s="1" t="str">
        <f ca="1"/>
        <v>Soy creativa,deportiva y capaz de aprender y escuchar más de Dios</v>
      </c>
      <c r="W254" s="17" t="str">
        <f ca="1"/>
        <v>A. Soy un discipulador activo, D. Me gustan los deportes, E. Me gusta el trabajo con niños, H. Soy organizado (a), K. Soy creativo (a), N. Suelo llevar el liderazgo en un grupo, O. Puedo enseñar con facilidad</v>
      </c>
      <c r="X254" s="17" t="str">
        <f ca="1"/>
        <v>Jóvenes 2025</v>
      </c>
      <c r="Y254" s="1">
        <v>0</v>
      </c>
      <c r="AG254" s="55" t="s">
        <v>51</v>
      </c>
      <c r="AH254" s="55"/>
      <c r="AI254" s="55" t="s">
        <v>25</v>
      </c>
      <c r="AJ254" s="1" t="s">
        <v>161</v>
      </c>
    </row>
    <row r="255" spans="1:38" ht="12.75" x14ac:dyDescent="0.35">
      <c r="A255" s="69">
        <v>254</v>
      </c>
      <c r="B255" s="57" t="str">
        <f ca="1"/>
        <v>Edgar Mauricio, Ruiz Mata</v>
      </c>
      <c r="C255" s="58">
        <f ca="1"/>
        <v>33</v>
      </c>
      <c r="D255" s="57" t="str">
        <f ca="1"/>
        <v>Hombre</v>
      </c>
      <c r="E255" s="57" t="str">
        <f ca="1"/>
        <v>Queretaro, Mexico</v>
      </c>
      <c r="F255" s="57" t="str">
        <f ca="1"/>
        <v>emrm0314@gmail.com</v>
      </c>
      <c r="G255" s="57">
        <f ca="1"/>
        <v>524272025656</v>
      </c>
      <c r="H255" s="57" t="str">
        <f ca="1"/>
        <v>Jóvenes de 13 – 17 años / SEM3/ (11 - 16 agosto)</v>
      </c>
      <c r="I255" s="57" t="str">
        <f ca="1"/>
        <v>Hora Silenciosa</v>
      </c>
      <c r="J255" s="57" t="str">
        <f ca="1"/>
        <v>N/a</v>
      </c>
      <c r="K255" s="57" t="str">
        <f ca="1"/>
        <v>N/a</v>
      </c>
      <c r="L255" s="57">
        <f ca="1"/>
        <v>520000000000</v>
      </c>
      <c r="M255" s="57" t="str">
        <f ca="1"/>
        <v>emrm0314@gmail.com</v>
      </c>
      <c r="N255" s="57" t="str">
        <f ca="1"/>
        <v>N/a</v>
      </c>
      <c r="O255" s="57" t="str">
        <f ca="1"/>
        <v>Conoci de Cristo en un campamento en San Luis a la edad de 17 años.</v>
      </c>
      <c r="P255" s="57" t="str">
        <f ca="1"/>
        <v>Me gustaria retribuir al Señor lo mucho que me ha dado. PDV es un pilar importante en mi vida y quiero volver a ser activo en mi iglesia. Considero que esta es un oportunidad para escuchar la voz de Dios. Mi alma lo necesita.</v>
      </c>
      <c r="Q255" s="57" t="str">
        <f ca="1"/>
        <v>Si</v>
      </c>
      <c r="R255" s="57" t="str">
        <f ca="1"/>
        <v>Fútbol</v>
      </c>
      <c r="S255" s="57" t="str">
        <f ca="1"/>
        <v>No</v>
      </c>
      <c r="T255" s="57">
        <v>0</v>
      </c>
      <c r="U255" s="57" t="str">
        <f ca="1"/>
        <v>Soy egresado</v>
      </c>
      <c r="V255" s="57" t="str">
        <f ca="1"/>
        <v>Soy bueno organizando</v>
      </c>
      <c r="W255" s="59" t="str">
        <f ca="1"/>
        <v>B. Me gusta animar a las personas, D. Me gustan los deportes, E. Me gusta el trabajo con niños, L. Soy bueno (a) en canto o algún instrumento, M. Soy bueno (a) con los números, O. Puedo enseñar con facilidad</v>
      </c>
      <c r="X255" s="59" t="str">
        <f ca="1"/>
        <v>No</v>
      </c>
      <c r="Y255" s="57">
        <v>0</v>
      </c>
      <c r="Z255" s="57"/>
      <c r="AA255" s="57"/>
      <c r="AB255" s="57"/>
      <c r="AC255" s="57"/>
      <c r="AD255" s="57"/>
      <c r="AE255" s="57"/>
      <c r="AF255" s="57"/>
      <c r="AG255" s="60" t="s">
        <v>51</v>
      </c>
      <c r="AH255" s="60"/>
      <c r="AI255" s="60" t="s">
        <v>28</v>
      </c>
      <c r="AJ255" s="57" t="s">
        <v>160</v>
      </c>
      <c r="AK255" s="57"/>
      <c r="AL255" s="57"/>
    </row>
    <row r="256" spans="1:38" ht="12.75" x14ac:dyDescent="0.35">
      <c r="A256" s="9">
        <v>255</v>
      </c>
      <c r="B256" s="1" t="str">
        <f ca="1"/>
        <v>Damaris Lopez marin, Damaris</v>
      </c>
      <c r="C256" s="56">
        <f ca="1"/>
        <v>15</v>
      </c>
      <c r="D256" s="1" t="str">
        <f ca="1"/>
        <v>Mujer</v>
      </c>
      <c r="E256" s="1" t="str">
        <f ca="1"/>
        <v>Queretaro, Mexico</v>
      </c>
      <c r="F256" s="1" t="str">
        <f ca="1"/>
        <v>lopezmarindamaris@gmail.com</v>
      </c>
      <c r="G256" s="1">
        <f ca="1"/>
        <v>541160050591</v>
      </c>
      <c r="H256" s="1" t="str">
        <f ca="1"/>
        <v>Jóvenes de 13 – 17 años / SEM2/ (4 - 09 agosto)</v>
      </c>
      <c r="I256" s="1" t="str">
        <f ca="1"/>
        <v>Devocional personal</v>
      </c>
      <c r="J256" s="1" t="str">
        <f ca="1"/>
        <v>CCNE Tlacotepec</v>
      </c>
      <c r="K256" s="1" t="str">
        <f ca="1"/>
        <v>Jose Lopez</v>
      </c>
      <c r="L256" s="1">
        <f ca="1"/>
        <v>527208633820</v>
      </c>
      <c r="M256" s="1" t="str">
        <f ca="1"/>
        <v>jose.o.lopez.jol@gmail.com</v>
      </c>
      <c r="N256" s="1" t="str">
        <f ca="1"/>
        <v>Jovenes servicio</v>
      </c>
      <c r="O256" s="1" t="str">
        <f ca="1"/>
        <v>Vengo de una familia cristiana donde siempre escuche de Dios, pero nunca lo habia aceptado hasta que cumpli 7 años cuando mi hermana me predico de cristo y pude entender que era una pecadora y que mi pecado me separa de cristo fue a hi donde cono a mi unico salvador</v>
      </c>
      <c r="P256" s="1" t="str">
        <f ca="1"/>
        <v>Quiero ser parte, para aprender mas sobre la palabra de Dios y servir para la obra de Dios</v>
      </c>
      <c r="Q256" s="1" t="str">
        <f ca="1"/>
        <v>Si</v>
      </c>
      <c r="R256" s="1" t="str">
        <f ca="1"/>
        <v>Voley</v>
      </c>
      <c r="S256" s="1" t="str">
        <f ca="1"/>
        <v>No</v>
      </c>
      <c r="T256" s="1">
        <v>0</v>
      </c>
      <c r="U256" s="1" t="str">
        <f ca="1"/>
        <v>Escuela</v>
      </c>
      <c r="V256" s="1" t="str">
        <f ca="1"/>
        <v>Actuar, limpiar y vender</v>
      </c>
      <c r="W256" s="17" t="str">
        <f ca="1"/>
        <v>B. Me gusta animar a las personas, C. Suelo buscar que el trabajo se realice en equipo, E. Me gusta el trabajo con niños, H. Soy organizado (a), J. Me gusta la atención a las personas, K. Soy creativo (a), M. Soy bueno (a) con los números, O. Puedo enseñar con facilidad</v>
      </c>
      <c r="X256" s="17" t="str">
        <f ca="1"/>
        <v>Si en en la pasada</v>
      </c>
      <c r="Y256" s="1">
        <v>0</v>
      </c>
      <c r="AG256" s="55" t="s">
        <v>51</v>
      </c>
      <c r="AH256" s="55"/>
      <c r="AI256" s="55" t="s">
        <v>25</v>
      </c>
    </row>
    <row r="257" spans="1:35" ht="12.75" x14ac:dyDescent="0.35">
      <c r="A257" s="9">
        <v>256</v>
      </c>
      <c r="B257" s="1" t="str">
        <f ca="1"/>
        <v>Bernardo, Becerril</v>
      </c>
      <c r="C257" s="56">
        <f ca="1"/>
        <v>27</v>
      </c>
      <c r="D257" s="1" t="str">
        <f ca="1"/>
        <v>Hombre</v>
      </c>
      <c r="E257" s="1" t="str">
        <f ca="1"/>
        <v>Queretaro, Mexico</v>
      </c>
      <c r="F257" s="1" t="str">
        <f ca="1"/>
        <v>brody4e1@gmail.com</v>
      </c>
      <c r="G257" s="1">
        <f ca="1"/>
        <v>527775155056</v>
      </c>
      <c r="H257" s="1" t="str">
        <f ca="1"/>
        <v>Jóvenes de 13 – 17 años / SEM2/ (4 - 09 agosto)</v>
      </c>
      <c r="I257" s="1" t="str">
        <f ca="1"/>
        <v>Devocionales de Nico Tranchini</v>
      </c>
      <c r="J257" s="1" t="str">
        <f ca="1"/>
        <v>Church Peoject</v>
      </c>
      <c r="K257" s="1" t="str">
        <f ca="1"/>
        <v>Brandon</v>
      </c>
      <c r="L257" s="1">
        <f ca="1"/>
        <v>524151261741</v>
      </c>
      <c r="M257" s="1" t="str">
        <f ca="1"/>
        <v>braian@cpqueretaro.org</v>
      </c>
      <c r="N257" s="1" t="str">
        <f ca="1"/>
        <v>Apoyo en Jóvenes</v>
      </c>
      <c r="O257" s="1" t="str">
        <f ca="1"/>
        <v>Dios me hablo con la obra de Renacidos por medio del ministerio de Palabra de Vida a los 18 años, fue donde afirme con convicción el regalo que Dios me había dado para tener una relación con Cristo, una esperanza viva de estar con Él por la eternidad.
Y poder ser luz y sal aquí en la tierra.</v>
      </c>
      <c r="P257" s="1" t="str">
        <f ca="1"/>
        <v>Dios hablo a mi vida hace unos días en para apoyar el ministerio que desde hace años a sido una bendición a mi vida y ahí algunos compañeros compartieron conmigo que había una necesidad en el área de consejero donde eh podido ser parte años atrás.</v>
      </c>
      <c r="Q257" s="1" t="str">
        <f ca="1"/>
        <v>Si</v>
      </c>
      <c r="R257" s="1" t="str">
        <f ca="1"/>
        <v>Futbol y tenis.</v>
      </c>
      <c r="S257" s="1" t="str">
        <f ca="1"/>
        <v>No</v>
      </c>
      <c r="T257" s="1">
        <v>0</v>
      </c>
      <c r="U257" s="1" t="str">
        <f ca="1"/>
        <v>Trabajo</v>
      </c>
      <c r="V257" s="1" t="str">
        <f ca="1"/>
        <v>Facilidad de hablar y relación con personas.</v>
      </c>
      <c r="W257" s="17" t="str">
        <f ca="1"/>
        <v>A. Soy un discipulador activo, B. Me gusta animar a las personas, C. Suelo buscar que el trabajo se realice en equipo, D. Me gustan los deportes, N. Suelo llevar el liderazgo en un grupo, O. Puedo enseñar con facilidad</v>
      </c>
      <c r="X257" s="17" t="str">
        <f ca="1"/>
        <v>No</v>
      </c>
      <c r="Y257" s="1">
        <v>0</v>
      </c>
      <c r="AG257" s="55" t="s">
        <v>51</v>
      </c>
      <c r="AH257" s="55" t="s">
        <v>51</v>
      </c>
      <c r="AI257" s="55" t="s">
        <v>45</v>
      </c>
    </row>
    <row r="258" spans="1:35" ht="12.75" x14ac:dyDescent="0.35">
      <c r="A258" s="9">
        <v>257</v>
      </c>
      <c r="B258" s="1" t="str">
        <f ca="1"/>
        <v>Vanessa Michelle, Rojas Ojeda</v>
      </c>
      <c r="C258" s="56">
        <f ca="1"/>
        <v>16</v>
      </c>
      <c r="D258" s="1" t="str">
        <f ca="1"/>
        <v>Mujer</v>
      </c>
      <c r="E258" s="1" t="str">
        <f ca="1"/>
        <v>Queretaro, Mexico</v>
      </c>
      <c r="F258" s="1" t="str">
        <f ca="1"/>
        <v>rojasojedavanessa@gmail.com</v>
      </c>
      <c r="G258" s="1">
        <f ca="1"/>
        <v>524421237112</v>
      </c>
      <c r="H258" s="1" t="str">
        <f ca="1"/>
        <v>Jóvenes de 13 – 17 años / SEM3/ (11 - 16 agosto)</v>
      </c>
      <c r="I258" s="1" t="str">
        <f ca="1"/>
        <v>La Biblia</v>
      </c>
      <c r="J258" s="1" t="str">
        <f ca="1"/>
        <v>Betania</v>
      </c>
      <c r="K258" s="1" t="str">
        <f ca="1"/>
        <v>Armando Pacheco Aviles</v>
      </c>
      <c r="L258" s="1">
        <f ca="1"/>
        <v>525554729453</v>
      </c>
      <c r="M258" s="1" t="str">
        <f ca="1"/>
        <v>armando_pacheco@hotmail.com</v>
      </c>
      <c r="N258" s="1" t="str">
        <f ca="1"/>
        <v>intermedios y jóvenes - escuela de formación cristiana</v>
      </c>
      <c r="O258" s="1" t="str">
        <f ca="1"/>
        <v>vengo de una familia que siempre estuvo cerca de Dios, pero a mí no me llamaba la atención y siempre iba obligada a la iglesia hasta que asistí a uno de los campamentos de pv y Dios me llamó  durante la fogata, pero no pude rendirme a Él en ese momento, tuve miedo y tuve dudas. estuve luchando contra esas dudas y miedos durante casi dos años hasta que en el campamento “eternos” Dios quitó todas mis dudas para darme ese deseo de servirle y de animar a la gente a aceptar a Jesús en su corazón, ya que su amor y su gracia cambió mi vida para toda la eternidad y quiero que la gente sepa quién es Jesús</v>
      </c>
      <c r="P258" s="1" t="str">
        <f ca="1"/>
        <v>quiero glorificar a Dios con mi participación y animar a los jóvenes a creer en Cristo como su salvador</v>
      </c>
      <c r="Q258" s="1" t="str">
        <f ca="1"/>
        <v>Si</v>
      </c>
      <c r="R258" s="1" t="str">
        <f ca="1"/>
        <v>Volley ball</v>
      </c>
      <c r="S258" s="1" t="str">
        <f ca="1"/>
        <v>No</v>
      </c>
      <c r="T258" s="1">
        <v>0</v>
      </c>
      <c r="U258" s="1" t="str">
        <f ca="1"/>
        <v>1 de preparatoria/ bachillerato</v>
      </c>
      <c r="V258" s="1" t="str">
        <f ca="1"/>
        <v>soy animada y activa, tengo una voz potente, sociable, camino largas distancias, puedo cargar varias cosas a la vez, estoy dispuesta a servir, soy paciente,</v>
      </c>
      <c r="W258" s="17" t="str">
        <f ca="1"/>
        <v>B. Me gusta animar a las personas, C. Suelo buscar que el trabajo se realice en equipo, D. Me gustan los deportes, G. Soy más eficiente en el trabajo individual, H. Soy organizado (a), I. Se me facilita el trabajo físico, J. Me gusta la atención a las personas, K. Soy creativo (a), O. Puedo enseñar con facilidad</v>
      </c>
      <c r="X258" s="17" t="str">
        <f ca="1"/>
        <v>semana de jovenes 2023,2024,2025</v>
      </c>
      <c r="Y258" s="1">
        <v>0</v>
      </c>
      <c r="AG258" s="55" t="s">
        <v>51</v>
      </c>
      <c r="AH258" s="55"/>
      <c r="AI258" s="55" t="s">
        <v>25</v>
      </c>
    </row>
    <row r="259" spans="1:35" ht="12.75" x14ac:dyDescent="0.35">
      <c r="A259" s="9">
        <v>258</v>
      </c>
      <c r="B259" s="1" t="str">
        <f ca="1"/>
        <v>Maximiliano Rafael, Gonzalez Islas</v>
      </c>
      <c r="C259" s="56">
        <f ca="1"/>
        <v>28</v>
      </c>
      <c r="D259" s="1" t="str">
        <f ca="1"/>
        <v>Hombre</v>
      </c>
      <c r="E259" s="1" t="str">
        <f ca="1"/>
        <v>Mexico City, Mexico</v>
      </c>
      <c r="F259" s="1" t="str">
        <f ca="1"/>
        <v>dmaxf@live.com</v>
      </c>
      <c r="G259" s="1">
        <f ca="1"/>
        <v>525563229154</v>
      </c>
      <c r="H259" s="1" t="str">
        <f ca="1"/>
        <v>Jóvenes de 13 – 17 años / SEM3/ (11 - 16 agosto)</v>
      </c>
      <c r="I259" s="1" t="str">
        <f ca="1"/>
        <v>El de la biblia</v>
      </c>
      <c r="J259" s="1" t="str">
        <f ca="1"/>
        <v>Forestal (del bosque)</v>
      </c>
      <c r="K259" s="1" t="str">
        <f ca="1"/>
        <v>Ciro Pérez</v>
      </c>
      <c r="L259" s="1">
        <f ca="1"/>
        <v>525534091509</v>
      </c>
      <c r="M259" s="1" t="str">
        <f ca="1"/>
        <v>ciroperezrojas@gmail.com</v>
      </c>
      <c r="N259" s="1" t="str">
        <f ca="1"/>
        <v>Antes era maestro y encargado de juegos</v>
      </c>
      <c r="O259" s="1" t="str">
        <f ca="1"/>
        <v>A la edad de 12 años mi familia por primera vez escucho de la palabra en un evento del día del niño 
Partir de ahí, nos invitaron asistir al club de niños mi mamá nos llevo y con el tiempo cada día íbamos más y más a la iglesia a la edad de 17 años yo acepte a Dios como mi único salvador y a la edad de 18-19 me bautize</v>
      </c>
      <c r="P259" s="1" t="str">
        <f ca="1"/>
        <v>Siempre he querido ir a servir desde niño iba a los campamentos y siempre me quedé con ganas de ir a servir y ahora que mi hermana está allá sirviendo ella me animo a ir</v>
      </c>
      <c r="Q259" s="1" t="str">
        <f ca="1"/>
        <v>Si</v>
      </c>
      <c r="R259" s="1" t="str">
        <f ca="1"/>
        <v>Futbol</v>
      </c>
      <c r="S259" s="1" t="str">
        <f ca="1"/>
        <v>No</v>
      </c>
      <c r="T259" s="1">
        <v>0</v>
      </c>
      <c r="U259" s="1" t="str">
        <f ca="1"/>
        <v>Contabilidad</v>
      </c>
      <c r="V259" s="1" t="str">
        <f ca="1"/>
        <v>Soy bueno en las matemáticas</v>
      </c>
      <c r="W259" s="17" t="str">
        <f ca="1"/>
        <v>B. Me gusta animar a las personas, C. Suelo buscar que el trabajo se realice en equipo, D. Me gustan los deportes, I. Se me facilita el trabajo físico, J. Me gusta la atención a las personas, M. Soy bueno (a) con los números, O. Puedo enseñar con facilidad</v>
      </c>
      <c r="X259" s="17" t="str">
        <f ca="1"/>
        <v>2010-2013</v>
      </c>
      <c r="Y259" s="1">
        <v>0</v>
      </c>
      <c r="AG259" s="55" t="s">
        <v>51</v>
      </c>
      <c r="AH259" s="55"/>
      <c r="AI259" s="55" t="s">
        <v>28</v>
      </c>
    </row>
    <row r="260" spans="1:35" ht="12.75" x14ac:dyDescent="0.35">
      <c r="A260" s="9">
        <v>259</v>
      </c>
      <c r="B260" s="1" t="str">
        <f ca="1"/>
        <v>Bereshit eliana, Torres arriaga</v>
      </c>
      <c r="C260" s="56">
        <f ca="1"/>
        <v>17</v>
      </c>
      <c r="D260" s="1" t="str">
        <f ca="1"/>
        <v>Mujer</v>
      </c>
      <c r="E260" s="1" t="str">
        <f ca="1"/>
        <v>San Luis Potosi, Mexico</v>
      </c>
      <c r="F260" s="1" t="str">
        <f ca="1"/>
        <v>sh.industrial.gaeliana@gmail.com</v>
      </c>
      <c r="G260" s="1">
        <f ca="1"/>
        <v>524448191219</v>
      </c>
      <c r="H260" s="1" t="str">
        <f ca="1"/>
        <v>Jóvenes de 13 – 17 años / SEM3/ (11 - 16 agosto)</v>
      </c>
      <c r="I260" s="1" t="str">
        <f ca="1"/>
        <v>Biblia</v>
      </c>
      <c r="J260" s="1" t="str">
        <f ca="1"/>
        <v>Eterno mover</v>
      </c>
      <c r="K260" s="1" t="str">
        <f ca="1"/>
        <v>Rodrigo</v>
      </c>
      <c r="L260" s="1">
        <f ca="1"/>
        <v>524442855187</v>
      </c>
      <c r="M260" s="1" t="str">
        <f ca="1"/>
        <v>rodri@eternomover.com</v>
      </c>
      <c r="N260" s="1" t="str">
        <f ca="1"/>
        <v>Niños y multimedia</v>
      </c>
      <c r="O260" s="1" t="str">
        <f ca="1"/>
        <v>Hace 5 años yo andaba en malos pasos un día fui a la iglesia y a este campamento y cambio mi vida y la forma de ver las cosas</v>
      </c>
      <c r="P260" s="1" t="str">
        <f ca="1"/>
        <v>Porque me gusta ayudar a que se haga la voluntad De Dios en mi vida y si puedo ayudar a otros con todo el amor lo haré</v>
      </c>
      <c r="Q260" s="1" t="str">
        <f ca="1"/>
        <v>Si</v>
      </c>
      <c r="R260" s="1" t="str">
        <f ca="1"/>
        <v>Voleibol</v>
      </c>
      <c r="S260" s="1" t="str">
        <f ca="1"/>
        <v>Si</v>
      </c>
      <c r="T260" s="1" t="str">
        <f ca="1"/>
        <v>Canto y un poco de piano</v>
      </c>
      <c r="U260" s="1" t="str">
        <f ca="1"/>
        <v>Preparatoria</v>
      </c>
      <c r="V260" s="1" t="str">
        <f ca="1"/>
        <v>Soy deportista y soy muy divertida</v>
      </c>
      <c r="W260" s="17" t="str">
        <f ca="1"/>
        <v>B. Me gusta animar a las personas, D. Me gustan los deportes, I. Se me facilita el trabajo físico, K. Soy creativo (a)</v>
      </c>
      <c r="X260" s="17" t="str">
        <f ca="1"/>
        <v>Si, 2024 y 2025</v>
      </c>
      <c r="Y260" s="1">
        <v>0</v>
      </c>
      <c r="AG260" s="55" t="s">
        <v>51</v>
      </c>
      <c r="AH260" s="55"/>
      <c r="AI260" s="55" t="s">
        <v>25</v>
      </c>
    </row>
    <row r="261" spans="1:35" ht="12.75" x14ac:dyDescent="0.35">
      <c r="A261" s="9">
        <v>260</v>
      </c>
      <c r="B261" s="1" t="str">
        <f ca="1"/>
        <v>Julieta, Mondragón Soto</v>
      </c>
      <c r="C261" s="56">
        <f ca="1"/>
        <v>50</v>
      </c>
      <c r="D261" s="1" t="str">
        <f ca="1"/>
        <v>Mujer</v>
      </c>
      <c r="E261" s="1" t="str">
        <f ca="1"/>
        <v>Mexico, Mexico</v>
      </c>
      <c r="F261" s="1" t="str">
        <f ca="1"/>
        <v>julieta_mondragons@hotmail.com</v>
      </c>
      <c r="G261" s="1">
        <f ca="1"/>
        <v>527225198191</v>
      </c>
      <c r="H261" s="1" t="str">
        <f ca="1"/>
        <v>Jóvenes de 13 – 17 años / SEM3/ (11 - 16 agosto)</v>
      </c>
      <c r="I261" s="1" t="str">
        <f ca="1"/>
        <v>Devocionales con el Pas, iglesia Horeb CDMX</v>
      </c>
      <c r="J261" s="1" t="str">
        <f ca="1"/>
        <v>Iglesia Cristiana Bautista Maranatha</v>
      </c>
      <c r="K261" s="1" t="str">
        <f ca="1"/>
        <v>HECTOR ABDIEL LOPEZ LOPEZ</v>
      </c>
      <c r="L261" s="1">
        <f ca="1"/>
        <v>525217225107076</v>
      </c>
      <c r="M261" s="1" t="str">
        <f ca="1"/>
        <v>habdielr@gmail.com</v>
      </c>
      <c r="N261" s="1" t="str">
        <f ca="1"/>
        <v>Misiones</v>
      </c>
      <c r="O261" s="1" t="str">
        <f ca="1"/>
        <v>Hace 17 años, acepté a Cristo en mi corazón.
Me congreguè desde ese entonces y me bautice al año.
Dios comenzò a guiarme a traves de la Consejerìa. HE dado consejerìa familiar desde hace 16 años y comence a ir a campos misioneros desde hace 10 años.</v>
      </c>
      <c r="P261" s="1" t="str">
        <f ca="1"/>
        <v>ME gusta servir, estoy de vacaciones y puedo ir a apoyar en la cocina o en consejerìa, donde ustedes me indiquen.
Pero solo podrè ir lunes, martes hasta el medio dìa, jueves por la tarde y viernes en la mañana. 
Inscribì a mi hijo David Luja para el campamento de esta semana.
Y</v>
      </c>
      <c r="Q261" s="1" t="str">
        <f ca="1"/>
        <v>Si</v>
      </c>
      <c r="R261" s="1" t="str">
        <f ca="1"/>
        <v>Por el momento voy al gymnasio</v>
      </c>
      <c r="S261" s="1" t="str">
        <f ca="1"/>
        <v>No</v>
      </c>
      <c r="T261" s="1">
        <v>0</v>
      </c>
      <c r="U261" s="1" t="str">
        <f ca="1"/>
        <v>Ademàs de haber estudiado para Consejera y dar Consejerìa por 16 años. Estudie una ingenierìa, una maestrìa y la licenciatura en psicologìa, me falta titularme.</v>
      </c>
      <c r="V261" s="1" t="str">
        <f ca="1"/>
        <v>Consejera, Terapia Psicologica.</v>
      </c>
      <c r="W261" s="17" t="str">
        <f ca="1"/>
        <v>A. Soy un discipulador activo, C. Suelo buscar que el trabajo se realice en equipo, E. Me gusta el trabajo con niños, H. Soy organizado (a), J. Me gusta la atención a las personas, K. Soy creativo (a), M. Soy bueno (a) con los números, N. Suelo llevar el liderazgo en un grupo, O. Puedo enseñar con facilidad</v>
      </c>
      <c r="X261" s="17" t="str">
        <f ca="1"/>
        <v>No</v>
      </c>
      <c r="Y261" s="1">
        <v>0</v>
      </c>
      <c r="AG261" s="55" t="s">
        <v>51</v>
      </c>
      <c r="AH261" s="55"/>
      <c r="AI261" s="55"/>
    </row>
    <row r="262" spans="1:35" ht="12.75" x14ac:dyDescent="0.35">
      <c r="A262" s="9">
        <v>261</v>
      </c>
      <c r="B262" s="1" t="str">
        <f ca="1"/>
        <v>Pamela, Solís Fuentes</v>
      </c>
      <c r="C262" s="56">
        <f ca="1"/>
        <v>18</v>
      </c>
      <c r="D262" s="1" t="str">
        <f ca="1"/>
        <v>Mujer</v>
      </c>
      <c r="E262" s="1" t="str">
        <f ca="1"/>
        <v>Mexico City, Mexico</v>
      </c>
      <c r="F262" s="1" t="str">
        <f ca="1"/>
        <v>pamedusolis@icloud.com</v>
      </c>
      <c r="G262" s="1">
        <f ca="1"/>
        <v>525584460085</v>
      </c>
      <c r="H262" s="1" t="str">
        <f ca="1"/>
        <v>Semana de entrenamiento (07 - 13) Julio, Comunidad Jóvenes + 18 (14-19) Julio, Semana de niños y niñas (21-25) Julio, Jóvenes de 13 – 17 años / SEM1/ (28 Julio a 02 de agosto), Jóvenes de 13 – 17 años / SEM2/ (4 - 09 agosto)</v>
      </c>
      <c r="I262" s="1" t="str">
        <f ca="1"/>
        <v>Pam</v>
      </c>
      <c r="J262" s="1" t="str">
        <f ca="1"/>
        <v>San José del altillo</v>
      </c>
      <c r="K262" s="1" t="str">
        <f ca="1"/>
        <v>No tengo</v>
      </c>
      <c r="L262" s="1">
        <f ca="1"/>
        <v>525584460085</v>
      </c>
      <c r="M262" s="1" t="str">
        <f ca="1"/>
        <v>pamedusolis@icloud.com</v>
      </c>
      <c r="N262" s="1" t="str">
        <f ca="1"/>
        <v>Coro</v>
      </c>
      <c r="O262" s="1" t="str">
        <f ca="1"/>
        <v>Hace unos años yo lidiaba mucho con problemas de alimentación y de cuerpo, recuerdo el dolor y desesperación que sentía todo el tiempo, mi familia lo empezó a notar, me querían internar. Dentro de mi me decía esta no soy yo, yo no quero estar así, recuerdo en medio de mi ducha arrodillarme y decirle a Dios, ayúdame si existes ayúdame dos entra en mi, límpiame, quiero acercarme a ti, quiero conocerte, padre porfavor. Desde ahí mi vida cambió por completo h lo único que quiero ahora es servirle y compartir el evangelio.</v>
      </c>
      <c r="P262" s="1" t="str">
        <f ca="1"/>
        <v>Quiero mencionar que yo no asisto a una iglesia cristiana, mi familia es católica y por esa razón no tengo un pastor que me recomiende como tal. 
Tenía la cosquilla de ir a un campamento como estos y al ver el suyo me llamó mucho la atención porque se me hizo una oportunidad para aprender de Dios y acercarme más a él y al mismo tiempo servirle a él y pienso que en realidad ser católica no es un impedimento ya que lo importante es Dios, transmitir su mensaje y servirle.</v>
      </c>
      <c r="Q262" s="1" t="str">
        <f ca="1"/>
        <v>Si</v>
      </c>
      <c r="R262" s="1" t="str">
        <f ca="1"/>
        <v>Voleyball</v>
      </c>
      <c r="S262" s="1" t="str">
        <f ca="1"/>
        <v>No</v>
      </c>
      <c r="T262" s="1">
        <v>0</v>
      </c>
      <c r="U262" s="1" t="str">
        <f ca="1"/>
        <v>Gastronomía y ciencias de los alimentos</v>
      </c>
      <c r="V262" s="1" t="str">
        <f ca="1"/>
        <v>Estudiante</v>
      </c>
      <c r="W262" s="17" t="str">
        <f ca="1"/>
        <v>B. Me gusta animar a las personas, D. Me gustan los deportes, E. Me gusta el trabajo con niños, G. Soy más eficiente en el trabajo individual, H. Soy organizado (a), I. Se me facilita el trabajo físico, J. Me gusta la atención a las personas, K. Soy creativo (a), L. Soy bueno (a) en canto o algún instrumento, N. Suelo llevar el liderazgo en un grupo, O. Puedo enseñar con facilidad</v>
      </c>
      <c r="X262" s="17" t="str">
        <f ca="1"/>
        <v>No</v>
      </c>
      <c r="Y262" s="1">
        <v>0</v>
      </c>
      <c r="AG262" s="55" t="s">
        <v>51</v>
      </c>
      <c r="AH262" s="55"/>
      <c r="AI262" s="55"/>
    </row>
    <row r="263" spans="1:35" ht="12.75" x14ac:dyDescent="0.35">
      <c r="A263" s="9">
        <v>262</v>
      </c>
      <c r="B263" s="1" t="str">
        <f ca="1"/>
        <v>Luismy, De La Cruz</v>
      </c>
      <c r="C263" s="56">
        <f ca="1"/>
        <v>21</v>
      </c>
      <c r="D263" s="1" t="str">
        <f ca="1"/>
        <v>Hombre</v>
      </c>
      <c r="E263" s="1" t="str">
        <f ca="1"/>
        <v>Distrito Nacional, Dominican Republic</v>
      </c>
      <c r="F263" s="1" t="str">
        <f ca="1"/>
        <v>luismydelacruz@gmail.com</v>
      </c>
      <c r="G263" s="1">
        <f ca="1"/>
        <v>18094152904</v>
      </c>
      <c r="H263" s="1" t="str">
        <f ca="1"/>
        <v>Jóvenes de 13 – 17 años / SEM3/ (11 - 16 agosto)</v>
      </c>
      <c r="I263" s="1" t="str">
        <f ca="1"/>
        <v>Hora Silenciosa</v>
      </c>
      <c r="J263" s="1" t="str">
        <f ca="1"/>
        <v>Templo Bíblico Monte de los Olivos</v>
      </c>
      <c r="K263" s="1" t="str">
        <f ca="1"/>
        <v>Lucas Romero</v>
      </c>
      <c r="L263" s="1" t="str">
        <f ca="1"/>
        <v>#ERROR!</v>
      </c>
      <c r="M263" s="1" t="str">
        <f ca="1"/>
        <v>lucasromero@gmail.com</v>
      </c>
      <c r="N263" s="1" t="str">
        <f ca="1"/>
        <v>Multimedia, líder de jóvenes</v>
      </c>
      <c r="O263" s="1" t="str">
        <f ca="1"/>
        <v>Recibí al Señor a la edad de 16 años tenía ya mucho tiempo asistiendo a la iglesia local y no daba el paso , pero un 29 de noviembre día de mi cumpleaños di el paso, desde el 2023 he estado participando activamente en Palabra de Vida Dominicana, fui estudiante del CCM durante los dos años y sirvo activamente en el ministerio</v>
      </c>
      <c r="P263" s="1" t="str">
        <f ca="1"/>
        <v>Me gustaría poder conocer el ministerio desde una perspectiva distinta, servir con mi corazón en México el cual es un país que desde niño amo , he estado de cerca con algunos amigos y me gustaría poder ir por primera vez</v>
      </c>
      <c r="Q263" s="1" t="str">
        <f ca="1"/>
        <v>No</v>
      </c>
      <c r="R263" s="1">
        <v>0</v>
      </c>
      <c r="S263" s="1" t="str">
        <f ca="1"/>
        <v>No</v>
      </c>
      <c r="T263" s="1">
        <v>0</v>
      </c>
      <c r="U263" s="1" t="str">
        <f ca="1"/>
        <v>Marketing Digital</v>
      </c>
      <c r="V263" s="1" t="str">
        <f ca="1"/>
        <v>Soy Social Media Manager , fotógrafo , Community manager</v>
      </c>
      <c r="W263" s="17" t="str">
        <f ca="1"/>
        <v>A. Soy un discipulador activo, B. Me gusta animar a las personas, H. Soy organizado (a), I. Se me facilita el trabajo físico, K. Soy creativo (a), N. Suelo llevar el liderazgo en un grupo, O. Puedo enseñar con facilidad</v>
      </c>
      <c r="X263" s="17" t="str">
        <f ca="1"/>
        <v>He asistido aquí en República Dominicana</v>
      </c>
      <c r="Y263" s="1">
        <v>0</v>
      </c>
      <c r="AG263" s="55" t="s">
        <v>51</v>
      </c>
      <c r="AH263" s="55"/>
      <c r="AI263" s="55"/>
    </row>
    <row r="264" spans="1:35" ht="12.75" x14ac:dyDescent="0.35">
      <c r="A264" s="71"/>
      <c r="B264" s="1" t="str">
        <f ca="1"/>
        <v>Andrea Carolina, Conejo García</v>
      </c>
      <c r="C264" s="56">
        <f ca="1"/>
        <v>16</v>
      </c>
      <c r="D264" s="1" t="str">
        <f ca="1"/>
        <v>Mujer</v>
      </c>
      <c r="E264" s="1" t="str">
        <f ca="1"/>
        <v>Guanajuato, Mexico</v>
      </c>
      <c r="F264" s="1" t="str">
        <f ca="1"/>
        <v>andreaccg100216@gmail.com</v>
      </c>
      <c r="G264" s="1">
        <f ca="1"/>
        <v>524645666046</v>
      </c>
      <c r="H264" s="1" t="str">
        <f ca="1"/>
        <v>Semana de niños y niñas (21-25) Julio</v>
      </c>
      <c r="I264" s="1" t="str">
        <f ca="1"/>
        <v>BUSCA</v>
      </c>
      <c r="J264" s="1" t="str">
        <f ca="1"/>
        <v>Ministerio erci</v>
      </c>
      <c r="K264" s="1" t="str">
        <f ca="1"/>
        <v>Francisco Ramón Conejo Cornejo</v>
      </c>
      <c r="L264" s="1">
        <f ca="1"/>
        <v>524646509107</v>
      </c>
      <c r="M264" s="1" t="str">
        <f ca="1"/>
        <v>pconejo84@gmail.com</v>
      </c>
      <c r="N264" s="1" t="str">
        <f ca="1"/>
        <v>Imagen y comunicación</v>
      </c>
      <c r="O264" s="1" t="str">
        <f ca="1"/>
        <v>Fui a un campamento de palabra de vida Bernal, donde después de estar en contacto con la palabra de Dios toda mi vida, pude conocer a Dios de una manera diferente, y tomé decisiones de  mi vida cristiana importantes como bautisarme y consagrar mi vida a Dios.</v>
      </c>
      <c r="P264" s="1" t="str">
        <f ca="1"/>
        <v>Quiero formar parte de los campamentos ayudando a gente a descubrir el amor de Dios así como me ayudaron a encontrarlo mi , al igual de poder conocer a más gente que me apoye en mi camino cristiano.</v>
      </c>
      <c r="Q264" s="1" t="str">
        <f ca="1"/>
        <v>Si</v>
      </c>
      <c r="R264" s="1" t="str">
        <f ca="1"/>
        <v>Tae kwondo /volleyball</v>
      </c>
      <c r="S264" s="1" t="str">
        <f ca="1"/>
        <v>No</v>
      </c>
      <c r="T264" s="1">
        <v>0</v>
      </c>
      <c r="U264" s="1" t="str">
        <f ca="1"/>
        <v>Estoy en 2do semestre de preparatoria</v>
      </c>
      <c r="V264" s="1" t="str">
        <f ca="1"/>
        <v>Di clases para niños pequeños durante  1 año de taekwondo</v>
      </c>
      <c r="W264" s="17" t="str">
        <f ca="1"/>
        <v>A. Soy un discipulador activo, B. Me gusta animar a las personas, C. Suelo buscar que el trabajo se realice en equipo, D. Me gustan los deportes, G. Soy más eficiente en el trabajo individual, J. Me gusta la atención a las personas, K. Soy creativo (a), N. Suelo llevar el liderazgo en un grupo</v>
      </c>
      <c r="X264" s="17" t="str">
        <f ca="1"/>
        <v>Si, 2022, 2023,2024,2025</v>
      </c>
      <c r="Y264" s="1">
        <v>0</v>
      </c>
      <c r="AG264" s="55" t="s">
        <v>51</v>
      </c>
      <c r="AH264" s="55"/>
      <c r="AI264" s="55"/>
    </row>
    <row r="265" spans="1:35" ht="12.75" x14ac:dyDescent="0.35">
      <c r="A265" s="71"/>
      <c r="B265" s="1" t="str">
        <f ca="1"/>
        <v>HANNAH SOAR, GONZÁLEZ RAMIREZ</v>
      </c>
      <c r="C265" s="56">
        <f ca="1"/>
        <v>16</v>
      </c>
      <c r="D265" s="1" t="str">
        <f ca="1"/>
        <v>Mujer</v>
      </c>
      <c r="E265" s="1" t="str">
        <f ca="1"/>
        <v>Mexico, Mexico</v>
      </c>
      <c r="F265" s="1" t="str">
        <f ca="1"/>
        <v>les.mont.16@gmail.com</v>
      </c>
      <c r="G265" s="1">
        <f ca="1"/>
        <v>525520141706</v>
      </c>
      <c r="H265" s="1" t="str">
        <f ca="1"/>
        <v>Semana de niños y niñas (21-25) Julio</v>
      </c>
      <c r="I265" s="1" t="str">
        <f ca="1"/>
        <v>Biblia</v>
      </c>
      <c r="J265" s="1" t="str">
        <f ca="1"/>
        <v>Camino de la Promesa</v>
      </c>
      <c r="K265" s="1" t="str">
        <f ca="1"/>
        <v>Gilberto González Castillo</v>
      </c>
      <c r="L265" s="1">
        <f ca="1"/>
        <v>525523551732</v>
      </c>
      <c r="M265" s="1" t="str">
        <f ca="1"/>
        <v>g-g-castillo@hotmail.com</v>
      </c>
      <c r="N265" s="1" t="str">
        <f ca="1"/>
        <v>Ninguno</v>
      </c>
      <c r="O265" s="1" t="str">
        <f ca="1"/>
        <v>Estaba pasando un mal momento con mi mamá por cosas de la escuela, perdiendo su confianza y yo decidí que no quería seguir así con mi vida y fue cuando busque a Dios y aceptarlo en mi corazón</v>
      </c>
      <c r="P265" s="1" t="str">
        <f ca="1"/>
        <v>Porque me gustaría hacer algo para la gracia de Dios</v>
      </c>
      <c r="Q265" s="1" t="str">
        <f ca="1"/>
        <v>Si</v>
      </c>
      <c r="R265" s="1" t="str">
        <f ca="1"/>
        <v>Baile</v>
      </c>
      <c r="S265" s="1" t="str">
        <f ca="1"/>
        <v>No</v>
      </c>
      <c r="T265" s="1">
        <v>0</v>
      </c>
      <c r="U265" s="1" t="str">
        <f ca="1"/>
        <v>Preparatoria</v>
      </c>
      <c r="V265" s="1" t="str">
        <f ca="1"/>
        <v>Deportes y danza</v>
      </c>
      <c r="W265" s="17" t="str">
        <f ca="1"/>
        <v>D. Me gustan los deportes, G. Soy más eficiente en el trabajo individual, H. Soy organizado (a), I. Se me facilita el trabajo físico</v>
      </c>
      <c r="X265" s="17" t="str">
        <f ca="1"/>
        <v>Si, en el campamento de 2025 y 2022</v>
      </c>
      <c r="Y265" s="1">
        <v>0</v>
      </c>
      <c r="AG265" s="55" t="s">
        <v>51</v>
      </c>
      <c r="AH265" s="55"/>
      <c r="AI265" s="55"/>
    </row>
    <row r="266" spans="1:35" ht="12.75" x14ac:dyDescent="0.35">
      <c r="A266" s="71"/>
      <c r="B266" s="1" t="str">
        <f ca="1"/>
        <v>José Antonio, Marañon Hernandez</v>
      </c>
      <c r="C266" s="56">
        <f ca="1"/>
        <v>34</v>
      </c>
      <c r="D266" s="1" t="str">
        <f ca="1"/>
        <v>Hombre</v>
      </c>
      <c r="E266" s="1" t="str">
        <f ca="1"/>
        <v>Veracruz, Mexico</v>
      </c>
      <c r="F266" s="1" t="str">
        <f ca="1"/>
        <v>pepemaranon4@gmail.com</v>
      </c>
      <c r="G266" s="1">
        <f ca="1"/>
        <v>522721254830</v>
      </c>
      <c r="H266" s="1" t="str">
        <f ca="1"/>
        <v>Semana de entrenamiento (07 - 13) Julio, Comunidad Jóvenes + 18 (14-19) Julio, Semana de niños y niñas (21-25) Julio, Jóvenes de 13 – 17 años / SEM1/ (28 Julio a 02 de agosto)</v>
      </c>
      <c r="I266" s="1" t="str">
        <f ca="1"/>
        <v>Holly biblie</v>
      </c>
      <c r="J266" s="1" t="str">
        <f ca="1"/>
        <v>Iglesia Bautista Redención</v>
      </c>
      <c r="K266" s="1" t="str">
        <f ca="1"/>
        <v>Aldo Israel Ramírez Sotelo</v>
      </c>
      <c r="L266" s="1">
        <f ca="1"/>
        <v>522294358989</v>
      </c>
      <c r="M266" s="1" t="str">
        <f ca="1"/>
        <v>pepe0718@hotmail.com</v>
      </c>
      <c r="N266" s="1" t="str">
        <f ca="1"/>
        <v>Jóvenes</v>
      </c>
      <c r="O266" s="1" t="str">
        <f ca="1"/>
        <v>Desde que era niño a los 11 años acepté al señor Jesús como mi señor y salvador</v>
      </c>
      <c r="P266" s="1" t="str">
        <f ca="1"/>
        <v>Porque me gustaría dar mi testimonio a través del ejemplo y sobre todo de lo que Dios ha echo en mi vida</v>
      </c>
      <c r="Q266" s="1" t="str">
        <f ca="1"/>
        <v>Si</v>
      </c>
      <c r="R266" s="1" t="str">
        <f ca="1"/>
        <v>Futbol</v>
      </c>
      <c r="S266" s="1" t="str">
        <f ca="1"/>
        <v>No</v>
      </c>
      <c r="T266" s="1">
        <v>0</v>
      </c>
      <c r="U266" s="1" t="str">
        <f ca="1"/>
        <v>Actualmente estoy en una maestría</v>
      </c>
      <c r="V266" s="1" t="str">
        <f ca="1"/>
        <v>Lic en administración de empresas</v>
      </c>
      <c r="W266" s="17" t="str">
        <f ca="1"/>
        <v>B. Me gusta animar a las personas, C. Suelo buscar que el trabajo se realice en equipo, D. Me gustan los deportes, J. Me gusta la atención a las personas, N. Suelo llevar el liderazgo en un grupo</v>
      </c>
      <c r="X266" s="17" t="str">
        <f ca="1"/>
        <v>2009,2010,2012</v>
      </c>
      <c r="Y266" s="1">
        <v>0</v>
      </c>
      <c r="AG266" s="55" t="s">
        <v>51</v>
      </c>
      <c r="AH266" s="55"/>
      <c r="AI266" s="55"/>
    </row>
    <row r="267" spans="1:35" ht="12.75" x14ac:dyDescent="0.35">
      <c r="A267" s="71"/>
      <c r="B267" s="1">
        <v>0</v>
      </c>
      <c r="C267" s="56">
        <v>0</v>
      </c>
      <c r="D267" s="1">
        <v>0</v>
      </c>
      <c r="E267" s="1">
        <v>0</v>
      </c>
      <c r="F267" s="1">
        <v>0</v>
      </c>
      <c r="G267" s="1">
        <v>0</v>
      </c>
      <c r="H267" s="1">
        <v>0</v>
      </c>
      <c r="I267" s="1">
        <v>0</v>
      </c>
      <c r="J267" s="1">
        <v>0</v>
      </c>
      <c r="K267" s="1">
        <v>0</v>
      </c>
      <c r="L267" s="1">
        <v>0</v>
      </c>
      <c r="M267" s="1">
        <v>0</v>
      </c>
      <c r="N267" s="1">
        <v>0</v>
      </c>
      <c r="O267" s="1">
        <v>0</v>
      </c>
      <c r="P267" s="1">
        <v>0</v>
      </c>
      <c r="Q267" s="1">
        <v>0</v>
      </c>
      <c r="R267" s="1">
        <v>0</v>
      </c>
      <c r="S267" s="1">
        <v>0</v>
      </c>
      <c r="T267" s="1">
        <v>0</v>
      </c>
      <c r="U267" s="1">
        <v>0</v>
      </c>
      <c r="V267" s="1">
        <v>0</v>
      </c>
      <c r="W267" s="17">
        <v>0</v>
      </c>
      <c r="X267" s="17">
        <v>0</v>
      </c>
      <c r="Y267" s="1">
        <v>0</v>
      </c>
      <c r="AG267" s="55" t="s">
        <v>51</v>
      </c>
      <c r="AH267" s="55"/>
      <c r="AI267" s="55"/>
    </row>
    <row r="268" spans="1:35" ht="12.75" x14ac:dyDescent="0.35">
      <c r="A268" s="71"/>
      <c r="B268" s="1">
        <v>0</v>
      </c>
      <c r="C268" s="56">
        <v>0</v>
      </c>
      <c r="D268" s="1">
        <v>0</v>
      </c>
      <c r="E268" s="1">
        <v>0</v>
      </c>
      <c r="F268" s="1">
        <v>0</v>
      </c>
      <c r="G268" s="1">
        <v>0</v>
      </c>
      <c r="H268" s="1">
        <v>0</v>
      </c>
      <c r="I268" s="1">
        <v>0</v>
      </c>
      <c r="J268" s="1">
        <v>0</v>
      </c>
      <c r="K268" s="1">
        <v>0</v>
      </c>
      <c r="L268" s="1">
        <v>0</v>
      </c>
      <c r="M268" s="1">
        <v>0</v>
      </c>
      <c r="N268" s="1">
        <v>0</v>
      </c>
      <c r="O268" s="1">
        <v>0</v>
      </c>
      <c r="P268" s="1">
        <v>0</v>
      </c>
      <c r="Q268" s="1">
        <v>0</v>
      </c>
      <c r="R268" s="1">
        <v>0</v>
      </c>
      <c r="S268" s="1">
        <v>0</v>
      </c>
      <c r="T268" s="1">
        <v>0</v>
      </c>
      <c r="U268" s="1">
        <v>0</v>
      </c>
      <c r="V268" s="1">
        <v>0</v>
      </c>
      <c r="W268" s="17">
        <v>0</v>
      </c>
      <c r="X268" s="17">
        <v>0</v>
      </c>
      <c r="Y268" s="1">
        <v>0</v>
      </c>
      <c r="AG268" s="55" t="s">
        <v>51</v>
      </c>
      <c r="AH268" s="55"/>
      <c r="AI268" s="55"/>
    </row>
    <row r="269" spans="1:35" ht="12.75" x14ac:dyDescent="0.35">
      <c r="A269" s="71"/>
      <c r="B269" s="1">
        <v>0</v>
      </c>
      <c r="C269" s="56">
        <v>0</v>
      </c>
      <c r="D269" s="1">
        <v>0</v>
      </c>
      <c r="E269" s="1">
        <v>0</v>
      </c>
      <c r="F269" s="1">
        <v>0</v>
      </c>
      <c r="G269" s="1">
        <v>0</v>
      </c>
      <c r="H269" s="1">
        <v>0</v>
      </c>
      <c r="I269" s="1">
        <v>0</v>
      </c>
      <c r="J269" s="1">
        <v>0</v>
      </c>
      <c r="K269" s="1">
        <v>0</v>
      </c>
      <c r="L269" s="1">
        <v>0</v>
      </c>
      <c r="M269" s="1">
        <v>0</v>
      </c>
      <c r="N269" s="1">
        <v>0</v>
      </c>
      <c r="O269" s="1">
        <v>0</v>
      </c>
      <c r="P269" s="1">
        <v>0</v>
      </c>
      <c r="Q269" s="1">
        <v>0</v>
      </c>
      <c r="R269" s="1">
        <v>0</v>
      </c>
      <c r="S269" s="1">
        <v>0</v>
      </c>
      <c r="T269" s="1">
        <v>0</v>
      </c>
      <c r="U269" s="1">
        <v>0</v>
      </c>
      <c r="V269" s="1">
        <v>0</v>
      </c>
      <c r="W269" s="17">
        <v>0</v>
      </c>
      <c r="X269" s="17">
        <v>0</v>
      </c>
      <c r="Y269" s="1">
        <v>0</v>
      </c>
      <c r="AG269" s="55" t="s">
        <v>51</v>
      </c>
      <c r="AH269" s="55"/>
      <c r="AI269" s="55"/>
    </row>
    <row r="270" spans="1:35" ht="12.75" x14ac:dyDescent="0.35">
      <c r="A270" s="71"/>
      <c r="B270" s="1">
        <v>0</v>
      </c>
      <c r="C270" s="56">
        <v>0</v>
      </c>
      <c r="D270" s="1">
        <v>0</v>
      </c>
      <c r="E270" s="1">
        <v>0</v>
      </c>
      <c r="F270" s="1">
        <v>0</v>
      </c>
      <c r="G270" s="1">
        <v>0</v>
      </c>
      <c r="H270" s="1">
        <v>0</v>
      </c>
      <c r="I270" s="1">
        <v>0</v>
      </c>
      <c r="J270" s="1">
        <v>0</v>
      </c>
      <c r="K270" s="1">
        <v>0</v>
      </c>
      <c r="L270" s="1">
        <v>0</v>
      </c>
      <c r="M270" s="1">
        <v>0</v>
      </c>
      <c r="N270" s="1">
        <v>0</v>
      </c>
      <c r="O270" s="1">
        <v>0</v>
      </c>
      <c r="P270" s="1">
        <v>0</v>
      </c>
      <c r="Q270" s="1">
        <v>0</v>
      </c>
      <c r="R270" s="1">
        <v>0</v>
      </c>
      <c r="S270" s="1">
        <v>0</v>
      </c>
      <c r="T270" s="1">
        <v>0</v>
      </c>
      <c r="U270" s="1">
        <v>0</v>
      </c>
      <c r="V270" s="1">
        <v>0</v>
      </c>
      <c r="W270" s="17">
        <v>0</v>
      </c>
      <c r="X270" s="17">
        <v>0</v>
      </c>
      <c r="Y270" s="1">
        <v>0</v>
      </c>
      <c r="AG270" s="55" t="s">
        <v>51</v>
      </c>
      <c r="AH270" s="55"/>
      <c r="AI270" s="55"/>
    </row>
    <row r="271" spans="1:35" ht="12.75" x14ac:dyDescent="0.35">
      <c r="A271" s="71"/>
      <c r="B271" s="1">
        <v>0</v>
      </c>
      <c r="C271" s="56">
        <v>0</v>
      </c>
      <c r="D271" s="1">
        <v>0</v>
      </c>
      <c r="E271" s="1">
        <v>0</v>
      </c>
      <c r="F271" s="1">
        <v>0</v>
      </c>
      <c r="G271" s="1">
        <v>0</v>
      </c>
      <c r="H271" s="1">
        <v>0</v>
      </c>
      <c r="I271" s="1">
        <v>0</v>
      </c>
      <c r="J271" s="1">
        <v>0</v>
      </c>
      <c r="K271" s="1">
        <v>0</v>
      </c>
      <c r="L271" s="1">
        <v>0</v>
      </c>
      <c r="M271" s="1">
        <v>0</v>
      </c>
      <c r="N271" s="1">
        <v>0</v>
      </c>
      <c r="O271" s="1">
        <v>0</v>
      </c>
      <c r="P271" s="1">
        <v>0</v>
      </c>
      <c r="Q271" s="1">
        <v>0</v>
      </c>
      <c r="R271" s="1">
        <v>0</v>
      </c>
      <c r="S271" s="1">
        <v>0</v>
      </c>
      <c r="T271" s="1">
        <v>0</v>
      </c>
      <c r="U271" s="1">
        <v>0</v>
      </c>
      <c r="V271" s="1">
        <v>0</v>
      </c>
      <c r="W271" s="17">
        <v>0</v>
      </c>
      <c r="X271" s="17">
        <v>0</v>
      </c>
      <c r="Y271" s="1">
        <v>0</v>
      </c>
      <c r="AG271" s="55" t="s">
        <v>51</v>
      </c>
      <c r="AH271" s="55"/>
      <c r="AI271" s="55"/>
    </row>
    <row r="272" spans="1:35" ht="12.75" x14ac:dyDescent="0.35">
      <c r="A272" s="71"/>
      <c r="B272" s="1">
        <v>0</v>
      </c>
      <c r="C272" s="56">
        <v>0</v>
      </c>
      <c r="D272" s="1">
        <v>0</v>
      </c>
      <c r="E272" s="1">
        <v>0</v>
      </c>
      <c r="F272" s="1">
        <v>0</v>
      </c>
      <c r="G272" s="1">
        <v>0</v>
      </c>
      <c r="H272" s="1">
        <v>0</v>
      </c>
      <c r="I272" s="1">
        <v>0</v>
      </c>
      <c r="J272" s="1">
        <v>0</v>
      </c>
      <c r="K272" s="1">
        <v>0</v>
      </c>
      <c r="L272" s="1">
        <v>0</v>
      </c>
      <c r="M272" s="1">
        <v>0</v>
      </c>
      <c r="N272" s="1">
        <v>0</v>
      </c>
      <c r="O272" s="1">
        <v>0</v>
      </c>
      <c r="P272" s="1">
        <v>0</v>
      </c>
      <c r="Q272" s="1">
        <v>0</v>
      </c>
      <c r="R272" s="1">
        <v>0</v>
      </c>
      <c r="S272" s="1">
        <v>0</v>
      </c>
      <c r="T272" s="1">
        <v>0</v>
      </c>
      <c r="U272" s="1">
        <v>0</v>
      </c>
      <c r="V272" s="1">
        <v>0</v>
      </c>
      <c r="W272" s="17">
        <v>0</v>
      </c>
      <c r="X272" s="17">
        <v>0</v>
      </c>
      <c r="Y272" s="1">
        <v>0</v>
      </c>
      <c r="AG272" s="55" t="s">
        <v>51</v>
      </c>
      <c r="AH272" s="55"/>
      <c r="AI272" s="55"/>
    </row>
    <row r="273" spans="1:35" ht="12.75" x14ac:dyDescent="0.35">
      <c r="A273" s="71"/>
      <c r="B273" s="1">
        <v>0</v>
      </c>
      <c r="C273" s="56">
        <v>0</v>
      </c>
      <c r="D273" s="1">
        <v>0</v>
      </c>
      <c r="E273" s="1">
        <v>0</v>
      </c>
      <c r="F273" s="1">
        <v>0</v>
      </c>
      <c r="G273" s="1">
        <v>0</v>
      </c>
      <c r="H273" s="1">
        <v>0</v>
      </c>
      <c r="I273" s="1">
        <v>0</v>
      </c>
      <c r="J273" s="1">
        <v>0</v>
      </c>
      <c r="K273" s="1">
        <v>0</v>
      </c>
      <c r="L273" s="1">
        <v>0</v>
      </c>
      <c r="M273" s="1">
        <v>0</v>
      </c>
      <c r="N273" s="1">
        <v>0</v>
      </c>
      <c r="O273" s="1">
        <v>0</v>
      </c>
      <c r="P273" s="1">
        <v>0</v>
      </c>
      <c r="Q273" s="1">
        <v>0</v>
      </c>
      <c r="R273" s="1">
        <v>0</v>
      </c>
      <c r="S273" s="1">
        <v>0</v>
      </c>
      <c r="T273" s="1">
        <v>0</v>
      </c>
      <c r="U273" s="1">
        <v>0</v>
      </c>
      <c r="V273" s="1">
        <v>0</v>
      </c>
      <c r="W273" s="17">
        <v>0</v>
      </c>
      <c r="X273" s="17">
        <v>0</v>
      </c>
      <c r="Y273" s="1">
        <v>0</v>
      </c>
      <c r="AG273" s="55" t="s">
        <v>51</v>
      </c>
      <c r="AH273" s="55"/>
      <c r="AI273" s="55"/>
    </row>
    <row r="274" spans="1:35" ht="12.75" x14ac:dyDescent="0.35">
      <c r="A274" s="71"/>
      <c r="B274" s="1">
        <v>0</v>
      </c>
      <c r="C274" s="56">
        <v>0</v>
      </c>
      <c r="D274" s="1">
        <v>0</v>
      </c>
      <c r="E274" s="1">
        <v>0</v>
      </c>
      <c r="F274" s="1">
        <v>0</v>
      </c>
      <c r="G274" s="1">
        <v>0</v>
      </c>
      <c r="H274" s="1">
        <v>0</v>
      </c>
      <c r="I274" s="1">
        <v>0</v>
      </c>
      <c r="J274" s="1">
        <v>0</v>
      </c>
      <c r="K274" s="1">
        <v>0</v>
      </c>
      <c r="L274" s="1">
        <v>0</v>
      </c>
      <c r="M274" s="1">
        <v>0</v>
      </c>
      <c r="N274" s="1">
        <v>0</v>
      </c>
      <c r="O274" s="1">
        <v>0</v>
      </c>
      <c r="P274" s="1">
        <v>0</v>
      </c>
      <c r="Q274" s="1">
        <v>0</v>
      </c>
      <c r="R274" s="1">
        <v>0</v>
      </c>
      <c r="S274" s="1">
        <v>0</v>
      </c>
      <c r="T274" s="1">
        <v>0</v>
      </c>
      <c r="U274" s="1">
        <v>0</v>
      </c>
      <c r="V274" s="1">
        <v>0</v>
      </c>
      <c r="W274" s="17">
        <v>0</v>
      </c>
      <c r="X274" s="17">
        <v>0</v>
      </c>
      <c r="Y274" s="1">
        <v>0</v>
      </c>
      <c r="AG274" s="55" t="s">
        <v>51</v>
      </c>
      <c r="AH274" s="55"/>
      <c r="AI274" s="55"/>
    </row>
    <row r="275" spans="1:35" ht="12.75" x14ac:dyDescent="0.35">
      <c r="A275" s="71"/>
      <c r="B275" s="1">
        <v>0</v>
      </c>
      <c r="C275" s="56">
        <v>0</v>
      </c>
      <c r="D275" s="1">
        <v>0</v>
      </c>
      <c r="E275" s="1">
        <v>0</v>
      </c>
      <c r="F275" s="1">
        <v>0</v>
      </c>
      <c r="G275" s="1">
        <v>0</v>
      </c>
      <c r="H275" s="1">
        <v>0</v>
      </c>
      <c r="I275" s="1">
        <v>0</v>
      </c>
      <c r="J275" s="1">
        <v>0</v>
      </c>
      <c r="K275" s="1">
        <v>0</v>
      </c>
      <c r="L275" s="1">
        <v>0</v>
      </c>
      <c r="M275" s="1">
        <v>0</v>
      </c>
      <c r="N275" s="1">
        <v>0</v>
      </c>
      <c r="O275" s="1">
        <v>0</v>
      </c>
      <c r="P275" s="1">
        <v>0</v>
      </c>
      <c r="Q275" s="1">
        <v>0</v>
      </c>
      <c r="R275" s="1">
        <v>0</v>
      </c>
      <c r="S275" s="1">
        <v>0</v>
      </c>
      <c r="T275" s="1">
        <v>0</v>
      </c>
      <c r="U275" s="1">
        <v>0</v>
      </c>
      <c r="V275" s="1">
        <v>0</v>
      </c>
      <c r="W275" s="17">
        <v>0</v>
      </c>
      <c r="X275" s="17">
        <v>0</v>
      </c>
      <c r="Y275" s="1">
        <v>0</v>
      </c>
      <c r="AG275" s="55" t="s">
        <v>51</v>
      </c>
      <c r="AH275" s="55"/>
      <c r="AI275" s="55"/>
    </row>
    <row r="276" spans="1:35" ht="12.75" x14ac:dyDescent="0.35">
      <c r="A276" s="71"/>
      <c r="B276" s="1">
        <v>0</v>
      </c>
      <c r="C276" s="56">
        <v>0</v>
      </c>
      <c r="D276" s="1">
        <v>0</v>
      </c>
      <c r="E276" s="1">
        <v>0</v>
      </c>
      <c r="F276" s="1">
        <v>0</v>
      </c>
      <c r="G276" s="1">
        <v>0</v>
      </c>
      <c r="H276" s="1">
        <v>0</v>
      </c>
      <c r="I276" s="1">
        <v>0</v>
      </c>
      <c r="J276" s="1">
        <v>0</v>
      </c>
      <c r="K276" s="1">
        <v>0</v>
      </c>
      <c r="L276" s="1">
        <v>0</v>
      </c>
      <c r="M276" s="1">
        <v>0</v>
      </c>
      <c r="N276" s="1">
        <v>0</v>
      </c>
      <c r="O276" s="1">
        <v>0</v>
      </c>
      <c r="P276" s="1">
        <v>0</v>
      </c>
      <c r="Q276" s="1">
        <v>0</v>
      </c>
      <c r="R276" s="1">
        <v>0</v>
      </c>
      <c r="S276" s="1">
        <v>0</v>
      </c>
      <c r="T276" s="1">
        <v>0</v>
      </c>
      <c r="U276" s="1">
        <v>0</v>
      </c>
      <c r="V276" s="1">
        <v>0</v>
      </c>
      <c r="W276" s="17">
        <v>0</v>
      </c>
      <c r="X276" s="17">
        <v>0</v>
      </c>
      <c r="Y276" s="1">
        <v>0</v>
      </c>
      <c r="AG276" s="55" t="s">
        <v>51</v>
      </c>
      <c r="AH276" s="55"/>
      <c r="AI276" s="55"/>
    </row>
    <row r="277" spans="1:35" ht="12.75" x14ac:dyDescent="0.35">
      <c r="A277" s="71"/>
      <c r="B277" s="1">
        <v>0</v>
      </c>
      <c r="C277" s="56">
        <v>0</v>
      </c>
      <c r="D277" s="1">
        <v>0</v>
      </c>
      <c r="E277" s="1">
        <v>0</v>
      </c>
      <c r="F277" s="1">
        <v>0</v>
      </c>
      <c r="G277" s="1">
        <v>0</v>
      </c>
      <c r="H277" s="1">
        <v>0</v>
      </c>
      <c r="I277" s="1">
        <v>0</v>
      </c>
      <c r="J277" s="1">
        <v>0</v>
      </c>
      <c r="K277" s="1">
        <v>0</v>
      </c>
      <c r="L277" s="1">
        <v>0</v>
      </c>
      <c r="M277" s="1">
        <v>0</v>
      </c>
      <c r="N277" s="1">
        <v>0</v>
      </c>
      <c r="O277" s="1">
        <v>0</v>
      </c>
      <c r="P277" s="1">
        <v>0</v>
      </c>
      <c r="Q277" s="1">
        <v>0</v>
      </c>
      <c r="R277" s="1">
        <v>0</v>
      </c>
      <c r="S277" s="1">
        <v>0</v>
      </c>
      <c r="T277" s="1">
        <v>0</v>
      </c>
      <c r="U277" s="1">
        <v>0</v>
      </c>
      <c r="V277" s="1">
        <v>0</v>
      </c>
      <c r="W277" s="17">
        <v>0</v>
      </c>
      <c r="X277" s="17">
        <v>0</v>
      </c>
      <c r="Y277" s="1">
        <v>0</v>
      </c>
      <c r="AG277" s="55" t="s">
        <v>51</v>
      </c>
      <c r="AH277" s="55"/>
      <c r="AI277" s="55"/>
    </row>
    <row r="278" spans="1:35" ht="12.75" x14ac:dyDescent="0.35">
      <c r="A278" s="71"/>
      <c r="B278" s="1">
        <v>0</v>
      </c>
      <c r="C278" s="56">
        <v>0</v>
      </c>
      <c r="D278" s="1">
        <v>0</v>
      </c>
      <c r="E278" s="1">
        <v>0</v>
      </c>
      <c r="F278" s="1">
        <v>0</v>
      </c>
      <c r="G278" s="1">
        <v>0</v>
      </c>
      <c r="H278" s="1">
        <v>0</v>
      </c>
      <c r="I278" s="1">
        <v>0</v>
      </c>
      <c r="J278" s="1">
        <v>0</v>
      </c>
      <c r="K278" s="1">
        <v>0</v>
      </c>
      <c r="L278" s="1">
        <v>0</v>
      </c>
      <c r="M278" s="1">
        <v>0</v>
      </c>
      <c r="N278" s="1">
        <v>0</v>
      </c>
      <c r="O278" s="1">
        <v>0</v>
      </c>
      <c r="P278" s="1">
        <v>0</v>
      </c>
      <c r="Q278" s="1">
        <v>0</v>
      </c>
      <c r="R278" s="1">
        <v>0</v>
      </c>
      <c r="S278" s="1">
        <v>0</v>
      </c>
      <c r="T278" s="1">
        <v>0</v>
      </c>
      <c r="U278" s="1">
        <v>0</v>
      </c>
      <c r="V278" s="1">
        <v>0</v>
      </c>
      <c r="W278" s="17">
        <v>0</v>
      </c>
      <c r="X278" s="17">
        <v>0</v>
      </c>
      <c r="Y278" s="1">
        <v>0</v>
      </c>
      <c r="AG278" s="55" t="s">
        <v>51</v>
      </c>
      <c r="AH278" s="55"/>
      <c r="AI278" s="55"/>
    </row>
    <row r="279" spans="1:35" ht="12.75" x14ac:dyDescent="0.35">
      <c r="A279" s="71"/>
      <c r="B279" s="1">
        <v>0</v>
      </c>
      <c r="C279" s="56">
        <v>0</v>
      </c>
      <c r="D279" s="1">
        <v>0</v>
      </c>
      <c r="E279" s="1">
        <v>0</v>
      </c>
      <c r="F279" s="1">
        <v>0</v>
      </c>
      <c r="G279" s="1">
        <v>0</v>
      </c>
      <c r="H279" s="1">
        <v>0</v>
      </c>
      <c r="I279" s="1">
        <v>0</v>
      </c>
      <c r="J279" s="1">
        <v>0</v>
      </c>
      <c r="K279" s="1">
        <v>0</v>
      </c>
      <c r="L279" s="1">
        <v>0</v>
      </c>
      <c r="M279" s="1">
        <v>0</v>
      </c>
      <c r="N279" s="1">
        <v>0</v>
      </c>
      <c r="O279" s="1">
        <v>0</v>
      </c>
      <c r="P279" s="1">
        <v>0</v>
      </c>
      <c r="Q279" s="1">
        <v>0</v>
      </c>
      <c r="R279" s="1">
        <v>0</v>
      </c>
      <c r="S279" s="1">
        <v>0</v>
      </c>
      <c r="T279" s="1">
        <v>0</v>
      </c>
      <c r="U279" s="1">
        <v>0</v>
      </c>
      <c r="V279" s="1">
        <v>0</v>
      </c>
      <c r="W279" s="17">
        <v>0</v>
      </c>
      <c r="X279" s="17">
        <v>0</v>
      </c>
      <c r="Y279" s="1">
        <v>0</v>
      </c>
      <c r="AG279" s="55" t="s">
        <v>51</v>
      </c>
      <c r="AH279" s="55"/>
      <c r="AI279" s="55"/>
    </row>
    <row r="280" spans="1:35" ht="12.75" x14ac:dyDescent="0.35">
      <c r="A280" s="71"/>
      <c r="B280" s="1">
        <v>0</v>
      </c>
      <c r="C280" s="56">
        <v>0</v>
      </c>
      <c r="D280" s="1">
        <v>0</v>
      </c>
      <c r="E280" s="1">
        <v>0</v>
      </c>
      <c r="F280" s="1">
        <v>0</v>
      </c>
      <c r="G280" s="1">
        <v>0</v>
      </c>
      <c r="H280" s="1">
        <v>0</v>
      </c>
      <c r="I280" s="1">
        <v>0</v>
      </c>
      <c r="J280" s="1">
        <v>0</v>
      </c>
      <c r="K280" s="1">
        <v>0</v>
      </c>
      <c r="L280" s="1">
        <v>0</v>
      </c>
      <c r="M280" s="1">
        <v>0</v>
      </c>
      <c r="N280" s="1">
        <v>0</v>
      </c>
      <c r="O280" s="1">
        <v>0</v>
      </c>
      <c r="P280" s="1">
        <v>0</v>
      </c>
      <c r="Q280" s="1">
        <v>0</v>
      </c>
      <c r="R280" s="1">
        <v>0</v>
      </c>
      <c r="S280" s="1">
        <v>0</v>
      </c>
      <c r="T280" s="1">
        <v>0</v>
      </c>
      <c r="U280" s="1">
        <v>0</v>
      </c>
      <c r="V280" s="1">
        <v>0</v>
      </c>
      <c r="W280" s="17">
        <v>0</v>
      </c>
      <c r="X280" s="17">
        <v>0</v>
      </c>
      <c r="Y280" s="1">
        <v>0</v>
      </c>
      <c r="AG280" s="55" t="s">
        <v>51</v>
      </c>
      <c r="AH280" s="55"/>
      <c r="AI280" s="55"/>
    </row>
    <row r="281" spans="1:35" ht="12.75" x14ac:dyDescent="0.35">
      <c r="A281" s="71"/>
      <c r="B281" s="1">
        <v>0</v>
      </c>
      <c r="C281" s="56">
        <v>0</v>
      </c>
      <c r="D281" s="1">
        <v>0</v>
      </c>
      <c r="E281" s="1">
        <v>0</v>
      </c>
      <c r="F281" s="1">
        <v>0</v>
      </c>
      <c r="G281" s="1">
        <v>0</v>
      </c>
      <c r="H281" s="1">
        <v>0</v>
      </c>
      <c r="I281" s="1">
        <v>0</v>
      </c>
      <c r="J281" s="1">
        <v>0</v>
      </c>
      <c r="K281" s="1">
        <v>0</v>
      </c>
      <c r="L281" s="1">
        <v>0</v>
      </c>
      <c r="M281" s="1">
        <v>0</v>
      </c>
      <c r="N281" s="1">
        <v>0</v>
      </c>
      <c r="O281" s="1">
        <v>0</v>
      </c>
      <c r="P281" s="1">
        <v>0</v>
      </c>
      <c r="Q281" s="1">
        <v>0</v>
      </c>
      <c r="R281" s="1">
        <v>0</v>
      </c>
      <c r="S281" s="1">
        <v>0</v>
      </c>
      <c r="T281" s="1">
        <v>0</v>
      </c>
      <c r="U281" s="1">
        <v>0</v>
      </c>
      <c r="V281" s="1">
        <v>0</v>
      </c>
      <c r="W281" s="17">
        <v>0</v>
      </c>
      <c r="X281" s="17">
        <v>0</v>
      </c>
      <c r="Y281" s="1">
        <v>0</v>
      </c>
      <c r="AG281" s="55" t="s">
        <v>51</v>
      </c>
      <c r="AH281" s="55"/>
      <c r="AI281" s="55"/>
    </row>
    <row r="282" spans="1:35" ht="12.75" x14ac:dyDescent="0.35">
      <c r="A282" s="71"/>
      <c r="B282" s="1">
        <v>0</v>
      </c>
      <c r="C282" s="56">
        <v>0</v>
      </c>
      <c r="D282" s="1">
        <v>0</v>
      </c>
      <c r="E282" s="1">
        <v>0</v>
      </c>
      <c r="F282" s="1">
        <v>0</v>
      </c>
      <c r="G282" s="1">
        <v>0</v>
      </c>
      <c r="H282" s="1">
        <v>0</v>
      </c>
      <c r="I282" s="1">
        <v>0</v>
      </c>
      <c r="J282" s="1">
        <v>0</v>
      </c>
      <c r="K282" s="1">
        <v>0</v>
      </c>
      <c r="L282" s="1">
        <v>0</v>
      </c>
      <c r="M282" s="1">
        <v>0</v>
      </c>
      <c r="N282" s="1">
        <v>0</v>
      </c>
      <c r="O282" s="1">
        <v>0</v>
      </c>
      <c r="P282" s="1">
        <v>0</v>
      </c>
      <c r="Q282" s="1">
        <v>0</v>
      </c>
      <c r="R282" s="1">
        <v>0</v>
      </c>
      <c r="S282" s="1">
        <v>0</v>
      </c>
      <c r="T282" s="1">
        <v>0</v>
      </c>
      <c r="U282" s="1">
        <v>0</v>
      </c>
      <c r="V282" s="1">
        <v>0</v>
      </c>
      <c r="W282" s="17">
        <v>0</v>
      </c>
      <c r="X282" s="17">
        <v>0</v>
      </c>
      <c r="Y282" s="1">
        <v>0</v>
      </c>
      <c r="AG282" s="55" t="s">
        <v>51</v>
      </c>
      <c r="AH282" s="55"/>
      <c r="AI282" s="55"/>
    </row>
    <row r="283" spans="1:35" ht="12.75" x14ac:dyDescent="0.35">
      <c r="A283" s="71"/>
      <c r="B283" s="1">
        <v>0</v>
      </c>
      <c r="C283" s="56">
        <v>0</v>
      </c>
      <c r="D283" s="1">
        <v>0</v>
      </c>
      <c r="E283" s="1">
        <v>0</v>
      </c>
      <c r="F283" s="1">
        <v>0</v>
      </c>
      <c r="G283" s="1">
        <v>0</v>
      </c>
      <c r="H283" s="1">
        <v>0</v>
      </c>
      <c r="I283" s="1">
        <v>0</v>
      </c>
      <c r="J283" s="1">
        <v>0</v>
      </c>
      <c r="K283" s="1">
        <v>0</v>
      </c>
      <c r="L283" s="1">
        <v>0</v>
      </c>
      <c r="M283" s="1">
        <v>0</v>
      </c>
      <c r="N283" s="1">
        <v>0</v>
      </c>
      <c r="O283" s="1">
        <v>0</v>
      </c>
      <c r="P283" s="1">
        <v>0</v>
      </c>
      <c r="Q283" s="1">
        <v>0</v>
      </c>
      <c r="R283" s="1">
        <v>0</v>
      </c>
      <c r="S283" s="1">
        <v>0</v>
      </c>
      <c r="T283" s="1">
        <v>0</v>
      </c>
      <c r="U283" s="1">
        <v>0</v>
      </c>
      <c r="V283" s="1">
        <v>0</v>
      </c>
      <c r="W283" s="17">
        <v>0</v>
      </c>
      <c r="X283" s="17">
        <v>0</v>
      </c>
      <c r="Y283" s="1">
        <v>0</v>
      </c>
      <c r="AG283" s="55" t="s">
        <v>51</v>
      </c>
      <c r="AH283" s="55"/>
      <c r="AI283" s="55"/>
    </row>
    <row r="284" spans="1:35" ht="12.75" x14ac:dyDescent="0.35">
      <c r="A284" s="71"/>
      <c r="B284" s="1">
        <v>0</v>
      </c>
      <c r="C284" s="56">
        <v>0</v>
      </c>
      <c r="D284" s="1">
        <v>0</v>
      </c>
      <c r="E284" s="1">
        <v>0</v>
      </c>
      <c r="F284" s="1">
        <v>0</v>
      </c>
      <c r="G284" s="1">
        <v>0</v>
      </c>
      <c r="H284" s="1">
        <v>0</v>
      </c>
      <c r="I284" s="1">
        <v>0</v>
      </c>
      <c r="J284" s="1">
        <v>0</v>
      </c>
      <c r="K284" s="1">
        <v>0</v>
      </c>
      <c r="L284" s="1">
        <v>0</v>
      </c>
      <c r="M284" s="1">
        <v>0</v>
      </c>
      <c r="N284" s="1">
        <v>0</v>
      </c>
      <c r="O284" s="1">
        <v>0</v>
      </c>
      <c r="P284" s="1">
        <v>0</v>
      </c>
      <c r="Q284" s="1">
        <v>0</v>
      </c>
      <c r="R284" s="1">
        <v>0</v>
      </c>
      <c r="S284" s="1">
        <v>0</v>
      </c>
      <c r="T284" s="1">
        <v>0</v>
      </c>
      <c r="U284" s="1">
        <v>0</v>
      </c>
      <c r="V284" s="1">
        <v>0</v>
      </c>
      <c r="W284" s="17">
        <v>0</v>
      </c>
      <c r="X284" s="17">
        <v>0</v>
      </c>
      <c r="Y284" s="1">
        <v>0</v>
      </c>
      <c r="AG284" s="55" t="s">
        <v>51</v>
      </c>
      <c r="AH284" s="55"/>
      <c r="AI284" s="55"/>
    </row>
    <row r="285" spans="1:35" ht="12.75" x14ac:dyDescent="0.35">
      <c r="A285" s="71"/>
      <c r="B285" s="1">
        <v>0</v>
      </c>
      <c r="C285" s="56">
        <v>0</v>
      </c>
      <c r="D285" s="1">
        <v>0</v>
      </c>
      <c r="E285" s="1">
        <v>0</v>
      </c>
      <c r="F285" s="1">
        <v>0</v>
      </c>
      <c r="G285" s="1">
        <v>0</v>
      </c>
      <c r="H285" s="1">
        <v>0</v>
      </c>
      <c r="I285" s="1">
        <v>0</v>
      </c>
      <c r="J285" s="1">
        <v>0</v>
      </c>
      <c r="K285" s="1">
        <v>0</v>
      </c>
      <c r="L285" s="1">
        <v>0</v>
      </c>
      <c r="M285" s="1">
        <v>0</v>
      </c>
      <c r="N285" s="1">
        <v>0</v>
      </c>
      <c r="O285" s="1">
        <v>0</v>
      </c>
      <c r="P285" s="1">
        <v>0</v>
      </c>
      <c r="Q285" s="1">
        <v>0</v>
      </c>
      <c r="R285" s="1">
        <v>0</v>
      </c>
      <c r="S285" s="1">
        <v>0</v>
      </c>
      <c r="T285" s="1">
        <v>0</v>
      </c>
      <c r="U285" s="1">
        <v>0</v>
      </c>
      <c r="V285" s="1">
        <v>0</v>
      </c>
      <c r="W285" s="17">
        <v>0</v>
      </c>
      <c r="X285" s="17">
        <v>0</v>
      </c>
      <c r="Y285" s="1">
        <v>0</v>
      </c>
      <c r="AG285" s="55" t="s">
        <v>51</v>
      </c>
      <c r="AH285" s="55"/>
      <c r="AI285" s="55"/>
    </row>
    <row r="286" spans="1:35" ht="12.75" x14ac:dyDescent="0.35">
      <c r="A286" s="71"/>
      <c r="B286" s="1">
        <v>0</v>
      </c>
      <c r="C286" s="56">
        <v>0</v>
      </c>
      <c r="D286" s="1">
        <v>0</v>
      </c>
      <c r="E286" s="1">
        <v>0</v>
      </c>
      <c r="F286" s="1">
        <v>0</v>
      </c>
      <c r="G286" s="1">
        <v>0</v>
      </c>
      <c r="H286" s="1">
        <v>0</v>
      </c>
      <c r="I286" s="1">
        <v>0</v>
      </c>
      <c r="J286" s="1">
        <v>0</v>
      </c>
      <c r="K286" s="1">
        <v>0</v>
      </c>
      <c r="L286" s="1">
        <v>0</v>
      </c>
      <c r="M286" s="1">
        <v>0</v>
      </c>
      <c r="N286" s="1">
        <v>0</v>
      </c>
      <c r="O286" s="1">
        <v>0</v>
      </c>
      <c r="P286" s="1">
        <v>0</v>
      </c>
      <c r="Q286" s="1">
        <v>0</v>
      </c>
      <c r="R286" s="1">
        <v>0</v>
      </c>
      <c r="S286" s="1">
        <v>0</v>
      </c>
      <c r="T286" s="1">
        <v>0</v>
      </c>
      <c r="U286" s="1">
        <v>0</v>
      </c>
      <c r="V286" s="1">
        <v>0</v>
      </c>
      <c r="W286" s="17">
        <v>0</v>
      </c>
      <c r="X286" s="17">
        <v>0</v>
      </c>
      <c r="Y286" s="1">
        <v>0</v>
      </c>
      <c r="AG286" s="55" t="s">
        <v>51</v>
      </c>
      <c r="AH286" s="55"/>
      <c r="AI286" s="55"/>
    </row>
    <row r="287" spans="1:35" ht="12.75" x14ac:dyDescent="0.35">
      <c r="A287" s="71"/>
      <c r="B287" s="1">
        <v>0</v>
      </c>
      <c r="C287" s="56">
        <v>0</v>
      </c>
      <c r="D287" s="1">
        <v>0</v>
      </c>
      <c r="E287" s="1">
        <v>0</v>
      </c>
      <c r="F287" s="1">
        <v>0</v>
      </c>
      <c r="G287" s="1">
        <v>0</v>
      </c>
      <c r="H287" s="1">
        <v>0</v>
      </c>
      <c r="I287" s="1">
        <v>0</v>
      </c>
      <c r="J287" s="1">
        <v>0</v>
      </c>
      <c r="K287" s="1">
        <v>0</v>
      </c>
      <c r="L287" s="1">
        <v>0</v>
      </c>
      <c r="M287" s="1">
        <v>0</v>
      </c>
      <c r="N287" s="1">
        <v>0</v>
      </c>
      <c r="O287" s="1">
        <v>0</v>
      </c>
      <c r="P287" s="1">
        <v>0</v>
      </c>
      <c r="Q287" s="1">
        <v>0</v>
      </c>
      <c r="R287" s="1">
        <v>0</v>
      </c>
      <c r="S287" s="1">
        <v>0</v>
      </c>
      <c r="T287" s="1">
        <v>0</v>
      </c>
      <c r="U287" s="1">
        <v>0</v>
      </c>
      <c r="V287" s="1">
        <v>0</v>
      </c>
      <c r="W287" s="17">
        <v>0</v>
      </c>
      <c r="X287" s="17">
        <v>0</v>
      </c>
      <c r="Y287" s="1">
        <v>0</v>
      </c>
      <c r="AG287" s="55" t="s">
        <v>51</v>
      </c>
      <c r="AH287" s="55"/>
      <c r="AI287" s="55"/>
    </row>
    <row r="288" spans="1:35" ht="12.75" x14ac:dyDescent="0.35">
      <c r="A288" s="71"/>
      <c r="B288" s="1">
        <v>0</v>
      </c>
      <c r="C288" s="56">
        <v>0</v>
      </c>
      <c r="D288" s="1">
        <v>0</v>
      </c>
      <c r="E288" s="1">
        <v>0</v>
      </c>
      <c r="F288" s="1">
        <v>0</v>
      </c>
      <c r="G288" s="1">
        <v>0</v>
      </c>
      <c r="H288" s="1">
        <v>0</v>
      </c>
      <c r="I288" s="1">
        <v>0</v>
      </c>
      <c r="J288" s="1">
        <v>0</v>
      </c>
      <c r="K288" s="1">
        <v>0</v>
      </c>
      <c r="L288" s="1">
        <v>0</v>
      </c>
      <c r="M288" s="1">
        <v>0</v>
      </c>
      <c r="N288" s="1">
        <v>0</v>
      </c>
      <c r="O288" s="1">
        <v>0</v>
      </c>
      <c r="P288" s="1">
        <v>0</v>
      </c>
      <c r="Q288" s="1">
        <v>0</v>
      </c>
      <c r="R288" s="1">
        <v>0</v>
      </c>
      <c r="S288" s="1">
        <v>0</v>
      </c>
      <c r="T288" s="1">
        <v>0</v>
      </c>
      <c r="U288" s="1">
        <v>0</v>
      </c>
      <c r="V288" s="1">
        <v>0</v>
      </c>
      <c r="W288" s="17">
        <v>0</v>
      </c>
      <c r="X288" s="17">
        <v>0</v>
      </c>
      <c r="Y288" s="1">
        <v>0</v>
      </c>
      <c r="AG288" s="55" t="s">
        <v>51</v>
      </c>
      <c r="AH288" s="55"/>
      <c r="AI288" s="55"/>
    </row>
    <row r="289" spans="1:35" ht="12.75" x14ac:dyDescent="0.35">
      <c r="A289" s="71"/>
      <c r="B289" s="1">
        <v>0</v>
      </c>
      <c r="C289" s="56">
        <v>0</v>
      </c>
      <c r="D289" s="1">
        <v>0</v>
      </c>
      <c r="E289" s="1">
        <v>0</v>
      </c>
      <c r="F289" s="1">
        <v>0</v>
      </c>
      <c r="G289" s="1">
        <v>0</v>
      </c>
      <c r="H289" s="1">
        <v>0</v>
      </c>
      <c r="I289" s="1">
        <v>0</v>
      </c>
      <c r="J289" s="1">
        <v>0</v>
      </c>
      <c r="K289" s="1">
        <v>0</v>
      </c>
      <c r="L289" s="1">
        <v>0</v>
      </c>
      <c r="M289" s="1">
        <v>0</v>
      </c>
      <c r="N289" s="1">
        <v>0</v>
      </c>
      <c r="O289" s="1">
        <v>0</v>
      </c>
      <c r="P289" s="1">
        <v>0</v>
      </c>
      <c r="Q289" s="1">
        <v>0</v>
      </c>
      <c r="R289" s="1">
        <v>0</v>
      </c>
      <c r="S289" s="1">
        <v>0</v>
      </c>
      <c r="T289" s="1">
        <v>0</v>
      </c>
      <c r="U289" s="1">
        <v>0</v>
      </c>
      <c r="V289" s="1">
        <v>0</v>
      </c>
      <c r="W289" s="17">
        <v>0</v>
      </c>
      <c r="X289" s="17">
        <v>0</v>
      </c>
      <c r="Y289" s="1">
        <v>0</v>
      </c>
      <c r="AG289" s="55" t="s">
        <v>51</v>
      </c>
      <c r="AH289" s="55"/>
      <c r="AI289" s="55"/>
    </row>
    <row r="290" spans="1:35" ht="12.75" x14ac:dyDescent="0.35">
      <c r="A290" s="71"/>
      <c r="B290" s="1">
        <v>0</v>
      </c>
      <c r="C290" s="56">
        <v>0</v>
      </c>
      <c r="D290" s="1">
        <v>0</v>
      </c>
      <c r="E290" s="1">
        <v>0</v>
      </c>
      <c r="F290" s="1">
        <v>0</v>
      </c>
      <c r="G290" s="1">
        <v>0</v>
      </c>
      <c r="H290" s="1">
        <v>0</v>
      </c>
      <c r="I290" s="1">
        <v>0</v>
      </c>
      <c r="J290" s="1">
        <v>0</v>
      </c>
      <c r="K290" s="1">
        <v>0</v>
      </c>
      <c r="L290" s="1">
        <v>0</v>
      </c>
      <c r="M290" s="1">
        <v>0</v>
      </c>
      <c r="N290" s="1">
        <v>0</v>
      </c>
      <c r="O290" s="1">
        <v>0</v>
      </c>
      <c r="P290" s="1">
        <v>0</v>
      </c>
      <c r="Q290" s="1">
        <v>0</v>
      </c>
      <c r="R290" s="1">
        <v>0</v>
      </c>
      <c r="S290" s="1">
        <v>0</v>
      </c>
      <c r="T290" s="1">
        <v>0</v>
      </c>
      <c r="U290" s="1">
        <v>0</v>
      </c>
      <c r="V290" s="1">
        <v>0</v>
      </c>
      <c r="W290" s="17">
        <v>0</v>
      </c>
      <c r="X290" s="17">
        <v>0</v>
      </c>
      <c r="Y290" s="1">
        <v>0</v>
      </c>
      <c r="AG290" s="55" t="s">
        <v>51</v>
      </c>
      <c r="AH290" s="55"/>
      <c r="AI290" s="55"/>
    </row>
    <row r="291" spans="1:35" ht="12.75" x14ac:dyDescent="0.35">
      <c r="A291" s="71"/>
      <c r="B291" s="1">
        <v>0</v>
      </c>
      <c r="C291" s="56">
        <v>0</v>
      </c>
      <c r="D291" s="1">
        <v>0</v>
      </c>
      <c r="E291" s="1">
        <v>0</v>
      </c>
      <c r="F291" s="1">
        <v>0</v>
      </c>
      <c r="G291" s="1">
        <v>0</v>
      </c>
      <c r="H291" s="1">
        <v>0</v>
      </c>
      <c r="I291" s="1">
        <v>0</v>
      </c>
      <c r="J291" s="1">
        <v>0</v>
      </c>
      <c r="K291" s="1">
        <v>0</v>
      </c>
      <c r="L291" s="1">
        <v>0</v>
      </c>
      <c r="M291" s="1">
        <v>0</v>
      </c>
      <c r="N291" s="1">
        <v>0</v>
      </c>
      <c r="O291" s="1">
        <v>0</v>
      </c>
      <c r="P291" s="1">
        <v>0</v>
      </c>
      <c r="Q291" s="1">
        <v>0</v>
      </c>
      <c r="R291" s="1">
        <v>0</v>
      </c>
      <c r="S291" s="1">
        <v>0</v>
      </c>
      <c r="T291" s="1">
        <v>0</v>
      </c>
      <c r="U291" s="1">
        <v>0</v>
      </c>
      <c r="V291" s="1">
        <v>0</v>
      </c>
      <c r="W291" s="17">
        <v>0</v>
      </c>
      <c r="X291" s="17">
        <v>0</v>
      </c>
      <c r="Y291" s="1">
        <v>0</v>
      </c>
      <c r="AG291" s="55" t="s">
        <v>51</v>
      </c>
      <c r="AH291" s="55"/>
      <c r="AI291" s="55"/>
    </row>
    <row r="292" spans="1:35" ht="12.75" x14ac:dyDescent="0.35">
      <c r="A292" s="71"/>
      <c r="B292" s="1">
        <v>0</v>
      </c>
      <c r="C292" s="56">
        <v>0</v>
      </c>
      <c r="D292" s="1">
        <v>0</v>
      </c>
      <c r="E292" s="1">
        <v>0</v>
      </c>
      <c r="F292" s="1">
        <v>0</v>
      </c>
      <c r="G292" s="1">
        <v>0</v>
      </c>
      <c r="H292" s="1">
        <v>0</v>
      </c>
      <c r="I292" s="1">
        <v>0</v>
      </c>
      <c r="J292" s="1">
        <v>0</v>
      </c>
      <c r="K292" s="1">
        <v>0</v>
      </c>
      <c r="L292" s="1">
        <v>0</v>
      </c>
      <c r="M292" s="1">
        <v>0</v>
      </c>
      <c r="N292" s="1">
        <v>0</v>
      </c>
      <c r="O292" s="1">
        <v>0</v>
      </c>
      <c r="P292" s="1">
        <v>0</v>
      </c>
      <c r="Q292" s="1">
        <v>0</v>
      </c>
      <c r="R292" s="1">
        <v>0</v>
      </c>
      <c r="S292" s="1">
        <v>0</v>
      </c>
      <c r="T292" s="1">
        <v>0</v>
      </c>
      <c r="U292" s="1">
        <v>0</v>
      </c>
      <c r="V292" s="1">
        <v>0</v>
      </c>
      <c r="W292" s="17">
        <v>0</v>
      </c>
      <c r="X292" s="17">
        <v>0</v>
      </c>
      <c r="Y292" s="1">
        <v>0</v>
      </c>
    </row>
    <row r="293" spans="1:35" ht="12.75" x14ac:dyDescent="0.35">
      <c r="A293" s="71"/>
      <c r="B293" s="1">
        <v>0</v>
      </c>
      <c r="C293" s="56">
        <v>0</v>
      </c>
      <c r="D293" s="1">
        <v>0</v>
      </c>
      <c r="E293" s="1">
        <v>0</v>
      </c>
      <c r="F293" s="1">
        <v>0</v>
      </c>
      <c r="G293" s="1">
        <v>0</v>
      </c>
      <c r="H293" s="1">
        <v>0</v>
      </c>
      <c r="I293" s="1">
        <v>0</v>
      </c>
      <c r="J293" s="1">
        <v>0</v>
      </c>
      <c r="K293" s="1">
        <v>0</v>
      </c>
      <c r="L293" s="1">
        <v>0</v>
      </c>
      <c r="M293" s="1">
        <v>0</v>
      </c>
      <c r="N293" s="1">
        <v>0</v>
      </c>
      <c r="O293" s="1">
        <v>0</v>
      </c>
      <c r="P293" s="1">
        <v>0</v>
      </c>
      <c r="Q293" s="1">
        <v>0</v>
      </c>
      <c r="R293" s="1">
        <v>0</v>
      </c>
      <c r="S293" s="1">
        <v>0</v>
      </c>
      <c r="T293" s="1">
        <v>0</v>
      </c>
      <c r="U293" s="1">
        <v>0</v>
      </c>
      <c r="V293" s="1">
        <v>0</v>
      </c>
      <c r="W293" s="17">
        <v>0</v>
      </c>
      <c r="X293" s="17">
        <v>0</v>
      </c>
      <c r="Y293" s="1">
        <v>0</v>
      </c>
    </row>
    <row r="294" spans="1:35" ht="12.75" x14ac:dyDescent="0.35">
      <c r="A294" s="71"/>
      <c r="B294" s="1">
        <v>0</v>
      </c>
      <c r="C294" s="56">
        <v>0</v>
      </c>
      <c r="D294" s="1">
        <v>0</v>
      </c>
      <c r="E294" s="1">
        <v>0</v>
      </c>
      <c r="F294" s="1">
        <v>0</v>
      </c>
      <c r="G294" s="1">
        <v>0</v>
      </c>
      <c r="H294" s="1">
        <v>0</v>
      </c>
      <c r="I294" s="1">
        <v>0</v>
      </c>
      <c r="J294" s="1">
        <v>0</v>
      </c>
      <c r="K294" s="1">
        <v>0</v>
      </c>
      <c r="L294" s="1">
        <v>0</v>
      </c>
      <c r="M294" s="1">
        <v>0</v>
      </c>
      <c r="N294" s="1">
        <v>0</v>
      </c>
      <c r="O294" s="1">
        <v>0</v>
      </c>
      <c r="P294" s="1">
        <v>0</v>
      </c>
      <c r="Q294" s="1">
        <v>0</v>
      </c>
      <c r="R294" s="1">
        <v>0</v>
      </c>
      <c r="S294" s="1">
        <v>0</v>
      </c>
      <c r="T294" s="1">
        <v>0</v>
      </c>
      <c r="U294" s="1">
        <v>0</v>
      </c>
      <c r="V294" s="1">
        <v>0</v>
      </c>
      <c r="W294" s="17">
        <v>0</v>
      </c>
      <c r="X294" s="17">
        <v>0</v>
      </c>
      <c r="Y294" s="1">
        <v>0</v>
      </c>
    </row>
    <row r="295" spans="1:35" ht="12.75" x14ac:dyDescent="0.35">
      <c r="A295" s="71"/>
      <c r="B295" s="1">
        <v>0</v>
      </c>
      <c r="C295" s="56">
        <v>0</v>
      </c>
      <c r="D295" s="1">
        <v>0</v>
      </c>
      <c r="E295" s="1">
        <v>0</v>
      </c>
      <c r="F295" s="1">
        <v>0</v>
      </c>
      <c r="G295" s="1">
        <v>0</v>
      </c>
      <c r="H295" s="1">
        <v>0</v>
      </c>
      <c r="I295" s="1">
        <v>0</v>
      </c>
      <c r="J295" s="1">
        <v>0</v>
      </c>
      <c r="K295" s="1">
        <v>0</v>
      </c>
      <c r="L295" s="1">
        <v>0</v>
      </c>
      <c r="M295" s="1">
        <v>0</v>
      </c>
      <c r="N295" s="1">
        <v>0</v>
      </c>
      <c r="O295" s="1">
        <v>0</v>
      </c>
      <c r="P295" s="1">
        <v>0</v>
      </c>
      <c r="Q295" s="1">
        <v>0</v>
      </c>
      <c r="R295" s="1">
        <v>0</v>
      </c>
      <c r="S295" s="1">
        <v>0</v>
      </c>
      <c r="T295" s="1">
        <v>0</v>
      </c>
      <c r="U295" s="1">
        <v>0</v>
      </c>
      <c r="V295" s="1">
        <v>0</v>
      </c>
      <c r="W295" s="17">
        <v>0</v>
      </c>
      <c r="X295" s="17">
        <v>0</v>
      </c>
      <c r="Y295" s="1">
        <v>0</v>
      </c>
    </row>
    <row r="296" spans="1:35" ht="12.75" x14ac:dyDescent="0.35">
      <c r="A296" s="71"/>
      <c r="B296" s="1">
        <v>0</v>
      </c>
      <c r="C296" s="56">
        <v>0</v>
      </c>
      <c r="D296" s="1">
        <v>0</v>
      </c>
      <c r="E296" s="1">
        <v>0</v>
      </c>
      <c r="F296" s="1">
        <v>0</v>
      </c>
      <c r="G296" s="1">
        <v>0</v>
      </c>
      <c r="H296" s="1">
        <v>0</v>
      </c>
      <c r="I296" s="1">
        <v>0</v>
      </c>
      <c r="J296" s="1">
        <v>0</v>
      </c>
      <c r="K296" s="1">
        <v>0</v>
      </c>
      <c r="L296" s="1">
        <v>0</v>
      </c>
      <c r="M296" s="1">
        <v>0</v>
      </c>
      <c r="N296" s="1">
        <v>0</v>
      </c>
      <c r="O296" s="1">
        <v>0</v>
      </c>
      <c r="P296" s="1">
        <v>0</v>
      </c>
      <c r="Q296" s="1">
        <v>0</v>
      </c>
      <c r="R296" s="1">
        <v>0</v>
      </c>
      <c r="S296" s="1">
        <v>0</v>
      </c>
      <c r="T296" s="1">
        <v>0</v>
      </c>
      <c r="U296" s="1">
        <v>0</v>
      </c>
      <c r="V296" s="1">
        <v>0</v>
      </c>
      <c r="W296" s="17">
        <v>0</v>
      </c>
      <c r="X296" s="17">
        <v>0</v>
      </c>
      <c r="Y296" s="1">
        <v>0</v>
      </c>
    </row>
    <row r="297" spans="1:35" ht="12.75" x14ac:dyDescent="0.35">
      <c r="A297" s="71"/>
      <c r="B297" s="1">
        <v>0</v>
      </c>
      <c r="C297" s="56">
        <v>0</v>
      </c>
      <c r="D297" s="1">
        <v>0</v>
      </c>
      <c r="E297" s="1">
        <v>0</v>
      </c>
      <c r="F297" s="1">
        <v>0</v>
      </c>
      <c r="G297" s="1">
        <v>0</v>
      </c>
      <c r="H297" s="1">
        <v>0</v>
      </c>
      <c r="I297" s="1">
        <v>0</v>
      </c>
      <c r="J297" s="1">
        <v>0</v>
      </c>
      <c r="K297" s="1">
        <v>0</v>
      </c>
      <c r="L297" s="1">
        <v>0</v>
      </c>
      <c r="M297" s="1">
        <v>0</v>
      </c>
      <c r="N297" s="1">
        <v>0</v>
      </c>
      <c r="O297" s="1">
        <v>0</v>
      </c>
      <c r="P297" s="1">
        <v>0</v>
      </c>
      <c r="Q297" s="1">
        <v>0</v>
      </c>
      <c r="R297" s="1">
        <v>0</v>
      </c>
      <c r="S297" s="1">
        <v>0</v>
      </c>
      <c r="T297" s="1">
        <v>0</v>
      </c>
      <c r="U297" s="1">
        <v>0</v>
      </c>
      <c r="V297" s="1">
        <v>0</v>
      </c>
      <c r="W297" s="17">
        <v>0</v>
      </c>
      <c r="X297" s="17">
        <v>0</v>
      </c>
      <c r="Y297" s="1">
        <v>0</v>
      </c>
    </row>
    <row r="298" spans="1:35" ht="12.75" x14ac:dyDescent="0.35">
      <c r="A298" s="71"/>
      <c r="B298" s="1">
        <v>0</v>
      </c>
      <c r="C298" s="56">
        <v>0</v>
      </c>
      <c r="D298" s="1">
        <v>0</v>
      </c>
      <c r="E298" s="1">
        <v>0</v>
      </c>
      <c r="F298" s="1">
        <v>0</v>
      </c>
      <c r="G298" s="1">
        <v>0</v>
      </c>
      <c r="H298" s="1">
        <v>0</v>
      </c>
      <c r="I298" s="1">
        <v>0</v>
      </c>
      <c r="J298" s="1">
        <v>0</v>
      </c>
      <c r="K298" s="1">
        <v>0</v>
      </c>
      <c r="L298" s="1">
        <v>0</v>
      </c>
      <c r="M298" s="1">
        <v>0</v>
      </c>
      <c r="N298" s="1">
        <v>0</v>
      </c>
      <c r="O298" s="1">
        <v>0</v>
      </c>
      <c r="P298" s="1">
        <v>0</v>
      </c>
      <c r="Q298" s="1">
        <v>0</v>
      </c>
      <c r="R298" s="1">
        <v>0</v>
      </c>
      <c r="S298" s="1">
        <v>0</v>
      </c>
      <c r="T298" s="1">
        <v>0</v>
      </c>
      <c r="U298" s="1">
        <v>0</v>
      </c>
      <c r="V298" s="1">
        <v>0</v>
      </c>
      <c r="W298" s="17">
        <v>0</v>
      </c>
      <c r="X298" s="17">
        <v>0</v>
      </c>
      <c r="Y298" s="1">
        <v>0</v>
      </c>
    </row>
    <row r="299" spans="1:35" ht="12.75" x14ac:dyDescent="0.35">
      <c r="A299" s="71"/>
      <c r="C299" s="56"/>
      <c r="V299" s="1"/>
      <c r="W299" s="17"/>
      <c r="X299" s="17"/>
    </row>
    <row r="300" spans="1:35" ht="12.75" x14ac:dyDescent="0.35">
      <c r="A300" s="71"/>
      <c r="C300" s="56"/>
      <c r="V300" s="1"/>
      <c r="W300" s="17"/>
      <c r="X300" s="17"/>
    </row>
    <row r="301" spans="1:35" ht="12.75" x14ac:dyDescent="0.35">
      <c r="A301" s="71"/>
      <c r="C301" s="56"/>
      <c r="V301" s="1"/>
      <c r="W301" s="17"/>
      <c r="X301" s="17"/>
    </row>
    <row r="302" spans="1:35" ht="12.75" x14ac:dyDescent="0.35">
      <c r="A302" s="71"/>
      <c r="C302" s="56"/>
      <c r="V302" s="1"/>
      <c r="W302" s="17"/>
      <c r="X302" s="17"/>
    </row>
    <row r="303" spans="1:35" ht="12.75" x14ac:dyDescent="0.35">
      <c r="A303" s="71"/>
      <c r="C303" s="56"/>
      <c r="V303" s="1"/>
      <c r="W303" s="17"/>
      <c r="X303" s="17"/>
    </row>
    <row r="304" spans="1:35" ht="12.75" x14ac:dyDescent="0.35">
      <c r="A304" s="71"/>
      <c r="C304" s="56"/>
      <c r="V304" s="1"/>
      <c r="W304" s="17"/>
      <c r="X304" s="17"/>
    </row>
    <row r="305" spans="1:24" ht="12.75" x14ac:dyDescent="0.35">
      <c r="A305" s="71"/>
      <c r="C305" s="56"/>
      <c r="V305" s="1"/>
      <c r="W305" s="17"/>
      <c r="X305" s="17"/>
    </row>
    <row r="306" spans="1:24" ht="12.75" x14ac:dyDescent="0.35">
      <c r="A306" s="71"/>
      <c r="C306" s="56"/>
      <c r="V306" s="1"/>
      <c r="W306" s="17"/>
      <c r="X306" s="17"/>
    </row>
    <row r="307" spans="1:24" ht="12.75" x14ac:dyDescent="0.35">
      <c r="A307" s="71"/>
      <c r="C307" s="56"/>
      <c r="V307" s="1"/>
      <c r="W307" s="17"/>
      <c r="X307" s="17"/>
    </row>
    <row r="308" spans="1:24" ht="12.75" x14ac:dyDescent="0.35">
      <c r="A308" s="71"/>
      <c r="C308" s="56"/>
      <c r="V308" s="1"/>
      <c r="W308" s="17"/>
      <c r="X308" s="17"/>
    </row>
    <row r="309" spans="1:24" ht="12.75" x14ac:dyDescent="0.35">
      <c r="A309" s="71"/>
      <c r="C309" s="56"/>
      <c r="V309" s="1"/>
      <c r="W309" s="17"/>
      <c r="X309" s="17"/>
    </row>
    <row r="310" spans="1:24" ht="12.75" x14ac:dyDescent="0.35">
      <c r="A310" s="71"/>
      <c r="C310" s="56"/>
      <c r="V310" s="1"/>
      <c r="W310" s="17"/>
      <c r="X310" s="17"/>
    </row>
    <row r="311" spans="1:24" ht="12.75" x14ac:dyDescent="0.35">
      <c r="A311" s="71"/>
      <c r="C311" s="56"/>
      <c r="V311" s="1"/>
      <c r="W311" s="17"/>
      <c r="X311" s="17"/>
    </row>
    <row r="312" spans="1:24" ht="12.75" x14ac:dyDescent="0.35">
      <c r="A312" s="71"/>
      <c r="C312" s="56"/>
      <c r="V312" s="1"/>
      <c r="W312" s="17"/>
      <c r="X312" s="17"/>
    </row>
    <row r="313" spans="1:24" ht="12.75" x14ac:dyDescent="0.35">
      <c r="A313" s="71"/>
      <c r="C313" s="56"/>
      <c r="V313" s="1"/>
      <c r="W313" s="17"/>
      <c r="X313" s="17"/>
    </row>
    <row r="314" spans="1:24" ht="12.75" x14ac:dyDescent="0.35">
      <c r="A314" s="71"/>
      <c r="C314" s="56"/>
      <c r="V314" s="1"/>
      <c r="W314" s="17"/>
      <c r="X314" s="17"/>
    </row>
    <row r="315" spans="1:24" ht="12.75" x14ac:dyDescent="0.35">
      <c r="A315" s="71"/>
      <c r="C315" s="56"/>
      <c r="V315" s="1"/>
      <c r="W315" s="17"/>
      <c r="X315" s="17"/>
    </row>
    <row r="316" spans="1:24" ht="12.75" x14ac:dyDescent="0.35">
      <c r="A316" s="71"/>
      <c r="C316" s="56"/>
      <c r="V316" s="1"/>
      <c r="W316" s="17"/>
      <c r="X316" s="17"/>
    </row>
    <row r="317" spans="1:24" ht="12.75" x14ac:dyDescent="0.35">
      <c r="A317" s="71"/>
      <c r="C317" s="56"/>
      <c r="V317" s="1"/>
      <c r="W317" s="17"/>
      <c r="X317" s="17"/>
    </row>
    <row r="318" spans="1:24" ht="12.75" x14ac:dyDescent="0.35">
      <c r="A318" s="71"/>
      <c r="C318" s="56"/>
      <c r="V318" s="1"/>
      <c r="W318" s="17"/>
      <c r="X318" s="17"/>
    </row>
    <row r="319" spans="1:24" ht="12.75" x14ac:dyDescent="0.35">
      <c r="A319" s="71"/>
      <c r="C319" s="56"/>
      <c r="V319" s="1"/>
      <c r="W319" s="17"/>
      <c r="X319" s="17"/>
    </row>
    <row r="320" spans="1:24" ht="12.75" x14ac:dyDescent="0.35">
      <c r="A320" s="71"/>
      <c r="C320" s="56"/>
      <c r="V320" s="1"/>
      <c r="W320" s="17"/>
      <c r="X320" s="17"/>
    </row>
    <row r="321" spans="1:24" ht="12.75" x14ac:dyDescent="0.35">
      <c r="A321" s="71"/>
      <c r="C321" s="56"/>
      <c r="V321" s="1"/>
      <c r="W321" s="17"/>
      <c r="X321" s="17"/>
    </row>
    <row r="322" spans="1:24" ht="12.75" x14ac:dyDescent="0.35">
      <c r="A322" s="71"/>
      <c r="C322" s="56"/>
      <c r="V322" s="1"/>
      <c r="W322" s="17"/>
      <c r="X322" s="17"/>
    </row>
    <row r="323" spans="1:24" ht="12.75" x14ac:dyDescent="0.35">
      <c r="A323" s="71"/>
      <c r="C323" s="56"/>
      <c r="V323" s="1"/>
      <c r="W323" s="17"/>
      <c r="X323" s="17"/>
    </row>
    <row r="324" spans="1:24" ht="12.75" x14ac:dyDescent="0.35">
      <c r="A324" s="71"/>
      <c r="C324" s="56"/>
      <c r="V324" s="1"/>
      <c r="W324" s="17"/>
      <c r="X324" s="17"/>
    </row>
    <row r="325" spans="1:24" ht="12.75" x14ac:dyDescent="0.35">
      <c r="A325" s="71"/>
      <c r="C325" s="56"/>
      <c r="V325" s="1"/>
      <c r="W325" s="17"/>
      <c r="X325" s="17"/>
    </row>
    <row r="326" spans="1:24" ht="12.75" x14ac:dyDescent="0.35">
      <c r="A326" s="71"/>
      <c r="C326" s="56"/>
      <c r="V326" s="1"/>
      <c r="W326" s="17"/>
      <c r="X326" s="17"/>
    </row>
    <row r="327" spans="1:24" ht="12.75" x14ac:dyDescent="0.35">
      <c r="A327" s="71"/>
      <c r="C327" s="56"/>
      <c r="V327" s="1"/>
      <c r="W327" s="17"/>
      <c r="X327" s="17"/>
    </row>
    <row r="328" spans="1:24" ht="12.75" x14ac:dyDescent="0.35">
      <c r="A328" s="71"/>
      <c r="C328" s="56"/>
      <c r="V328" s="1"/>
      <c r="W328" s="17"/>
      <c r="X328" s="17"/>
    </row>
    <row r="329" spans="1:24" ht="12.75" x14ac:dyDescent="0.35">
      <c r="A329" s="71"/>
      <c r="C329" s="56"/>
      <c r="V329" s="1"/>
      <c r="W329" s="17"/>
      <c r="X329" s="17"/>
    </row>
    <row r="330" spans="1:24" ht="12.75" x14ac:dyDescent="0.35">
      <c r="A330" s="71"/>
      <c r="C330" s="56"/>
      <c r="V330" s="1"/>
      <c r="W330" s="17"/>
      <c r="X330" s="17"/>
    </row>
    <row r="331" spans="1:24" ht="12.75" x14ac:dyDescent="0.35">
      <c r="A331" s="71"/>
      <c r="C331" s="56"/>
      <c r="V331" s="1"/>
      <c r="W331" s="17"/>
      <c r="X331" s="17"/>
    </row>
    <row r="332" spans="1:24" ht="12.75" x14ac:dyDescent="0.35">
      <c r="A332" s="71"/>
      <c r="C332" s="56"/>
      <c r="V332" s="1"/>
      <c r="W332" s="17"/>
      <c r="X332" s="17"/>
    </row>
    <row r="333" spans="1:24" ht="12.75" x14ac:dyDescent="0.35">
      <c r="A333" s="71"/>
      <c r="C333" s="56"/>
      <c r="V333" s="1"/>
      <c r="W333" s="17"/>
      <c r="X333" s="17"/>
    </row>
    <row r="334" spans="1:24" ht="12.75" x14ac:dyDescent="0.35">
      <c r="A334" s="71"/>
      <c r="C334" s="56"/>
      <c r="V334" s="1"/>
      <c r="W334" s="17"/>
      <c r="X334" s="17"/>
    </row>
    <row r="335" spans="1:24" ht="12.75" x14ac:dyDescent="0.35">
      <c r="A335" s="71"/>
      <c r="C335" s="56"/>
      <c r="V335" s="1"/>
      <c r="W335" s="17"/>
      <c r="X335" s="17"/>
    </row>
    <row r="336" spans="1:24" ht="12.75" x14ac:dyDescent="0.35">
      <c r="A336" s="71"/>
      <c r="C336" s="56"/>
      <c r="V336" s="1"/>
      <c r="W336" s="17"/>
      <c r="X336" s="17"/>
    </row>
    <row r="337" spans="1:24" ht="12.75" x14ac:dyDescent="0.35">
      <c r="A337" s="71"/>
      <c r="C337" s="56"/>
      <c r="V337" s="1"/>
      <c r="W337" s="17"/>
      <c r="X337" s="17"/>
    </row>
    <row r="338" spans="1:24" ht="12.75" x14ac:dyDescent="0.35">
      <c r="A338" s="71"/>
      <c r="C338" s="56"/>
      <c r="V338" s="1"/>
      <c r="W338" s="17"/>
      <c r="X338" s="17"/>
    </row>
    <row r="339" spans="1:24" ht="12.75" x14ac:dyDescent="0.35">
      <c r="A339" s="71"/>
      <c r="C339" s="56"/>
      <c r="V339" s="1"/>
      <c r="W339" s="17"/>
      <c r="X339" s="17"/>
    </row>
    <row r="340" spans="1:24" ht="12.75" x14ac:dyDescent="0.35">
      <c r="A340" s="71"/>
      <c r="C340" s="56"/>
      <c r="V340" s="1"/>
      <c r="W340" s="17"/>
      <c r="X340" s="17"/>
    </row>
    <row r="341" spans="1:24" ht="12.75" x14ac:dyDescent="0.35">
      <c r="A341" s="71"/>
      <c r="C341" s="56"/>
      <c r="V341" s="1"/>
      <c r="W341" s="17"/>
      <c r="X341" s="17"/>
    </row>
    <row r="342" spans="1:24" ht="12.75" x14ac:dyDescent="0.35">
      <c r="A342" s="71"/>
      <c r="C342" s="56"/>
      <c r="V342" s="1"/>
      <c r="W342" s="17"/>
      <c r="X342" s="17"/>
    </row>
    <row r="343" spans="1:24" ht="12.75" x14ac:dyDescent="0.35">
      <c r="A343" s="71"/>
      <c r="C343" s="56"/>
      <c r="V343" s="1"/>
      <c r="W343" s="17"/>
      <c r="X343" s="17"/>
    </row>
    <row r="344" spans="1:24" ht="12.75" x14ac:dyDescent="0.35">
      <c r="A344" s="71"/>
      <c r="C344" s="56"/>
      <c r="V344" s="1"/>
      <c r="W344" s="17"/>
      <c r="X344" s="17"/>
    </row>
    <row r="345" spans="1:24" ht="12.75" x14ac:dyDescent="0.35">
      <c r="A345" s="71"/>
      <c r="C345" s="56"/>
      <c r="V345" s="1"/>
      <c r="W345" s="17"/>
      <c r="X345" s="17"/>
    </row>
    <row r="346" spans="1:24" ht="12.75" x14ac:dyDescent="0.35">
      <c r="A346" s="71"/>
      <c r="C346" s="56"/>
      <c r="V346" s="1"/>
      <c r="W346" s="17"/>
      <c r="X346" s="17"/>
    </row>
    <row r="347" spans="1:24" ht="12.75" x14ac:dyDescent="0.35">
      <c r="A347" s="71"/>
      <c r="C347" s="56"/>
      <c r="V347" s="1"/>
      <c r="W347" s="17"/>
      <c r="X347" s="17"/>
    </row>
    <row r="348" spans="1:24" ht="12.75" x14ac:dyDescent="0.35">
      <c r="A348" s="71"/>
      <c r="C348" s="56"/>
      <c r="V348" s="1"/>
      <c r="W348" s="17"/>
      <c r="X348" s="17"/>
    </row>
    <row r="349" spans="1:24" ht="12.75" x14ac:dyDescent="0.35">
      <c r="A349" s="71"/>
      <c r="C349" s="56"/>
      <c r="V349" s="1"/>
      <c r="W349" s="17"/>
      <c r="X349" s="17"/>
    </row>
    <row r="350" spans="1:24" ht="12.75" x14ac:dyDescent="0.35">
      <c r="A350" s="71"/>
      <c r="C350" s="56"/>
      <c r="V350" s="1"/>
      <c r="W350" s="17"/>
      <c r="X350" s="17"/>
    </row>
    <row r="351" spans="1:24" ht="12.75" x14ac:dyDescent="0.35">
      <c r="A351" s="71"/>
      <c r="C351" s="56"/>
      <c r="V351" s="1"/>
      <c r="W351" s="17"/>
      <c r="X351" s="17"/>
    </row>
    <row r="352" spans="1:24" ht="12.75" x14ac:dyDescent="0.35">
      <c r="A352" s="71"/>
      <c r="C352" s="56"/>
      <c r="V352" s="1"/>
      <c r="W352" s="17"/>
      <c r="X352" s="17"/>
    </row>
    <row r="353" spans="1:24" ht="12.75" x14ac:dyDescent="0.35">
      <c r="A353" s="71"/>
      <c r="C353" s="56"/>
      <c r="V353" s="1"/>
      <c r="W353" s="17"/>
      <c r="X353" s="17"/>
    </row>
    <row r="354" spans="1:24" ht="12.75" x14ac:dyDescent="0.35">
      <c r="A354" s="71"/>
      <c r="C354" s="56"/>
      <c r="V354" s="1"/>
      <c r="W354" s="17"/>
      <c r="X354" s="17"/>
    </row>
    <row r="355" spans="1:24" ht="12.75" x14ac:dyDescent="0.35">
      <c r="A355" s="71"/>
      <c r="C355" s="56"/>
      <c r="V355" s="1"/>
      <c r="W355" s="17"/>
      <c r="X355" s="17"/>
    </row>
    <row r="356" spans="1:24" ht="12.75" x14ac:dyDescent="0.35">
      <c r="A356" s="71"/>
      <c r="C356" s="56"/>
      <c r="V356" s="1"/>
      <c r="W356" s="17"/>
      <c r="X356" s="17"/>
    </row>
    <row r="357" spans="1:24" ht="12.75" x14ac:dyDescent="0.35">
      <c r="A357" s="71"/>
      <c r="C357" s="56"/>
      <c r="V357" s="1"/>
      <c r="W357" s="17"/>
      <c r="X357" s="17"/>
    </row>
    <row r="358" spans="1:24" ht="12.75" x14ac:dyDescent="0.35">
      <c r="A358" s="71"/>
      <c r="C358" s="56"/>
      <c r="V358" s="1"/>
      <c r="W358" s="17"/>
      <c r="X358" s="17"/>
    </row>
    <row r="359" spans="1:24" ht="12.75" x14ac:dyDescent="0.35">
      <c r="A359" s="71"/>
      <c r="C359" s="56"/>
      <c r="V359" s="1"/>
      <c r="W359" s="17"/>
      <c r="X359" s="17"/>
    </row>
    <row r="360" spans="1:24" ht="12.75" x14ac:dyDescent="0.35">
      <c r="A360" s="71"/>
      <c r="C360" s="56"/>
      <c r="V360" s="1"/>
      <c r="W360" s="17"/>
      <c r="X360" s="17"/>
    </row>
    <row r="361" spans="1:24" ht="12.75" x14ac:dyDescent="0.35">
      <c r="A361" s="71"/>
      <c r="C361" s="56"/>
      <c r="V361" s="1"/>
      <c r="W361" s="17"/>
      <c r="X361" s="17"/>
    </row>
    <row r="362" spans="1:24" ht="12.75" x14ac:dyDescent="0.35">
      <c r="A362" s="71"/>
      <c r="C362" s="56"/>
      <c r="V362" s="1"/>
      <c r="W362" s="17"/>
      <c r="X362" s="17"/>
    </row>
    <row r="363" spans="1:24" ht="12.75" x14ac:dyDescent="0.35">
      <c r="A363" s="71"/>
      <c r="C363" s="56"/>
      <c r="V363" s="1"/>
      <c r="W363" s="17"/>
      <c r="X363" s="17"/>
    </row>
    <row r="364" spans="1:24" ht="12.75" x14ac:dyDescent="0.35">
      <c r="A364" s="71"/>
      <c r="C364" s="56"/>
      <c r="V364" s="1"/>
      <c r="W364" s="17"/>
      <c r="X364" s="17"/>
    </row>
    <row r="365" spans="1:24" ht="12.75" x14ac:dyDescent="0.35">
      <c r="A365" s="71"/>
      <c r="C365" s="56"/>
      <c r="V365" s="1"/>
      <c r="W365" s="17"/>
      <c r="X365" s="17"/>
    </row>
    <row r="366" spans="1:24" ht="12.75" x14ac:dyDescent="0.35">
      <c r="A366" s="71"/>
      <c r="C366" s="56"/>
      <c r="V366" s="1"/>
      <c r="W366" s="17"/>
      <c r="X366" s="17"/>
    </row>
    <row r="367" spans="1:24" ht="12.75" x14ac:dyDescent="0.35">
      <c r="A367" s="71"/>
      <c r="C367" s="56"/>
      <c r="V367" s="1"/>
      <c r="W367" s="17"/>
      <c r="X367" s="17"/>
    </row>
    <row r="368" spans="1:24" ht="12.75" x14ac:dyDescent="0.35">
      <c r="A368" s="71"/>
      <c r="C368" s="56"/>
      <c r="V368" s="1"/>
      <c r="W368" s="17"/>
      <c r="X368" s="17"/>
    </row>
    <row r="369" spans="1:24" ht="12.75" x14ac:dyDescent="0.35">
      <c r="A369" s="71"/>
      <c r="C369" s="56"/>
      <c r="V369" s="1"/>
      <c r="W369" s="17"/>
      <c r="X369" s="17"/>
    </row>
    <row r="370" spans="1:24" ht="12.75" x14ac:dyDescent="0.35">
      <c r="A370" s="71"/>
      <c r="C370" s="56"/>
      <c r="V370" s="1"/>
      <c r="W370" s="17"/>
      <c r="X370" s="17"/>
    </row>
    <row r="371" spans="1:24" ht="12.75" x14ac:dyDescent="0.35">
      <c r="A371" s="71"/>
      <c r="C371" s="56"/>
      <c r="V371" s="1"/>
      <c r="W371" s="17"/>
      <c r="X371" s="17"/>
    </row>
    <row r="372" spans="1:24" ht="12.75" x14ac:dyDescent="0.35">
      <c r="A372" s="71"/>
      <c r="C372" s="56"/>
      <c r="V372" s="1"/>
      <c r="W372" s="17"/>
      <c r="X372" s="17"/>
    </row>
    <row r="373" spans="1:24" ht="12.75" x14ac:dyDescent="0.35">
      <c r="A373" s="71"/>
      <c r="C373" s="56"/>
      <c r="V373" s="1"/>
      <c r="W373" s="17"/>
      <c r="X373" s="17"/>
    </row>
    <row r="374" spans="1:24" ht="12.75" x14ac:dyDescent="0.35">
      <c r="A374" s="71"/>
      <c r="C374" s="56"/>
      <c r="V374" s="1"/>
      <c r="W374" s="17"/>
      <c r="X374" s="17"/>
    </row>
    <row r="375" spans="1:24" ht="12.75" x14ac:dyDescent="0.35">
      <c r="A375" s="71"/>
      <c r="C375" s="56"/>
      <c r="V375" s="1"/>
      <c r="W375" s="17"/>
      <c r="X375" s="17"/>
    </row>
    <row r="376" spans="1:24" ht="12.75" x14ac:dyDescent="0.35">
      <c r="A376" s="71"/>
      <c r="C376" s="56"/>
      <c r="V376" s="1"/>
      <c r="W376" s="17"/>
      <c r="X376" s="17"/>
    </row>
    <row r="377" spans="1:24" ht="12.75" x14ac:dyDescent="0.35">
      <c r="A377" s="71"/>
      <c r="C377" s="56"/>
      <c r="V377" s="1"/>
      <c r="W377" s="17"/>
      <c r="X377" s="17"/>
    </row>
    <row r="378" spans="1:24" ht="12.75" x14ac:dyDescent="0.35">
      <c r="A378" s="71"/>
      <c r="C378" s="56"/>
      <c r="V378" s="1"/>
      <c r="W378" s="17"/>
      <c r="X378" s="17"/>
    </row>
    <row r="379" spans="1:24" ht="12.75" x14ac:dyDescent="0.35">
      <c r="A379" s="71"/>
      <c r="C379" s="56"/>
      <c r="V379" s="1"/>
      <c r="W379" s="17"/>
      <c r="X379" s="17"/>
    </row>
    <row r="380" spans="1:24" ht="12.75" x14ac:dyDescent="0.35">
      <c r="A380" s="71"/>
      <c r="C380" s="56"/>
      <c r="V380" s="1"/>
      <c r="W380" s="17"/>
      <c r="X380" s="17"/>
    </row>
    <row r="381" spans="1:24" ht="12.75" x14ac:dyDescent="0.35">
      <c r="A381" s="71"/>
      <c r="C381" s="56"/>
      <c r="V381" s="1"/>
      <c r="W381" s="17"/>
      <c r="X381" s="17"/>
    </row>
    <row r="382" spans="1:24" ht="12.75" x14ac:dyDescent="0.35">
      <c r="A382" s="71"/>
      <c r="C382" s="56"/>
      <c r="V382" s="1"/>
      <c r="W382" s="17"/>
      <c r="X382" s="17"/>
    </row>
    <row r="383" spans="1:24" ht="12.75" x14ac:dyDescent="0.35">
      <c r="A383" s="71"/>
      <c r="C383" s="56"/>
      <c r="V383" s="1"/>
      <c r="W383" s="17"/>
      <c r="X383" s="17"/>
    </row>
    <row r="384" spans="1:24" ht="12.75" x14ac:dyDescent="0.35">
      <c r="A384" s="71"/>
      <c r="C384" s="56"/>
      <c r="V384" s="1"/>
      <c r="W384" s="17"/>
      <c r="X384" s="17"/>
    </row>
    <row r="385" spans="1:24" ht="12.75" x14ac:dyDescent="0.35">
      <c r="A385" s="71"/>
      <c r="C385" s="56"/>
      <c r="V385" s="1"/>
      <c r="W385" s="17"/>
      <c r="X385" s="17"/>
    </row>
    <row r="386" spans="1:24" ht="12.75" x14ac:dyDescent="0.35">
      <c r="A386" s="71"/>
      <c r="C386" s="56"/>
      <c r="V386" s="1"/>
      <c r="W386" s="17"/>
      <c r="X386" s="17"/>
    </row>
    <row r="387" spans="1:24" ht="12.75" x14ac:dyDescent="0.35">
      <c r="A387" s="71"/>
      <c r="C387" s="56"/>
      <c r="V387" s="1"/>
      <c r="W387" s="17"/>
      <c r="X387" s="17"/>
    </row>
    <row r="388" spans="1:24" ht="12.75" x14ac:dyDescent="0.35">
      <c r="A388" s="71"/>
      <c r="C388" s="56"/>
      <c r="V388" s="1"/>
      <c r="W388" s="17"/>
      <c r="X388" s="17"/>
    </row>
    <row r="389" spans="1:24" ht="12.75" x14ac:dyDescent="0.35">
      <c r="A389" s="71"/>
      <c r="C389" s="56"/>
      <c r="V389" s="1"/>
      <c r="W389" s="17"/>
      <c r="X389" s="17"/>
    </row>
    <row r="390" spans="1:24" ht="12.75" x14ac:dyDescent="0.35">
      <c r="A390" s="71"/>
      <c r="C390" s="56"/>
      <c r="V390" s="1"/>
      <c r="W390" s="17"/>
      <c r="X390" s="17"/>
    </row>
    <row r="391" spans="1:24" ht="12.75" x14ac:dyDescent="0.35">
      <c r="A391" s="71"/>
      <c r="C391" s="56"/>
      <c r="V391" s="1"/>
      <c r="W391" s="17"/>
      <c r="X391" s="17"/>
    </row>
    <row r="392" spans="1:24" ht="12.75" x14ac:dyDescent="0.35">
      <c r="A392" s="71"/>
      <c r="C392" s="56"/>
      <c r="V392" s="1"/>
      <c r="W392" s="17"/>
      <c r="X392" s="17"/>
    </row>
    <row r="393" spans="1:24" ht="12.75" x14ac:dyDescent="0.35">
      <c r="A393" s="71"/>
      <c r="C393" s="56"/>
      <c r="V393" s="1"/>
      <c r="W393" s="17"/>
      <c r="X393" s="17"/>
    </row>
    <row r="394" spans="1:24" ht="12.75" x14ac:dyDescent="0.35">
      <c r="A394" s="71"/>
      <c r="C394" s="56"/>
      <c r="V394" s="1"/>
      <c r="W394" s="17"/>
      <c r="X394" s="17"/>
    </row>
    <row r="395" spans="1:24" ht="12.75" x14ac:dyDescent="0.35">
      <c r="A395" s="71"/>
      <c r="C395" s="56"/>
      <c r="V395" s="1"/>
      <c r="W395" s="17"/>
      <c r="X395" s="17"/>
    </row>
    <row r="396" spans="1:24" ht="12.75" x14ac:dyDescent="0.35">
      <c r="A396" s="71"/>
      <c r="C396" s="56"/>
      <c r="V396" s="1"/>
      <c r="W396" s="17"/>
      <c r="X396" s="17"/>
    </row>
    <row r="397" spans="1:24" ht="12.75" x14ac:dyDescent="0.35">
      <c r="A397" s="71"/>
      <c r="C397" s="56"/>
      <c r="V397" s="1"/>
      <c r="W397" s="17"/>
      <c r="X397" s="17"/>
    </row>
    <row r="398" spans="1:24" ht="12.75" x14ac:dyDescent="0.35">
      <c r="A398" s="71"/>
      <c r="C398" s="56"/>
      <c r="V398" s="1"/>
      <c r="W398" s="17"/>
      <c r="X398" s="17"/>
    </row>
    <row r="399" spans="1:24" ht="12.75" x14ac:dyDescent="0.35">
      <c r="A399" s="71"/>
      <c r="C399" s="56"/>
      <c r="V399" s="1"/>
      <c r="W399" s="17"/>
      <c r="X399" s="17"/>
    </row>
    <row r="400" spans="1:24" ht="12.75" x14ac:dyDescent="0.35">
      <c r="A400" s="71"/>
      <c r="C400" s="56"/>
      <c r="V400" s="1"/>
      <c r="W400" s="17"/>
      <c r="X400" s="17"/>
    </row>
    <row r="401" spans="1:24" ht="12.75" x14ac:dyDescent="0.35">
      <c r="A401" s="71"/>
      <c r="C401" s="56"/>
      <c r="V401" s="1"/>
      <c r="W401" s="17"/>
      <c r="X401" s="17"/>
    </row>
    <row r="402" spans="1:24" ht="12.75" x14ac:dyDescent="0.35">
      <c r="A402" s="71"/>
      <c r="C402" s="56"/>
      <c r="V402" s="1"/>
      <c r="W402" s="17"/>
      <c r="X402" s="17"/>
    </row>
    <row r="403" spans="1:24" ht="12.75" x14ac:dyDescent="0.35">
      <c r="A403" s="71"/>
      <c r="C403" s="56"/>
      <c r="V403" s="1"/>
      <c r="W403" s="17"/>
      <c r="X403" s="17"/>
    </row>
    <row r="404" spans="1:24" ht="12.75" x14ac:dyDescent="0.35">
      <c r="A404" s="71"/>
      <c r="C404" s="56"/>
      <c r="V404" s="1"/>
      <c r="W404" s="17"/>
      <c r="X404" s="17"/>
    </row>
    <row r="405" spans="1:24" ht="12.75" x14ac:dyDescent="0.35">
      <c r="A405" s="71"/>
      <c r="C405" s="56"/>
      <c r="V405" s="1"/>
      <c r="W405" s="17"/>
      <c r="X405" s="17"/>
    </row>
    <row r="406" spans="1:24" ht="12.75" x14ac:dyDescent="0.35">
      <c r="A406" s="71"/>
      <c r="C406" s="56"/>
      <c r="V406" s="1"/>
      <c r="W406" s="17"/>
      <c r="X406" s="17"/>
    </row>
    <row r="407" spans="1:24" ht="12.75" x14ac:dyDescent="0.35">
      <c r="A407" s="71"/>
      <c r="C407" s="56"/>
      <c r="V407" s="1"/>
      <c r="W407" s="17"/>
      <c r="X407" s="17"/>
    </row>
    <row r="408" spans="1:24" ht="12.75" x14ac:dyDescent="0.35">
      <c r="A408" s="71"/>
      <c r="C408" s="56"/>
      <c r="V408" s="1"/>
      <c r="W408" s="17"/>
      <c r="X408" s="17"/>
    </row>
    <row r="409" spans="1:24" ht="12.75" x14ac:dyDescent="0.35">
      <c r="A409" s="71"/>
      <c r="C409" s="56"/>
      <c r="V409" s="1"/>
      <c r="W409" s="17"/>
      <c r="X409" s="17"/>
    </row>
    <row r="410" spans="1:24" ht="12.75" x14ac:dyDescent="0.35">
      <c r="A410" s="71"/>
      <c r="C410" s="56"/>
      <c r="V410" s="1"/>
      <c r="W410" s="17"/>
      <c r="X410" s="17"/>
    </row>
    <row r="411" spans="1:24" ht="12.75" x14ac:dyDescent="0.35">
      <c r="A411" s="71"/>
      <c r="C411" s="56"/>
      <c r="V411" s="1"/>
      <c r="W411" s="17"/>
      <c r="X411" s="17"/>
    </row>
    <row r="412" spans="1:24" ht="12.75" x14ac:dyDescent="0.35">
      <c r="A412" s="71"/>
      <c r="C412" s="56"/>
      <c r="V412" s="1"/>
      <c r="W412" s="17"/>
      <c r="X412" s="17"/>
    </row>
    <row r="413" spans="1:24" ht="12.75" x14ac:dyDescent="0.35">
      <c r="A413" s="71"/>
      <c r="C413" s="56"/>
      <c r="V413" s="1"/>
      <c r="W413" s="17"/>
      <c r="X413" s="17"/>
    </row>
    <row r="414" spans="1:24" ht="12.75" x14ac:dyDescent="0.35">
      <c r="A414" s="71"/>
      <c r="C414" s="56"/>
      <c r="V414" s="1"/>
      <c r="W414" s="17"/>
      <c r="X414" s="17"/>
    </row>
    <row r="415" spans="1:24" ht="12.75" x14ac:dyDescent="0.35">
      <c r="A415" s="71"/>
      <c r="C415" s="56"/>
      <c r="V415" s="1"/>
      <c r="W415" s="17"/>
      <c r="X415" s="17"/>
    </row>
    <row r="416" spans="1:24" ht="12.75" x14ac:dyDescent="0.35">
      <c r="A416" s="71"/>
      <c r="C416" s="56"/>
      <c r="V416" s="1"/>
      <c r="W416" s="17"/>
      <c r="X416" s="17"/>
    </row>
    <row r="417" spans="1:24" ht="12.75" x14ac:dyDescent="0.35">
      <c r="A417" s="71"/>
      <c r="C417" s="56"/>
      <c r="V417" s="1"/>
      <c r="W417" s="17"/>
      <c r="X417" s="17"/>
    </row>
    <row r="418" spans="1:24" ht="12.75" x14ac:dyDescent="0.35">
      <c r="A418" s="71"/>
      <c r="C418" s="56"/>
      <c r="V418" s="1"/>
      <c r="W418" s="17"/>
      <c r="X418" s="17"/>
    </row>
    <row r="419" spans="1:24" ht="12.75" x14ac:dyDescent="0.35">
      <c r="A419" s="71"/>
      <c r="C419" s="56"/>
      <c r="V419" s="1"/>
      <c r="W419" s="17"/>
      <c r="X419" s="17"/>
    </row>
    <row r="420" spans="1:24" ht="12.75" x14ac:dyDescent="0.35">
      <c r="A420" s="71"/>
      <c r="C420" s="56"/>
      <c r="V420" s="1"/>
      <c r="W420" s="17"/>
      <c r="X420" s="17"/>
    </row>
    <row r="421" spans="1:24" ht="12.75" x14ac:dyDescent="0.35">
      <c r="A421" s="71"/>
      <c r="C421" s="56"/>
      <c r="V421" s="1"/>
      <c r="W421" s="17"/>
      <c r="X421" s="17"/>
    </row>
    <row r="422" spans="1:24" ht="12.75" x14ac:dyDescent="0.35">
      <c r="A422" s="71"/>
      <c r="C422" s="56"/>
      <c r="V422" s="1"/>
      <c r="W422" s="17"/>
      <c r="X422" s="17"/>
    </row>
    <row r="423" spans="1:24" ht="12.75" x14ac:dyDescent="0.35">
      <c r="A423" s="71"/>
      <c r="C423" s="56"/>
      <c r="V423" s="1"/>
      <c r="W423" s="17"/>
      <c r="X423" s="17"/>
    </row>
    <row r="424" spans="1:24" ht="12.75" x14ac:dyDescent="0.35">
      <c r="A424" s="71"/>
      <c r="C424" s="56"/>
      <c r="V424" s="1"/>
      <c r="W424" s="17"/>
      <c r="X424" s="17"/>
    </row>
    <row r="425" spans="1:24" ht="12.75" x14ac:dyDescent="0.35">
      <c r="A425" s="71"/>
      <c r="C425" s="56"/>
      <c r="V425" s="1"/>
      <c r="W425" s="17"/>
      <c r="X425" s="17"/>
    </row>
    <row r="426" spans="1:24" ht="12.75" x14ac:dyDescent="0.35">
      <c r="A426" s="71"/>
      <c r="C426" s="56"/>
      <c r="V426" s="1"/>
      <c r="W426" s="17"/>
      <c r="X426" s="17"/>
    </row>
    <row r="427" spans="1:24" ht="12.75" x14ac:dyDescent="0.35">
      <c r="A427" s="71"/>
      <c r="C427" s="56"/>
      <c r="V427" s="1"/>
      <c r="W427" s="17"/>
      <c r="X427" s="17"/>
    </row>
    <row r="428" spans="1:24" ht="12.75" x14ac:dyDescent="0.35">
      <c r="A428" s="71"/>
      <c r="C428" s="56"/>
      <c r="V428" s="1"/>
      <c r="W428" s="17"/>
      <c r="X428" s="17"/>
    </row>
    <row r="429" spans="1:24" ht="12.75" x14ac:dyDescent="0.35">
      <c r="A429" s="71"/>
      <c r="C429" s="56"/>
      <c r="V429" s="1"/>
      <c r="W429" s="17"/>
      <c r="X429" s="17"/>
    </row>
    <row r="430" spans="1:24" ht="12.75" x14ac:dyDescent="0.35">
      <c r="A430" s="71"/>
      <c r="C430" s="56"/>
      <c r="V430" s="1"/>
      <c r="W430" s="17"/>
      <c r="X430" s="17"/>
    </row>
    <row r="431" spans="1:24" ht="12.75" x14ac:dyDescent="0.35">
      <c r="A431" s="71"/>
      <c r="C431" s="56"/>
      <c r="V431" s="1"/>
      <c r="W431" s="17"/>
      <c r="X431" s="17"/>
    </row>
    <row r="432" spans="1:24" ht="12.75" x14ac:dyDescent="0.35">
      <c r="A432" s="71"/>
      <c r="C432" s="56"/>
      <c r="V432" s="1"/>
      <c r="W432" s="17"/>
      <c r="X432" s="17"/>
    </row>
    <row r="433" spans="1:24" ht="12.75" x14ac:dyDescent="0.35">
      <c r="A433" s="71"/>
      <c r="C433" s="56"/>
      <c r="V433" s="1"/>
      <c r="W433" s="17"/>
      <c r="X433" s="17"/>
    </row>
    <row r="434" spans="1:24" ht="12.75" x14ac:dyDescent="0.35">
      <c r="A434" s="71"/>
      <c r="C434" s="56"/>
      <c r="V434" s="1"/>
      <c r="W434" s="17"/>
      <c r="X434" s="17"/>
    </row>
    <row r="435" spans="1:24" ht="12.75" x14ac:dyDescent="0.35">
      <c r="A435" s="71"/>
      <c r="C435" s="56"/>
      <c r="V435" s="1"/>
      <c r="W435" s="17"/>
      <c r="X435" s="17"/>
    </row>
    <row r="436" spans="1:24" ht="12.75" x14ac:dyDescent="0.35">
      <c r="A436" s="71"/>
      <c r="C436" s="56"/>
      <c r="V436" s="1"/>
      <c r="W436" s="17"/>
      <c r="X436" s="17"/>
    </row>
    <row r="437" spans="1:24" ht="12.75" x14ac:dyDescent="0.35">
      <c r="A437" s="71"/>
      <c r="C437" s="56"/>
      <c r="V437" s="1"/>
      <c r="W437" s="17"/>
      <c r="X437" s="17"/>
    </row>
    <row r="438" spans="1:24" ht="12.75" x14ac:dyDescent="0.35">
      <c r="A438" s="71"/>
      <c r="C438" s="56"/>
      <c r="V438" s="1"/>
      <c r="W438" s="17"/>
      <c r="X438" s="17"/>
    </row>
    <row r="439" spans="1:24" ht="12.75" x14ac:dyDescent="0.35">
      <c r="A439" s="71"/>
      <c r="C439" s="56"/>
      <c r="V439" s="1"/>
      <c r="W439" s="17"/>
      <c r="X439" s="17"/>
    </row>
    <row r="440" spans="1:24" ht="12.75" x14ac:dyDescent="0.35">
      <c r="A440" s="71"/>
      <c r="C440" s="56"/>
      <c r="V440" s="1"/>
      <c r="W440" s="17"/>
      <c r="X440" s="17"/>
    </row>
    <row r="441" spans="1:24" ht="12.75" x14ac:dyDescent="0.35">
      <c r="A441" s="71"/>
      <c r="C441" s="56"/>
      <c r="V441" s="1"/>
      <c r="W441" s="17"/>
      <c r="X441" s="17"/>
    </row>
    <row r="442" spans="1:24" ht="12.75" x14ac:dyDescent="0.35">
      <c r="A442" s="71"/>
      <c r="C442" s="56"/>
      <c r="V442" s="1"/>
      <c r="W442" s="17"/>
      <c r="X442" s="17"/>
    </row>
    <row r="443" spans="1:24" ht="12.75" x14ac:dyDescent="0.35">
      <c r="A443" s="71"/>
      <c r="C443" s="56"/>
      <c r="V443" s="1"/>
      <c r="W443" s="17"/>
      <c r="X443" s="17"/>
    </row>
    <row r="444" spans="1:24" ht="12.75" x14ac:dyDescent="0.35">
      <c r="A444" s="71"/>
      <c r="C444" s="56"/>
      <c r="V444" s="1"/>
      <c r="W444" s="17"/>
      <c r="X444" s="17"/>
    </row>
    <row r="445" spans="1:24" ht="12.75" x14ac:dyDescent="0.35">
      <c r="A445" s="71"/>
      <c r="C445" s="56"/>
      <c r="V445" s="1"/>
      <c r="W445" s="17"/>
      <c r="X445" s="17"/>
    </row>
    <row r="446" spans="1:24" ht="12.75" x14ac:dyDescent="0.35">
      <c r="A446" s="71"/>
      <c r="C446" s="56"/>
      <c r="V446" s="1"/>
      <c r="W446" s="17"/>
      <c r="X446" s="17"/>
    </row>
    <row r="447" spans="1:24" ht="12.75" x14ac:dyDescent="0.35">
      <c r="A447" s="71"/>
      <c r="C447" s="56"/>
      <c r="V447" s="1"/>
      <c r="W447" s="17"/>
      <c r="X447" s="17"/>
    </row>
    <row r="448" spans="1:24" ht="12.75" x14ac:dyDescent="0.35">
      <c r="A448" s="71"/>
      <c r="C448" s="56"/>
      <c r="V448" s="1"/>
      <c r="W448" s="17"/>
      <c r="X448" s="17"/>
    </row>
    <row r="449" spans="1:24" ht="12.75" x14ac:dyDescent="0.35">
      <c r="A449" s="71"/>
      <c r="C449" s="56"/>
      <c r="V449" s="1"/>
      <c r="W449" s="17"/>
      <c r="X449" s="17"/>
    </row>
    <row r="450" spans="1:24" ht="12.75" x14ac:dyDescent="0.35">
      <c r="A450" s="71"/>
      <c r="C450" s="56"/>
      <c r="V450" s="1"/>
      <c r="W450" s="17"/>
      <c r="X450" s="17"/>
    </row>
    <row r="451" spans="1:24" ht="12.75" x14ac:dyDescent="0.35">
      <c r="A451" s="71"/>
      <c r="C451" s="56"/>
      <c r="V451" s="1"/>
      <c r="W451" s="17"/>
      <c r="X451" s="17"/>
    </row>
    <row r="452" spans="1:24" ht="12.75" x14ac:dyDescent="0.35">
      <c r="A452" s="71"/>
      <c r="C452" s="56"/>
      <c r="V452" s="1"/>
      <c r="W452" s="17"/>
      <c r="X452" s="17"/>
    </row>
    <row r="453" spans="1:24" ht="12.75" x14ac:dyDescent="0.35">
      <c r="A453" s="71"/>
      <c r="C453" s="56"/>
      <c r="V453" s="1"/>
      <c r="W453" s="17"/>
      <c r="X453" s="17"/>
    </row>
    <row r="454" spans="1:24" ht="12.75" x14ac:dyDescent="0.35">
      <c r="A454" s="71"/>
      <c r="C454" s="56"/>
      <c r="V454" s="1"/>
      <c r="W454" s="17"/>
      <c r="X454" s="17"/>
    </row>
    <row r="455" spans="1:24" ht="12.75" x14ac:dyDescent="0.35">
      <c r="A455" s="71"/>
      <c r="C455" s="56"/>
      <c r="V455" s="1"/>
      <c r="W455" s="17"/>
      <c r="X455" s="17"/>
    </row>
    <row r="456" spans="1:24" ht="12.75" x14ac:dyDescent="0.35">
      <c r="A456" s="71"/>
      <c r="C456" s="56"/>
      <c r="V456" s="1"/>
      <c r="W456" s="17"/>
      <c r="X456" s="17"/>
    </row>
    <row r="457" spans="1:24" ht="12.75" x14ac:dyDescent="0.35">
      <c r="A457" s="71"/>
      <c r="C457" s="56"/>
      <c r="V457" s="1"/>
      <c r="W457" s="17"/>
      <c r="X457" s="17"/>
    </row>
    <row r="458" spans="1:24" ht="12.75" x14ac:dyDescent="0.35">
      <c r="A458" s="71"/>
      <c r="C458" s="56"/>
      <c r="V458" s="1"/>
      <c r="W458" s="17"/>
      <c r="X458" s="17"/>
    </row>
    <row r="459" spans="1:24" ht="12.75" x14ac:dyDescent="0.35">
      <c r="A459" s="71"/>
      <c r="C459" s="56"/>
      <c r="V459" s="1"/>
      <c r="W459" s="17"/>
      <c r="X459" s="17"/>
    </row>
    <row r="460" spans="1:24" ht="12.75" x14ac:dyDescent="0.35">
      <c r="A460" s="71"/>
      <c r="C460" s="56"/>
      <c r="V460" s="1"/>
      <c r="W460" s="17"/>
      <c r="X460" s="17"/>
    </row>
    <row r="461" spans="1:24" ht="12.75" x14ac:dyDescent="0.35">
      <c r="A461" s="71"/>
      <c r="C461" s="56"/>
      <c r="V461" s="1"/>
      <c r="W461" s="17"/>
      <c r="X461" s="17"/>
    </row>
    <row r="462" spans="1:24" ht="12.75" x14ac:dyDescent="0.35">
      <c r="A462" s="71"/>
      <c r="C462" s="56"/>
      <c r="V462" s="1"/>
      <c r="W462" s="17"/>
      <c r="X462" s="17"/>
    </row>
    <row r="463" spans="1:24" ht="12.75" x14ac:dyDescent="0.35">
      <c r="A463" s="71"/>
      <c r="C463" s="56"/>
      <c r="V463" s="1"/>
      <c r="W463" s="17"/>
      <c r="X463" s="17"/>
    </row>
    <row r="464" spans="1:24" ht="12.75" x14ac:dyDescent="0.35">
      <c r="A464" s="71"/>
      <c r="C464" s="56"/>
      <c r="V464" s="1"/>
      <c r="W464" s="17"/>
      <c r="X464" s="17"/>
    </row>
    <row r="465" spans="1:24" ht="12.75" x14ac:dyDescent="0.35">
      <c r="A465" s="71"/>
      <c r="C465" s="56"/>
      <c r="V465" s="1"/>
      <c r="W465" s="17"/>
      <c r="X465" s="17"/>
    </row>
    <row r="466" spans="1:24" ht="12.75" x14ac:dyDescent="0.35">
      <c r="A466" s="71"/>
      <c r="C466" s="56"/>
      <c r="V466" s="1"/>
      <c r="W466" s="17"/>
      <c r="X466" s="17"/>
    </row>
    <row r="467" spans="1:24" ht="12.75" x14ac:dyDescent="0.35">
      <c r="A467" s="71"/>
      <c r="C467" s="56"/>
      <c r="V467" s="1"/>
      <c r="W467" s="17"/>
      <c r="X467" s="17"/>
    </row>
    <row r="468" spans="1:24" ht="12.75" x14ac:dyDescent="0.35">
      <c r="A468" s="71"/>
      <c r="C468" s="56"/>
      <c r="V468" s="1"/>
      <c r="W468" s="17"/>
      <c r="X468" s="17"/>
    </row>
    <row r="469" spans="1:24" ht="12.75" x14ac:dyDescent="0.35">
      <c r="A469" s="71"/>
      <c r="C469" s="56"/>
      <c r="V469" s="1"/>
      <c r="W469" s="17"/>
      <c r="X469" s="17"/>
    </row>
    <row r="470" spans="1:24" ht="12.75" x14ac:dyDescent="0.35">
      <c r="A470" s="71"/>
      <c r="C470" s="56"/>
      <c r="V470" s="1"/>
      <c r="W470" s="17"/>
      <c r="X470" s="17"/>
    </row>
    <row r="471" spans="1:24" ht="12.75" x14ac:dyDescent="0.35">
      <c r="A471" s="71"/>
      <c r="C471" s="56"/>
      <c r="V471" s="1"/>
      <c r="W471" s="17"/>
      <c r="X471" s="17"/>
    </row>
    <row r="472" spans="1:24" ht="12.75" x14ac:dyDescent="0.35">
      <c r="A472" s="71"/>
      <c r="C472" s="56"/>
      <c r="V472" s="1"/>
      <c r="W472" s="17"/>
      <c r="X472" s="17"/>
    </row>
    <row r="473" spans="1:24" ht="12.75" x14ac:dyDescent="0.35">
      <c r="A473" s="71"/>
      <c r="C473" s="56"/>
      <c r="V473" s="1"/>
      <c r="W473" s="17"/>
      <c r="X473" s="17"/>
    </row>
    <row r="474" spans="1:24" ht="12.75" x14ac:dyDescent="0.35">
      <c r="A474" s="71"/>
      <c r="C474" s="56"/>
      <c r="V474" s="1"/>
      <c r="W474" s="17"/>
      <c r="X474" s="17"/>
    </row>
    <row r="475" spans="1:24" ht="12.75" x14ac:dyDescent="0.35">
      <c r="A475" s="71"/>
      <c r="C475" s="56"/>
      <c r="V475" s="1"/>
      <c r="W475" s="17"/>
      <c r="X475" s="17"/>
    </row>
    <row r="476" spans="1:24" ht="12.75" x14ac:dyDescent="0.35">
      <c r="A476" s="71"/>
      <c r="C476" s="56"/>
      <c r="V476" s="1"/>
      <c r="W476" s="17"/>
      <c r="X476" s="17"/>
    </row>
    <row r="477" spans="1:24" ht="12.75" x14ac:dyDescent="0.35">
      <c r="A477" s="71"/>
      <c r="C477" s="56"/>
      <c r="V477" s="1"/>
      <c r="W477" s="17"/>
      <c r="X477" s="17"/>
    </row>
    <row r="478" spans="1:24" ht="12.75" x14ac:dyDescent="0.35">
      <c r="A478" s="71"/>
      <c r="C478" s="56"/>
      <c r="V478" s="1"/>
      <c r="W478" s="17"/>
      <c r="X478" s="17"/>
    </row>
    <row r="479" spans="1:24" ht="12.75" x14ac:dyDescent="0.35">
      <c r="A479" s="71"/>
      <c r="C479" s="56"/>
      <c r="V479" s="1"/>
      <c r="W479" s="17"/>
      <c r="X479" s="17"/>
    </row>
    <row r="480" spans="1:24" ht="12.75" x14ac:dyDescent="0.35">
      <c r="A480" s="71"/>
      <c r="C480" s="56"/>
      <c r="V480" s="1"/>
      <c r="W480" s="17"/>
      <c r="X480" s="17"/>
    </row>
    <row r="481" spans="1:24" ht="12.75" x14ac:dyDescent="0.35">
      <c r="A481" s="71"/>
      <c r="C481" s="56"/>
      <c r="V481" s="1"/>
      <c r="W481" s="17"/>
      <c r="X481" s="17"/>
    </row>
    <row r="482" spans="1:24" ht="12.75" x14ac:dyDescent="0.35">
      <c r="A482" s="71"/>
      <c r="C482" s="56"/>
      <c r="V482" s="1"/>
      <c r="W482" s="17"/>
      <c r="X482" s="17"/>
    </row>
    <row r="483" spans="1:24" ht="12.75" x14ac:dyDescent="0.35">
      <c r="A483" s="71"/>
      <c r="C483" s="56"/>
      <c r="V483" s="1"/>
      <c r="W483" s="17"/>
      <c r="X483" s="17"/>
    </row>
    <row r="484" spans="1:24" ht="12.75" x14ac:dyDescent="0.35">
      <c r="A484" s="71"/>
      <c r="C484" s="56"/>
      <c r="V484" s="1"/>
      <c r="W484" s="17"/>
      <c r="X484" s="17"/>
    </row>
    <row r="485" spans="1:24" ht="12.75" x14ac:dyDescent="0.35">
      <c r="A485" s="71"/>
      <c r="C485" s="56"/>
      <c r="V485" s="1"/>
      <c r="W485" s="17"/>
      <c r="X485" s="17"/>
    </row>
    <row r="486" spans="1:24" ht="12.75" x14ac:dyDescent="0.35">
      <c r="A486" s="71"/>
      <c r="C486" s="56"/>
      <c r="V486" s="1"/>
      <c r="W486" s="17"/>
      <c r="X486" s="17"/>
    </row>
    <row r="487" spans="1:24" ht="12.75" x14ac:dyDescent="0.35">
      <c r="A487" s="71"/>
      <c r="C487" s="56"/>
      <c r="V487" s="1"/>
      <c r="W487" s="17"/>
      <c r="X487" s="17"/>
    </row>
    <row r="488" spans="1:24" ht="12.75" x14ac:dyDescent="0.35">
      <c r="A488" s="71"/>
      <c r="C488" s="56"/>
      <c r="V488" s="1"/>
      <c r="W488" s="17"/>
      <c r="X488" s="17"/>
    </row>
    <row r="489" spans="1:24" ht="12.75" x14ac:dyDescent="0.35">
      <c r="A489" s="71"/>
      <c r="C489" s="56"/>
      <c r="V489" s="1"/>
      <c r="W489" s="17"/>
      <c r="X489" s="17"/>
    </row>
    <row r="490" spans="1:24" ht="12.75" x14ac:dyDescent="0.35">
      <c r="A490" s="71"/>
      <c r="C490" s="56"/>
      <c r="V490" s="1"/>
      <c r="W490" s="17"/>
      <c r="X490" s="17"/>
    </row>
    <row r="491" spans="1:24" ht="12.75" x14ac:dyDescent="0.35">
      <c r="A491" s="71"/>
      <c r="C491" s="56"/>
      <c r="V491" s="1"/>
      <c r="W491" s="17"/>
      <c r="X491" s="17"/>
    </row>
    <row r="492" spans="1:24" ht="12.75" x14ac:dyDescent="0.35">
      <c r="A492" s="71"/>
      <c r="C492" s="56"/>
      <c r="V492" s="1"/>
      <c r="W492" s="17"/>
      <c r="X492" s="17"/>
    </row>
    <row r="493" spans="1:24" ht="12.75" x14ac:dyDescent="0.35">
      <c r="A493" s="71"/>
      <c r="C493" s="56"/>
      <c r="V493" s="1"/>
      <c r="W493" s="17"/>
      <c r="X493" s="17"/>
    </row>
    <row r="494" spans="1:24" ht="12.75" x14ac:dyDescent="0.35">
      <c r="A494" s="71"/>
      <c r="C494" s="56"/>
      <c r="V494" s="1"/>
      <c r="W494" s="17"/>
      <c r="X494" s="17"/>
    </row>
    <row r="495" spans="1:24" ht="12.75" x14ac:dyDescent="0.35">
      <c r="A495" s="71"/>
      <c r="C495" s="56"/>
      <c r="V495" s="1"/>
      <c r="W495" s="17"/>
      <c r="X495" s="17"/>
    </row>
    <row r="496" spans="1:24" ht="12.75" x14ac:dyDescent="0.35">
      <c r="A496" s="71"/>
      <c r="C496" s="56"/>
      <c r="V496" s="1"/>
      <c r="W496" s="17"/>
      <c r="X496" s="17"/>
    </row>
    <row r="497" spans="1:24" ht="12.75" x14ac:dyDescent="0.35">
      <c r="A497" s="71"/>
      <c r="C497" s="56"/>
      <c r="V497" s="1"/>
      <c r="W497" s="17"/>
      <c r="X497" s="17"/>
    </row>
    <row r="498" spans="1:24" ht="12.75" x14ac:dyDescent="0.35">
      <c r="A498" s="71"/>
      <c r="C498" s="56"/>
      <c r="V498" s="1"/>
      <c r="W498" s="17"/>
      <c r="X498" s="17"/>
    </row>
    <row r="499" spans="1:24" ht="12.75" x14ac:dyDescent="0.35">
      <c r="A499" s="71"/>
      <c r="C499" s="56"/>
      <c r="V499" s="1"/>
      <c r="W499" s="17"/>
      <c r="X499" s="17"/>
    </row>
    <row r="500" spans="1:24" ht="12.75" x14ac:dyDescent="0.35">
      <c r="A500" s="71"/>
      <c r="C500" s="56"/>
      <c r="V500" s="1"/>
      <c r="W500" s="17"/>
      <c r="X500" s="17"/>
    </row>
    <row r="501" spans="1:24" ht="12.75" x14ac:dyDescent="0.35">
      <c r="A501" s="71"/>
      <c r="C501" s="56"/>
      <c r="V501" s="1"/>
      <c r="W501" s="17"/>
      <c r="X501" s="17"/>
    </row>
    <row r="502" spans="1:24" ht="12.75" x14ac:dyDescent="0.35">
      <c r="A502" s="71"/>
      <c r="C502" s="56"/>
      <c r="V502" s="1"/>
      <c r="W502" s="17"/>
      <c r="X502" s="17"/>
    </row>
    <row r="503" spans="1:24" ht="12.75" x14ac:dyDescent="0.35">
      <c r="A503" s="71"/>
      <c r="C503" s="56"/>
      <c r="V503" s="1"/>
      <c r="W503" s="17"/>
      <c r="X503" s="17"/>
    </row>
    <row r="504" spans="1:24" ht="12.75" x14ac:dyDescent="0.35">
      <c r="A504" s="71"/>
      <c r="C504" s="56"/>
      <c r="V504" s="1"/>
      <c r="W504" s="17"/>
      <c r="X504" s="17"/>
    </row>
    <row r="505" spans="1:24" ht="12.75" x14ac:dyDescent="0.35">
      <c r="A505" s="71"/>
      <c r="C505" s="56"/>
      <c r="V505" s="1"/>
      <c r="W505" s="17"/>
      <c r="X505" s="17"/>
    </row>
    <row r="506" spans="1:24" ht="12.75" x14ac:dyDescent="0.35">
      <c r="A506" s="71"/>
      <c r="C506" s="56"/>
      <c r="V506" s="1"/>
      <c r="W506" s="17"/>
      <c r="X506" s="17"/>
    </row>
    <row r="507" spans="1:24" ht="12.75" x14ac:dyDescent="0.35">
      <c r="A507" s="71"/>
      <c r="C507" s="56"/>
      <c r="V507" s="1"/>
      <c r="W507" s="17"/>
      <c r="X507" s="17"/>
    </row>
    <row r="508" spans="1:24" ht="12.75" x14ac:dyDescent="0.35">
      <c r="A508" s="71"/>
      <c r="C508" s="56"/>
      <c r="V508" s="1"/>
      <c r="W508" s="17"/>
      <c r="X508" s="17"/>
    </row>
    <row r="509" spans="1:24" ht="12.75" x14ac:dyDescent="0.35">
      <c r="A509" s="71"/>
      <c r="C509" s="56"/>
      <c r="V509" s="1"/>
      <c r="W509" s="17"/>
      <c r="X509" s="17"/>
    </row>
    <row r="510" spans="1:24" ht="12.75" x14ac:dyDescent="0.35">
      <c r="A510" s="71"/>
      <c r="C510" s="56"/>
      <c r="V510" s="1"/>
      <c r="W510" s="17"/>
      <c r="X510" s="17"/>
    </row>
    <row r="511" spans="1:24" ht="12.75" x14ac:dyDescent="0.35">
      <c r="A511" s="71"/>
      <c r="C511" s="56"/>
      <c r="V511" s="1"/>
      <c r="W511" s="17"/>
      <c r="X511" s="17"/>
    </row>
    <row r="512" spans="1:24" ht="12.75" x14ac:dyDescent="0.35">
      <c r="A512" s="71"/>
      <c r="C512" s="56"/>
      <c r="V512" s="1"/>
      <c r="W512" s="17"/>
      <c r="X512" s="17"/>
    </row>
    <row r="513" spans="1:24" ht="12.75" x14ac:dyDescent="0.35">
      <c r="A513" s="71"/>
      <c r="C513" s="56"/>
      <c r="V513" s="1"/>
      <c r="W513" s="17"/>
      <c r="X513" s="17"/>
    </row>
    <row r="514" spans="1:24" ht="12.75" x14ac:dyDescent="0.35">
      <c r="A514" s="71"/>
      <c r="C514" s="56"/>
      <c r="V514" s="1"/>
      <c r="W514" s="17"/>
      <c r="X514" s="17"/>
    </row>
    <row r="515" spans="1:24" ht="12.75" x14ac:dyDescent="0.35">
      <c r="A515" s="71"/>
      <c r="C515" s="56"/>
      <c r="V515" s="1"/>
      <c r="W515" s="17"/>
      <c r="X515" s="17"/>
    </row>
    <row r="516" spans="1:24" ht="12.75" x14ac:dyDescent="0.35">
      <c r="A516" s="71"/>
      <c r="C516" s="56"/>
      <c r="V516" s="1"/>
      <c r="W516" s="17"/>
      <c r="X516" s="17"/>
    </row>
    <row r="517" spans="1:24" ht="12.75" x14ac:dyDescent="0.35">
      <c r="A517" s="71"/>
      <c r="C517" s="56"/>
      <c r="V517" s="1"/>
      <c r="W517" s="17"/>
      <c r="X517" s="17"/>
    </row>
    <row r="518" spans="1:24" ht="12.75" x14ac:dyDescent="0.35">
      <c r="A518" s="71"/>
      <c r="C518" s="56"/>
      <c r="V518" s="1"/>
      <c r="W518" s="17"/>
      <c r="X518" s="17"/>
    </row>
    <row r="519" spans="1:24" ht="12.75" x14ac:dyDescent="0.35">
      <c r="A519" s="71"/>
      <c r="C519" s="56"/>
      <c r="V519" s="1"/>
      <c r="W519" s="17"/>
      <c r="X519" s="17"/>
    </row>
    <row r="520" spans="1:24" ht="12.75" x14ac:dyDescent="0.35">
      <c r="A520" s="71"/>
      <c r="C520" s="56"/>
      <c r="V520" s="1"/>
      <c r="W520" s="17"/>
      <c r="X520" s="17"/>
    </row>
    <row r="521" spans="1:24" ht="12.75" x14ac:dyDescent="0.35">
      <c r="A521" s="71"/>
      <c r="C521" s="56"/>
      <c r="V521" s="1"/>
      <c r="W521" s="17"/>
      <c r="X521" s="17"/>
    </row>
    <row r="522" spans="1:24" ht="12.75" x14ac:dyDescent="0.35">
      <c r="A522" s="71"/>
      <c r="C522" s="56"/>
      <c r="V522" s="1"/>
      <c r="W522" s="17"/>
      <c r="X522" s="17"/>
    </row>
    <row r="523" spans="1:24" ht="12.75" x14ac:dyDescent="0.35">
      <c r="A523" s="71"/>
      <c r="C523" s="56"/>
      <c r="V523" s="1"/>
      <c r="W523" s="17"/>
      <c r="X523" s="17"/>
    </row>
    <row r="524" spans="1:24" ht="12.75" x14ac:dyDescent="0.35">
      <c r="A524" s="71"/>
      <c r="C524" s="56"/>
      <c r="V524" s="1"/>
      <c r="W524" s="17"/>
      <c r="X524" s="17"/>
    </row>
    <row r="525" spans="1:24" ht="12.75" x14ac:dyDescent="0.35">
      <c r="A525" s="71"/>
      <c r="C525" s="56"/>
      <c r="V525" s="1"/>
      <c r="W525" s="17"/>
      <c r="X525" s="17"/>
    </row>
    <row r="526" spans="1:24" ht="12.75" x14ac:dyDescent="0.35">
      <c r="A526" s="71"/>
      <c r="C526" s="56"/>
      <c r="V526" s="1"/>
      <c r="W526" s="17"/>
      <c r="X526" s="17"/>
    </row>
    <row r="527" spans="1:24" ht="12.75" x14ac:dyDescent="0.35">
      <c r="A527" s="71"/>
      <c r="C527" s="56"/>
      <c r="V527" s="1"/>
      <c r="W527" s="17"/>
      <c r="X527" s="17"/>
    </row>
    <row r="528" spans="1:24" ht="12.75" x14ac:dyDescent="0.35">
      <c r="A528" s="71"/>
      <c r="C528" s="56"/>
      <c r="V528" s="1"/>
      <c r="W528" s="17"/>
      <c r="X528" s="17"/>
    </row>
    <row r="529" spans="1:24" ht="12.75" x14ac:dyDescent="0.35">
      <c r="A529" s="71"/>
      <c r="C529" s="56"/>
      <c r="V529" s="1"/>
      <c r="W529" s="17"/>
      <c r="X529" s="17"/>
    </row>
    <row r="530" spans="1:24" ht="12.75" x14ac:dyDescent="0.35">
      <c r="A530" s="71"/>
      <c r="C530" s="56"/>
      <c r="V530" s="1"/>
      <c r="W530" s="17"/>
      <c r="X530" s="17"/>
    </row>
    <row r="531" spans="1:24" ht="12.75" x14ac:dyDescent="0.35">
      <c r="A531" s="71"/>
      <c r="C531" s="56"/>
      <c r="V531" s="1"/>
      <c r="W531" s="17"/>
      <c r="X531" s="17"/>
    </row>
    <row r="532" spans="1:24" ht="12.75" x14ac:dyDescent="0.35">
      <c r="A532" s="71"/>
      <c r="C532" s="56"/>
      <c r="V532" s="1"/>
      <c r="W532" s="17"/>
      <c r="X532" s="17"/>
    </row>
    <row r="533" spans="1:24" ht="12.75" x14ac:dyDescent="0.35">
      <c r="A533" s="71"/>
      <c r="C533" s="56"/>
      <c r="V533" s="1"/>
      <c r="W533" s="17"/>
      <c r="X533" s="17"/>
    </row>
    <row r="534" spans="1:24" ht="12.75" x14ac:dyDescent="0.35">
      <c r="A534" s="71"/>
      <c r="C534" s="56"/>
      <c r="V534" s="1"/>
      <c r="W534" s="17"/>
      <c r="X534" s="17"/>
    </row>
    <row r="535" spans="1:24" ht="12.75" x14ac:dyDescent="0.35">
      <c r="A535" s="71"/>
      <c r="C535" s="56"/>
      <c r="V535" s="1"/>
      <c r="W535" s="17"/>
      <c r="X535" s="17"/>
    </row>
    <row r="536" spans="1:24" ht="12.75" x14ac:dyDescent="0.35">
      <c r="A536" s="71"/>
      <c r="C536" s="56"/>
      <c r="V536" s="1"/>
      <c r="W536" s="17"/>
      <c r="X536" s="17"/>
    </row>
    <row r="537" spans="1:24" ht="12.75" x14ac:dyDescent="0.35">
      <c r="A537" s="71"/>
      <c r="C537" s="56"/>
      <c r="V537" s="1"/>
      <c r="W537" s="17"/>
      <c r="X537" s="17"/>
    </row>
    <row r="538" spans="1:24" ht="12.75" x14ac:dyDescent="0.35">
      <c r="A538" s="71"/>
      <c r="C538" s="56"/>
      <c r="V538" s="1"/>
      <c r="W538" s="17"/>
      <c r="X538" s="17"/>
    </row>
    <row r="539" spans="1:24" ht="12.75" x14ac:dyDescent="0.35">
      <c r="A539" s="71"/>
      <c r="C539" s="56"/>
      <c r="V539" s="1"/>
      <c r="W539" s="17"/>
      <c r="X539" s="17"/>
    </row>
    <row r="540" spans="1:24" ht="12.75" x14ac:dyDescent="0.35">
      <c r="A540" s="71"/>
      <c r="C540" s="56"/>
      <c r="V540" s="1"/>
      <c r="W540" s="17"/>
      <c r="X540" s="17"/>
    </row>
    <row r="541" spans="1:24" ht="12.75" x14ac:dyDescent="0.35">
      <c r="A541" s="71"/>
      <c r="C541" s="56"/>
      <c r="V541" s="1"/>
      <c r="W541" s="17"/>
      <c r="X541" s="17"/>
    </row>
    <row r="542" spans="1:24" ht="12.75" x14ac:dyDescent="0.35">
      <c r="A542" s="71"/>
      <c r="C542" s="56"/>
      <c r="V542" s="1"/>
      <c r="W542" s="17"/>
      <c r="X542" s="17"/>
    </row>
    <row r="543" spans="1:24" ht="12.75" x14ac:dyDescent="0.35">
      <c r="A543" s="71"/>
      <c r="C543" s="56"/>
      <c r="V543" s="1"/>
      <c r="W543" s="17"/>
      <c r="X543" s="17"/>
    </row>
    <row r="544" spans="1:24" ht="12.75" x14ac:dyDescent="0.35">
      <c r="A544" s="71"/>
      <c r="C544" s="56"/>
      <c r="V544" s="1"/>
      <c r="W544" s="17"/>
      <c r="X544" s="17"/>
    </row>
    <row r="545" spans="1:24" ht="12.75" x14ac:dyDescent="0.35">
      <c r="A545" s="71"/>
      <c r="C545" s="56"/>
      <c r="V545" s="1"/>
      <c r="W545" s="17"/>
      <c r="X545" s="17"/>
    </row>
    <row r="546" spans="1:24" ht="12.75" x14ac:dyDescent="0.35">
      <c r="A546" s="71"/>
      <c r="C546" s="56"/>
      <c r="V546" s="1"/>
      <c r="W546" s="17"/>
      <c r="X546" s="17"/>
    </row>
    <row r="547" spans="1:24" ht="12.75" x14ac:dyDescent="0.35">
      <c r="A547" s="71"/>
      <c r="C547" s="56"/>
      <c r="V547" s="1"/>
      <c r="W547" s="17"/>
      <c r="X547" s="17"/>
    </row>
    <row r="548" spans="1:24" ht="12.75" x14ac:dyDescent="0.35">
      <c r="A548" s="71"/>
      <c r="C548" s="56"/>
      <c r="V548" s="1"/>
      <c r="W548" s="17"/>
      <c r="X548" s="17"/>
    </row>
    <row r="549" spans="1:24" ht="12.75" x14ac:dyDescent="0.35">
      <c r="A549" s="71"/>
      <c r="C549" s="56"/>
      <c r="V549" s="1"/>
      <c r="W549" s="17"/>
      <c r="X549" s="17"/>
    </row>
    <row r="550" spans="1:24" ht="12.75" x14ac:dyDescent="0.35">
      <c r="A550" s="71"/>
      <c r="C550" s="56"/>
      <c r="V550" s="1"/>
      <c r="W550" s="17"/>
      <c r="X550" s="17"/>
    </row>
    <row r="551" spans="1:24" ht="12.75" x14ac:dyDescent="0.35">
      <c r="A551" s="71"/>
      <c r="C551" s="56"/>
      <c r="V551" s="1"/>
      <c r="W551" s="17"/>
      <c r="X551" s="17"/>
    </row>
    <row r="552" spans="1:24" ht="12.75" x14ac:dyDescent="0.35">
      <c r="A552" s="71"/>
      <c r="C552" s="56"/>
      <c r="V552" s="1"/>
      <c r="W552" s="17"/>
      <c r="X552" s="17"/>
    </row>
    <row r="553" spans="1:24" ht="12.75" x14ac:dyDescent="0.35">
      <c r="A553" s="71"/>
      <c r="C553" s="56"/>
      <c r="V553" s="1"/>
      <c r="W553" s="17"/>
      <c r="X553" s="17"/>
    </row>
    <row r="554" spans="1:24" ht="12.75" x14ac:dyDescent="0.35">
      <c r="A554" s="71"/>
      <c r="C554" s="56"/>
      <c r="V554" s="1"/>
      <c r="W554" s="17"/>
      <c r="X554" s="17"/>
    </row>
    <row r="555" spans="1:24" ht="12.75" x14ac:dyDescent="0.35">
      <c r="A555" s="71"/>
      <c r="C555" s="56"/>
      <c r="V555" s="1"/>
      <c r="W555" s="17"/>
      <c r="X555" s="17"/>
    </row>
    <row r="556" spans="1:24" ht="12.75" x14ac:dyDescent="0.35">
      <c r="A556" s="71"/>
      <c r="C556" s="56"/>
      <c r="V556" s="1"/>
      <c r="W556" s="17"/>
      <c r="X556" s="17"/>
    </row>
    <row r="557" spans="1:24" ht="12.75" x14ac:dyDescent="0.35">
      <c r="A557" s="71"/>
      <c r="C557" s="56"/>
      <c r="V557" s="1"/>
      <c r="W557" s="17"/>
      <c r="X557" s="17"/>
    </row>
    <row r="558" spans="1:24" ht="12.75" x14ac:dyDescent="0.35">
      <c r="A558" s="71"/>
      <c r="C558" s="56"/>
      <c r="V558" s="1"/>
      <c r="W558" s="17"/>
      <c r="X558" s="17"/>
    </row>
    <row r="559" spans="1:24" ht="12.75" x14ac:dyDescent="0.35">
      <c r="A559" s="71"/>
      <c r="C559" s="56"/>
      <c r="V559" s="1"/>
      <c r="W559" s="17"/>
      <c r="X559" s="17"/>
    </row>
    <row r="560" spans="1:24" ht="12.75" x14ac:dyDescent="0.35">
      <c r="A560" s="71"/>
      <c r="C560" s="56"/>
      <c r="V560" s="1"/>
      <c r="W560" s="17"/>
      <c r="X560" s="17"/>
    </row>
    <row r="561" spans="1:24" ht="12.75" x14ac:dyDescent="0.35">
      <c r="A561" s="71"/>
      <c r="C561" s="56"/>
      <c r="V561" s="1"/>
      <c r="W561" s="17"/>
      <c r="X561" s="17"/>
    </row>
    <row r="562" spans="1:24" ht="12.75" x14ac:dyDescent="0.35">
      <c r="A562" s="71"/>
      <c r="C562" s="56"/>
      <c r="V562" s="1"/>
      <c r="W562" s="17"/>
      <c r="X562" s="17"/>
    </row>
    <row r="563" spans="1:24" ht="12.75" x14ac:dyDescent="0.35">
      <c r="A563" s="71"/>
      <c r="C563" s="56"/>
      <c r="V563" s="1"/>
      <c r="W563" s="17"/>
      <c r="X563" s="17"/>
    </row>
    <row r="564" spans="1:24" ht="12.75" x14ac:dyDescent="0.35">
      <c r="A564" s="71"/>
      <c r="C564" s="56"/>
      <c r="V564" s="1"/>
      <c r="W564" s="17"/>
      <c r="X564" s="17"/>
    </row>
    <row r="565" spans="1:24" ht="12.75" x14ac:dyDescent="0.35">
      <c r="A565" s="71"/>
      <c r="C565" s="56"/>
      <c r="V565" s="1"/>
      <c r="W565" s="17"/>
      <c r="X565" s="17"/>
    </row>
    <row r="566" spans="1:24" ht="12.75" x14ac:dyDescent="0.35">
      <c r="A566" s="71"/>
      <c r="C566" s="56"/>
      <c r="V566" s="1"/>
      <c r="W566" s="17"/>
      <c r="X566" s="17"/>
    </row>
    <row r="567" spans="1:24" ht="12.75" x14ac:dyDescent="0.35">
      <c r="A567" s="71"/>
      <c r="C567" s="56"/>
      <c r="V567" s="1"/>
      <c r="W567" s="17"/>
      <c r="X567" s="17"/>
    </row>
    <row r="568" spans="1:24" ht="12.75" x14ac:dyDescent="0.35">
      <c r="A568" s="71"/>
      <c r="C568" s="56"/>
      <c r="V568" s="1"/>
      <c r="W568" s="17"/>
      <c r="X568" s="17"/>
    </row>
    <row r="569" spans="1:24" ht="12.75" x14ac:dyDescent="0.35">
      <c r="A569" s="71"/>
      <c r="C569" s="56"/>
      <c r="V569" s="1"/>
      <c r="W569" s="17"/>
      <c r="X569" s="17"/>
    </row>
    <row r="570" spans="1:24" ht="12.75" x14ac:dyDescent="0.35">
      <c r="A570" s="71"/>
      <c r="C570" s="56"/>
      <c r="V570" s="1"/>
      <c r="W570" s="17"/>
      <c r="X570" s="17"/>
    </row>
    <row r="571" spans="1:24" ht="12.75" x14ac:dyDescent="0.35">
      <c r="A571" s="71"/>
      <c r="C571" s="56"/>
      <c r="V571" s="1"/>
      <c r="W571" s="17"/>
      <c r="X571" s="17"/>
    </row>
    <row r="572" spans="1:24" ht="12.75" x14ac:dyDescent="0.35">
      <c r="A572" s="71"/>
      <c r="C572" s="56"/>
      <c r="V572" s="1"/>
      <c r="W572" s="17"/>
      <c r="X572" s="17"/>
    </row>
    <row r="573" spans="1:24" ht="12.75" x14ac:dyDescent="0.35">
      <c r="A573" s="71"/>
      <c r="C573" s="56"/>
      <c r="V573" s="1"/>
      <c r="W573" s="17"/>
      <c r="X573" s="17"/>
    </row>
    <row r="574" spans="1:24" ht="12.75" x14ac:dyDescent="0.35">
      <c r="A574" s="71"/>
      <c r="C574" s="56"/>
      <c r="V574" s="1"/>
      <c r="W574" s="17"/>
      <c r="X574" s="17"/>
    </row>
    <row r="575" spans="1:24" ht="12.75" x14ac:dyDescent="0.35">
      <c r="A575" s="71"/>
      <c r="C575" s="56"/>
      <c r="V575" s="1"/>
      <c r="W575" s="17"/>
      <c r="X575" s="17"/>
    </row>
    <row r="576" spans="1:24" ht="12.75" x14ac:dyDescent="0.35">
      <c r="A576" s="71"/>
      <c r="C576" s="56"/>
      <c r="V576" s="1"/>
      <c r="W576" s="17"/>
      <c r="X576" s="17"/>
    </row>
    <row r="577" spans="1:24" ht="12.75" x14ac:dyDescent="0.35">
      <c r="A577" s="71"/>
      <c r="C577" s="56"/>
      <c r="V577" s="1"/>
      <c r="W577" s="17"/>
      <c r="X577" s="17"/>
    </row>
    <row r="578" spans="1:24" ht="12.75" x14ac:dyDescent="0.35">
      <c r="A578" s="71"/>
      <c r="C578" s="56"/>
      <c r="V578" s="1"/>
      <c r="W578" s="17"/>
      <c r="X578" s="17"/>
    </row>
    <row r="579" spans="1:24" ht="12.75" x14ac:dyDescent="0.35">
      <c r="A579" s="71"/>
      <c r="C579" s="56"/>
      <c r="V579" s="1"/>
      <c r="W579" s="17"/>
      <c r="X579" s="17"/>
    </row>
    <row r="580" spans="1:24" ht="12.75" x14ac:dyDescent="0.35">
      <c r="A580" s="71"/>
      <c r="C580" s="56"/>
      <c r="V580" s="1"/>
      <c r="W580" s="17"/>
      <c r="X580" s="17"/>
    </row>
    <row r="581" spans="1:24" ht="12.75" x14ac:dyDescent="0.35">
      <c r="A581" s="71"/>
      <c r="C581" s="56"/>
      <c r="V581" s="1"/>
      <c r="W581" s="17"/>
      <c r="X581" s="17"/>
    </row>
    <row r="582" spans="1:24" ht="12.75" x14ac:dyDescent="0.35">
      <c r="A582" s="71"/>
      <c r="C582" s="56"/>
      <c r="V582" s="1"/>
      <c r="W582" s="17"/>
      <c r="X582" s="17"/>
    </row>
    <row r="583" spans="1:24" ht="12.75" x14ac:dyDescent="0.35">
      <c r="A583" s="71"/>
      <c r="C583" s="56"/>
      <c r="V583" s="1"/>
      <c r="W583" s="17"/>
      <c r="X583" s="17"/>
    </row>
    <row r="584" spans="1:24" ht="12.75" x14ac:dyDescent="0.35">
      <c r="A584" s="71"/>
      <c r="C584" s="56"/>
      <c r="V584" s="1"/>
      <c r="W584" s="17"/>
      <c r="X584" s="17"/>
    </row>
    <row r="585" spans="1:24" ht="12.75" x14ac:dyDescent="0.35">
      <c r="A585" s="71"/>
      <c r="C585" s="56"/>
      <c r="V585" s="1"/>
      <c r="W585" s="17"/>
      <c r="X585" s="17"/>
    </row>
    <row r="586" spans="1:24" ht="12.75" x14ac:dyDescent="0.35">
      <c r="A586" s="71"/>
      <c r="C586" s="56"/>
      <c r="V586" s="1"/>
      <c r="W586" s="17"/>
      <c r="X586" s="17"/>
    </row>
    <row r="587" spans="1:24" ht="12.75" x14ac:dyDescent="0.35">
      <c r="A587" s="71"/>
      <c r="C587" s="56"/>
      <c r="V587" s="1"/>
      <c r="W587" s="17"/>
      <c r="X587" s="17"/>
    </row>
    <row r="588" spans="1:24" ht="12.75" x14ac:dyDescent="0.35">
      <c r="A588" s="71"/>
      <c r="C588" s="56"/>
      <c r="V588" s="1"/>
      <c r="W588" s="17"/>
      <c r="X588" s="17"/>
    </row>
    <row r="589" spans="1:24" ht="12.75" x14ac:dyDescent="0.35">
      <c r="A589" s="71"/>
      <c r="C589" s="56"/>
      <c r="V589" s="1"/>
      <c r="W589" s="17"/>
      <c r="X589" s="17"/>
    </row>
    <row r="590" spans="1:24" ht="12.75" x14ac:dyDescent="0.35">
      <c r="A590" s="71"/>
      <c r="C590" s="56"/>
      <c r="V590" s="1"/>
      <c r="W590" s="17"/>
      <c r="X590" s="17"/>
    </row>
    <row r="591" spans="1:24" ht="12.75" x14ac:dyDescent="0.35">
      <c r="A591" s="71"/>
      <c r="C591" s="56"/>
      <c r="V591" s="1"/>
      <c r="W591" s="17"/>
      <c r="X591" s="17"/>
    </row>
    <row r="592" spans="1:24" ht="12.75" x14ac:dyDescent="0.35">
      <c r="A592" s="71"/>
      <c r="C592" s="56"/>
      <c r="V592" s="1"/>
      <c r="W592" s="17"/>
      <c r="X592" s="17"/>
    </row>
    <row r="593" spans="1:24" ht="12.75" x14ac:dyDescent="0.35">
      <c r="A593" s="71"/>
      <c r="C593" s="56"/>
      <c r="V593" s="1"/>
      <c r="W593" s="17"/>
      <c r="X593" s="17"/>
    </row>
    <row r="594" spans="1:24" ht="12.75" x14ac:dyDescent="0.35">
      <c r="A594" s="71"/>
      <c r="C594" s="56"/>
      <c r="V594" s="1"/>
      <c r="W594" s="17"/>
      <c r="X594" s="17"/>
    </row>
    <row r="595" spans="1:24" ht="12.75" x14ac:dyDescent="0.35">
      <c r="A595" s="71"/>
      <c r="C595" s="56"/>
      <c r="V595" s="1"/>
      <c r="W595" s="17"/>
      <c r="X595" s="17"/>
    </row>
    <row r="596" spans="1:24" ht="12.75" x14ac:dyDescent="0.35">
      <c r="A596" s="71"/>
      <c r="C596" s="56"/>
      <c r="V596" s="1"/>
      <c r="W596" s="17"/>
      <c r="X596" s="17"/>
    </row>
    <row r="597" spans="1:24" ht="12.75" x14ac:dyDescent="0.35">
      <c r="A597" s="71"/>
      <c r="C597" s="56"/>
      <c r="V597" s="1"/>
      <c r="W597" s="17"/>
      <c r="X597" s="17"/>
    </row>
    <row r="598" spans="1:24" ht="12.75" x14ac:dyDescent="0.35">
      <c r="A598" s="71"/>
      <c r="C598" s="56"/>
      <c r="V598" s="1"/>
      <c r="W598" s="17"/>
      <c r="X598" s="17"/>
    </row>
    <row r="599" spans="1:24" ht="12.75" x14ac:dyDescent="0.35">
      <c r="A599" s="71"/>
      <c r="C599" s="56"/>
      <c r="V599" s="1"/>
      <c r="W599" s="17"/>
      <c r="X599" s="17"/>
    </row>
    <row r="600" spans="1:24" ht="12.75" x14ac:dyDescent="0.35">
      <c r="A600" s="71"/>
      <c r="C600" s="56"/>
      <c r="V600" s="1"/>
      <c r="W600" s="17"/>
      <c r="X600" s="17"/>
    </row>
    <row r="601" spans="1:24" ht="12.75" x14ac:dyDescent="0.35">
      <c r="A601" s="71"/>
      <c r="C601" s="56"/>
      <c r="V601" s="1"/>
      <c r="W601" s="17"/>
      <c r="X601" s="17"/>
    </row>
    <row r="602" spans="1:24" ht="12.75" x14ac:dyDescent="0.35">
      <c r="A602" s="71"/>
      <c r="C602" s="56"/>
      <c r="V602" s="1"/>
      <c r="W602" s="17"/>
      <c r="X602" s="17"/>
    </row>
    <row r="603" spans="1:24" ht="12.75" x14ac:dyDescent="0.35">
      <c r="A603" s="71"/>
      <c r="C603" s="56"/>
      <c r="V603" s="1"/>
      <c r="W603" s="17"/>
      <c r="X603" s="17"/>
    </row>
    <row r="604" spans="1:24" ht="12.75" x14ac:dyDescent="0.35">
      <c r="A604" s="71"/>
      <c r="C604" s="56"/>
      <c r="V604" s="1"/>
      <c r="W604" s="17"/>
      <c r="X604" s="17"/>
    </row>
    <row r="605" spans="1:24" ht="12.75" x14ac:dyDescent="0.35">
      <c r="A605" s="71"/>
      <c r="C605" s="56"/>
      <c r="V605" s="1"/>
      <c r="W605" s="17"/>
      <c r="X605" s="17"/>
    </row>
    <row r="606" spans="1:24" ht="12.75" x14ac:dyDescent="0.35">
      <c r="A606" s="71"/>
      <c r="C606" s="56"/>
      <c r="V606" s="1"/>
      <c r="W606" s="17"/>
      <c r="X606" s="17"/>
    </row>
    <row r="607" spans="1:24" ht="12.75" x14ac:dyDescent="0.35">
      <c r="A607" s="71"/>
      <c r="C607" s="56"/>
      <c r="V607" s="1"/>
      <c r="W607" s="17"/>
      <c r="X607" s="17"/>
    </row>
    <row r="608" spans="1:24" ht="12.75" x14ac:dyDescent="0.35">
      <c r="A608" s="71"/>
      <c r="C608" s="56"/>
      <c r="V608" s="1"/>
      <c r="W608" s="17"/>
      <c r="X608" s="17"/>
    </row>
    <row r="609" spans="1:24" ht="12.75" x14ac:dyDescent="0.35">
      <c r="A609" s="71"/>
      <c r="C609" s="56"/>
      <c r="V609" s="1"/>
      <c r="W609" s="17"/>
      <c r="X609" s="17"/>
    </row>
    <row r="610" spans="1:24" ht="12.75" x14ac:dyDescent="0.35">
      <c r="A610" s="71"/>
      <c r="C610" s="56"/>
      <c r="V610" s="1"/>
      <c r="W610" s="17"/>
      <c r="X610" s="17"/>
    </row>
    <row r="611" spans="1:24" ht="12.75" x14ac:dyDescent="0.35">
      <c r="A611" s="71"/>
      <c r="C611" s="56"/>
      <c r="V611" s="1"/>
      <c r="W611" s="17"/>
      <c r="X611" s="17"/>
    </row>
    <row r="612" spans="1:24" ht="12.75" x14ac:dyDescent="0.35">
      <c r="A612" s="71"/>
      <c r="C612" s="56"/>
      <c r="V612" s="1"/>
      <c r="W612" s="17"/>
      <c r="X612" s="17"/>
    </row>
    <row r="613" spans="1:24" ht="12.75" x14ac:dyDescent="0.35">
      <c r="A613" s="71"/>
      <c r="C613" s="56"/>
      <c r="V613" s="1"/>
      <c r="W613" s="17"/>
      <c r="X613" s="17"/>
    </row>
    <row r="614" spans="1:24" ht="12.75" x14ac:dyDescent="0.35">
      <c r="A614" s="71"/>
      <c r="C614" s="56"/>
      <c r="V614" s="1"/>
      <c r="W614" s="17"/>
      <c r="X614" s="17"/>
    </row>
    <row r="615" spans="1:24" ht="12.75" x14ac:dyDescent="0.35">
      <c r="A615" s="71"/>
      <c r="C615" s="56"/>
      <c r="V615" s="1"/>
      <c r="W615" s="17"/>
      <c r="X615" s="17"/>
    </row>
    <row r="616" spans="1:24" ht="12.75" x14ac:dyDescent="0.35">
      <c r="A616" s="71"/>
      <c r="C616" s="56"/>
      <c r="V616" s="1"/>
      <c r="W616" s="17"/>
      <c r="X616" s="17"/>
    </row>
    <row r="617" spans="1:24" ht="12.75" x14ac:dyDescent="0.35">
      <c r="A617" s="71"/>
      <c r="C617" s="56"/>
      <c r="V617" s="1"/>
      <c r="W617" s="17"/>
      <c r="X617" s="17"/>
    </row>
    <row r="618" spans="1:24" ht="12.75" x14ac:dyDescent="0.35">
      <c r="A618" s="71"/>
      <c r="C618" s="56"/>
      <c r="V618" s="1"/>
      <c r="W618" s="17"/>
      <c r="X618" s="17"/>
    </row>
    <row r="619" spans="1:24" ht="12.75" x14ac:dyDescent="0.35">
      <c r="A619" s="71"/>
      <c r="C619" s="56"/>
      <c r="V619" s="1"/>
      <c r="W619" s="17"/>
      <c r="X619" s="17"/>
    </row>
    <row r="620" spans="1:24" ht="12.75" x14ac:dyDescent="0.35">
      <c r="A620" s="71"/>
      <c r="C620" s="56"/>
      <c r="V620" s="1"/>
      <c r="W620" s="17"/>
      <c r="X620" s="17"/>
    </row>
    <row r="621" spans="1:24" ht="12.75" x14ac:dyDescent="0.35">
      <c r="A621" s="71"/>
      <c r="C621" s="56"/>
      <c r="V621" s="1"/>
      <c r="W621" s="17"/>
      <c r="X621" s="17"/>
    </row>
    <row r="622" spans="1:24" ht="12.75" x14ac:dyDescent="0.35">
      <c r="A622" s="71"/>
      <c r="C622" s="56"/>
      <c r="V622" s="1"/>
      <c r="W622" s="17"/>
      <c r="X622" s="17"/>
    </row>
    <row r="623" spans="1:24" ht="12.75" x14ac:dyDescent="0.35">
      <c r="A623" s="71"/>
      <c r="C623" s="56"/>
      <c r="V623" s="1"/>
      <c r="W623" s="17"/>
      <c r="X623" s="17"/>
    </row>
    <row r="624" spans="1:24" ht="12.75" x14ac:dyDescent="0.35">
      <c r="A624" s="71"/>
      <c r="C624" s="56"/>
      <c r="V624" s="1"/>
      <c r="W624" s="17"/>
      <c r="X624" s="17"/>
    </row>
    <row r="625" spans="1:24" ht="12.75" x14ac:dyDescent="0.35">
      <c r="A625" s="71"/>
      <c r="C625" s="56"/>
      <c r="V625" s="1"/>
      <c r="W625" s="17"/>
      <c r="X625" s="17"/>
    </row>
    <row r="626" spans="1:24" ht="12.75" x14ac:dyDescent="0.35">
      <c r="A626" s="71"/>
      <c r="C626" s="56"/>
      <c r="V626" s="1"/>
      <c r="W626" s="17"/>
      <c r="X626" s="17"/>
    </row>
    <row r="627" spans="1:24" ht="12.75" x14ac:dyDescent="0.35">
      <c r="A627" s="71"/>
      <c r="C627" s="56"/>
      <c r="V627" s="1"/>
      <c r="W627" s="17"/>
      <c r="X627" s="17"/>
    </row>
    <row r="628" spans="1:24" ht="12.75" x14ac:dyDescent="0.35">
      <c r="A628" s="71"/>
      <c r="C628" s="56"/>
      <c r="V628" s="1"/>
      <c r="W628" s="17"/>
      <c r="X628" s="17"/>
    </row>
    <row r="629" spans="1:24" ht="12.75" x14ac:dyDescent="0.35">
      <c r="A629" s="71"/>
      <c r="C629" s="56"/>
      <c r="V629" s="1"/>
      <c r="W629" s="17"/>
      <c r="X629" s="17"/>
    </row>
    <row r="630" spans="1:24" ht="12.75" x14ac:dyDescent="0.35">
      <c r="A630" s="71"/>
      <c r="C630" s="56"/>
      <c r="V630" s="1"/>
      <c r="W630" s="17"/>
      <c r="X630" s="17"/>
    </row>
    <row r="631" spans="1:24" ht="12.75" x14ac:dyDescent="0.35">
      <c r="A631" s="71"/>
      <c r="C631" s="56"/>
      <c r="V631" s="1"/>
      <c r="W631" s="17"/>
      <c r="X631" s="17"/>
    </row>
    <row r="632" spans="1:24" ht="12.75" x14ac:dyDescent="0.35">
      <c r="A632" s="71"/>
      <c r="C632" s="56"/>
      <c r="V632" s="1"/>
      <c r="W632" s="17"/>
      <c r="X632" s="17"/>
    </row>
    <row r="633" spans="1:24" ht="12.75" x14ac:dyDescent="0.35">
      <c r="A633" s="71"/>
      <c r="C633" s="56"/>
      <c r="V633" s="1"/>
      <c r="W633" s="17"/>
      <c r="X633" s="17"/>
    </row>
    <row r="634" spans="1:24" ht="12.75" x14ac:dyDescent="0.35">
      <c r="A634" s="71"/>
      <c r="C634" s="56"/>
      <c r="V634" s="1"/>
      <c r="W634" s="17"/>
      <c r="X634" s="17"/>
    </row>
    <row r="635" spans="1:24" ht="12.75" x14ac:dyDescent="0.35">
      <c r="A635" s="71"/>
      <c r="C635" s="56"/>
      <c r="V635" s="1"/>
      <c r="W635" s="17"/>
      <c r="X635" s="17"/>
    </row>
    <row r="636" spans="1:24" ht="12.75" x14ac:dyDescent="0.35">
      <c r="A636" s="71"/>
      <c r="C636" s="56"/>
      <c r="V636" s="1"/>
      <c r="W636" s="17"/>
      <c r="X636" s="17"/>
    </row>
    <row r="637" spans="1:24" ht="12.75" x14ac:dyDescent="0.35">
      <c r="A637" s="71"/>
      <c r="C637" s="56"/>
      <c r="V637" s="1"/>
      <c r="W637" s="17"/>
      <c r="X637" s="17"/>
    </row>
    <row r="638" spans="1:24" ht="12.75" x14ac:dyDescent="0.35">
      <c r="A638" s="71"/>
      <c r="C638" s="56"/>
      <c r="V638" s="1"/>
      <c r="W638" s="17"/>
      <c r="X638" s="17"/>
    </row>
    <row r="639" spans="1:24" ht="12.75" x14ac:dyDescent="0.35">
      <c r="A639" s="71"/>
      <c r="C639" s="56"/>
      <c r="V639" s="1"/>
      <c r="W639" s="17"/>
      <c r="X639" s="17"/>
    </row>
    <row r="640" spans="1:24" ht="12.75" x14ac:dyDescent="0.35">
      <c r="A640" s="71"/>
      <c r="C640" s="56"/>
      <c r="V640" s="1"/>
      <c r="W640" s="17"/>
      <c r="X640" s="17"/>
    </row>
    <row r="641" spans="1:24" ht="12.75" x14ac:dyDescent="0.35">
      <c r="A641" s="71"/>
      <c r="C641" s="56"/>
      <c r="V641" s="1"/>
      <c r="W641" s="17"/>
      <c r="X641" s="17"/>
    </row>
    <row r="642" spans="1:24" ht="12.75" x14ac:dyDescent="0.35">
      <c r="A642" s="71"/>
      <c r="C642" s="56"/>
      <c r="V642" s="1"/>
      <c r="W642" s="17"/>
      <c r="X642" s="17"/>
    </row>
    <row r="643" spans="1:24" ht="12.75" x14ac:dyDescent="0.35">
      <c r="A643" s="71"/>
      <c r="C643" s="56"/>
      <c r="V643" s="1"/>
      <c r="W643" s="17"/>
      <c r="X643" s="17"/>
    </row>
    <row r="644" spans="1:24" ht="12.75" x14ac:dyDescent="0.35">
      <c r="A644" s="71"/>
      <c r="C644" s="56"/>
      <c r="V644" s="1"/>
      <c r="W644" s="17"/>
      <c r="X644" s="17"/>
    </row>
    <row r="645" spans="1:24" ht="12.75" x14ac:dyDescent="0.35">
      <c r="A645" s="71"/>
      <c r="C645" s="56"/>
      <c r="V645" s="1"/>
      <c r="W645" s="17"/>
      <c r="X645" s="17"/>
    </row>
    <row r="646" spans="1:24" ht="12.75" x14ac:dyDescent="0.35">
      <c r="A646" s="71"/>
      <c r="C646" s="56"/>
      <c r="V646" s="1"/>
      <c r="W646" s="17"/>
      <c r="X646" s="17"/>
    </row>
    <row r="647" spans="1:24" ht="12.75" x14ac:dyDescent="0.35">
      <c r="A647" s="71"/>
      <c r="C647" s="56"/>
      <c r="V647" s="1"/>
      <c r="W647" s="17"/>
      <c r="X647" s="17"/>
    </row>
    <row r="648" spans="1:24" ht="12.75" x14ac:dyDescent="0.35">
      <c r="A648" s="71"/>
      <c r="C648" s="56"/>
      <c r="V648" s="1"/>
      <c r="W648" s="17"/>
      <c r="X648" s="17"/>
    </row>
    <row r="649" spans="1:24" ht="12.75" x14ac:dyDescent="0.35">
      <c r="A649" s="71"/>
      <c r="C649" s="56"/>
      <c r="V649" s="1"/>
      <c r="W649" s="17"/>
      <c r="X649" s="17"/>
    </row>
    <row r="650" spans="1:24" ht="12.75" x14ac:dyDescent="0.35">
      <c r="A650" s="71"/>
      <c r="C650" s="56"/>
      <c r="V650" s="1"/>
      <c r="W650" s="17"/>
      <c r="X650" s="17"/>
    </row>
    <row r="651" spans="1:24" ht="12.75" x14ac:dyDescent="0.35">
      <c r="A651" s="71"/>
      <c r="C651" s="56"/>
      <c r="V651" s="1"/>
      <c r="W651" s="17"/>
      <c r="X651" s="17"/>
    </row>
    <row r="652" spans="1:24" ht="12.75" x14ac:dyDescent="0.35">
      <c r="A652" s="71"/>
      <c r="C652" s="56"/>
      <c r="V652" s="1"/>
      <c r="W652" s="17"/>
      <c r="X652" s="17"/>
    </row>
    <row r="653" spans="1:24" ht="12.75" x14ac:dyDescent="0.35">
      <c r="A653" s="71"/>
      <c r="C653" s="56"/>
      <c r="V653" s="1"/>
      <c r="W653" s="17"/>
      <c r="X653" s="17"/>
    </row>
    <row r="654" spans="1:24" ht="12.75" x14ac:dyDescent="0.35">
      <c r="A654" s="71"/>
      <c r="C654" s="56"/>
      <c r="V654" s="1"/>
      <c r="W654" s="17"/>
      <c r="X654" s="17"/>
    </row>
    <row r="655" spans="1:24" ht="12.75" x14ac:dyDescent="0.35">
      <c r="A655" s="71"/>
      <c r="C655" s="56"/>
      <c r="V655" s="1"/>
      <c r="W655" s="17"/>
      <c r="X655" s="17"/>
    </row>
    <row r="656" spans="1:24" ht="12.75" x14ac:dyDescent="0.35">
      <c r="A656" s="71"/>
      <c r="C656" s="56"/>
      <c r="V656" s="1"/>
      <c r="W656" s="17"/>
      <c r="X656" s="17"/>
    </row>
    <row r="657" spans="1:24" ht="12.75" x14ac:dyDescent="0.35">
      <c r="A657" s="71"/>
      <c r="C657" s="56"/>
      <c r="V657" s="1"/>
      <c r="W657" s="17"/>
      <c r="X657" s="17"/>
    </row>
    <row r="658" spans="1:24" ht="12.75" x14ac:dyDescent="0.35">
      <c r="A658" s="71"/>
      <c r="C658" s="56"/>
      <c r="V658" s="1"/>
      <c r="W658" s="17"/>
      <c r="X658" s="17"/>
    </row>
    <row r="659" spans="1:24" ht="12.75" x14ac:dyDescent="0.35">
      <c r="A659" s="71"/>
      <c r="C659" s="56"/>
      <c r="V659" s="1"/>
      <c r="W659" s="17"/>
      <c r="X659" s="17"/>
    </row>
    <row r="660" spans="1:24" ht="12.75" x14ac:dyDescent="0.35">
      <c r="A660" s="71"/>
      <c r="C660" s="56"/>
      <c r="V660" s="1"/>
      <c r="W660" s="17"/>
      <c r="X660" s="17"/>
    </row>
    <row r="661" spans="1:24" ht="12.75" x14ac:dyDescent="0.35">
      <c r="A661" s="71"/>
      <c r="C661" s="56"/>
      <c r="V661" s="1"/>
      <c r="W661" s="17"/>
      <c r="X661" s="17"/>
    </row>
    <row r="662" spans="1:24" ht="12.75" x14ac:dyDescent="0.35">
      <c r="A662" s="71"/>
      <c r="C662" s="56"/>
      <c r="V662" s="1"/>
      <c r="W662" s="17"/>
      <c r="X662" s="17"/>
    </row>
    <row r="663" spans="1:24" ht="12.75" x14ac:dyDescent="0.35">
      <c r="A663" s="71"/>
      <c r="C663" s="56"/>
      <c r="V663" s="1"/>
      <c r="W663" s="17"/>
      <c r="X663" s="17"/>
    </row>
    <row r="664" spans="1:24" ht="12.75" x14ac:dyDescent="0.35">
      <c r="A664" s="71"/>
      <c r="C664" s="56"/>
      <c r="V664" s="1"/>
      <c r="W664" s="17"/>
      <c r="X664" s="17"/>
    </row>
    <row r="665" spans="1:24" ht="12.75" x14ac:dyDescent="0.35">
      <c r="A665" s="71"/>
      <c r="C665" s="56"/>
      <c r="V665" s="1"/>
      <c r="W665" s="17"/>
      <c r="X665" s="17"/>
    </row>
    <row r="666" spans="1:24" ht="12.75" x14ac:dyDescent="0.35">
      <c r="A666" s="71"/>
      <c r="C666" s="56"/>
      <c r="V666" s="1"/>
      <c r="W666" s="17"/>
      <c r="X666" s="17"/>
    </row>
    <row r="667" spans="1:24" ht="12.75" x14ac:dyDescent="0.35">
      <c r="A667" s="71"/>
      <c r="C667" s="56"/>
      <c r="V667" s="1"/>
      <c r="W667" s="17"/>
      <c r="X667" s="17"/>
    </row>
    <row r="668" spans="1:24" ht="12.75" x14ac:dyDescent="0.35">
      <c r="A668" s="71"/>
      <c r="C668" s="56"/>
      <c r="V668" s="1"/>
      <c r="W668" s="17"/>
      <c r="X668" s="17"/>
    </row>
    <row r="669" spans="1:24" ht="12.75" x14ac:dyDescent="0.35">
      <c r="A669" s="71"/>
      <c r="C669" s="56"/>
      <c r="V669" s="1"/>
      <c r="W669" s="17"/>
      <c r="X669" s="17"/>
    </row>
    <row r="670" spans="1:24" ht="12.75" x14ac:dyDescent="0.35">
      <c r="A670" s="71"/>
      <c r="C670" s="56"/>
      <c r="V670" s="1"/>
      <c r="W670" s="17"/>
      <c r="X670" s="17"/>
    </row>
    <row r="671" spans="1:24" ht="12.75" x14ac:dyDescent="0.35">
      <c r="A671" s="71"/>
      <c r="C671" s="56"/>
      <c r="V671" s="1"/>
      <c r="W671" s="17"/>
      <c r="X671" s="17"/>
    </row>
    <row r="672" spans="1:24" ht="12.75" x14ac:dyDescent="0.35">
      <c r="A672" s="71"/>
      <c r="C672" s="56"/>
      <c r="V672" s="1"/>
      <c r="W672" s="17"/>
      <c r="X672" s="17"/>
    </row>
    <row r="673" spans="1:24" ht="12.75" x14ac:dyDescent="0.35">
      <c r="A673" s="71"/>
      <c r="C673" s="56"/>
      <c r="V673" s="1"/>
      <c r="W673" s="17"/>
      <c r="X673" s="17"/>
    </row>
    <row r="674" spans="1:24" ht="12.75" x14ac:dyDescent="0.35">
      <c r="A674" s="71"/>
      <c r="C674" s="56"/>
      <c r="V674" s="1"/>
      <c r="W674" s="17"/>
      <c r="X674" s="17"/>
    </row>
    <row r="675" spans="1:24" ht="12.75" x14ac:dyDescent="0.35">
      <c r="A675" s="71"/>
      <c r="C675" s="56"/>
      <c r="V675" s="1"/>
      <c r="W675" s="17"/>
      <c r="X675" s="17"/>
    </row>
    <row r="676" spans="1:24" ht="12.75" x14ac:dyDescent="0.35">
      <c r="A676" s="71"/>
      <c r="C676" s="56"/>
      <c r="V676" s="1"/>
      <c r="W676" s="17"/>
      <c r="X676" s="17"/>
    </row>
    <row r="677" spans="1:24" ht="12.75" x14ac:dyDescent="0.35">
      <c r="A677" s="71"/>
      <c r="C677" s="56"/>
      <c r="V677" s="1"/>
      <c r="W677" s="17"/>
      <c r="X677" s="17"/>
    </row>
    <row r="678" spans="1:24" ht="12.75" x14ac:dyDescent="0.35">
      <c r="A678" s="71"/>
      <c r="C678" s="56"/>
      <c r="V678" s="1"/>
      <c r="W678" s="17"/>
      <c r="X678" s="17"/>
    </row>
    <row r="679" spans="1:24" ht="12.75" x14ac:dyDescent="0.35">
      <c r="A679" s="71"/>
      <c r="C679" s="56"/>
      <c r="V679" s="1"/>
      <c r="W679" s="17"/>
      <c r="X679" s="17"/>
    </row>
    <row r="680" spans="1:24" ht="12.75" x14ac:dyDescent="0.35">
      <c r="A680" s="71"/>
      <c r="C680" s="56"/>
      <c r="V680" s="1"/>
      <c r="W680" s="17"/>
      <c r="X680" s="17"/>
    </row>
    <row r="681" spans="1:24" ht="12.75" x14ac:dyDescent="0.35">
      <c r="A681" s="71"/>
      <c r="C681" s="56"/>
      <c r="V681" s="1"/>
      <c r="W681" s="17"/>
      <c r="X681" s="17"/>
    </row>
    <row r="682" spans="1:24" ht="12.75" x14ac:dyDescent="0.35">
      <c r="A682" s="71"/>
      <c r="C682" s="56"/>
      <c r="V682" s="1"/>
      <c r="W682" s="17"/>
      <c r="X682" s="17"/>
    </row>
    <row r="683" spans="1:24" ht="12.75" x14ac:dyDescent="0.35">
      <c r="A683" s="71"/>
      <c r="C683" s="56"/>
      <c r="V683" s="1"/>
      <c r="W683" s="17"/>
      <c r="X683" s="17"/>
    </row>
    <row r="684" spans="1:24" ht="12.75" x14ac:dyDescent="0.35">
      <c r="A684" s="71"/>
      <c r="C684" s="56"/>
      <c r="V684" s="1"/>
      <c r="W684" s="17"/>
      <c r="X684" s="17"/>
    </row>
    <row r="685" spans="1:24" ht="12.75" x14ac:dyDescent="0.35">
      <c r="A685" s="71"/>
      <c r="C685" s="56"/>
      <c r="V685" s="1"/>
      <c r="W685" s="17"/>
      <c r="X685" s="17"/>
    </row>
    <row r="686" spans="1:24" ht="12.75" x14ac:dyDescent="0.35">
      <c r="A686" s="71"/>
      <c r="C686" s="56"/>
      <c r="V686" s="1"/>
      <c r="W686" s="17"/>
      <c r="X686" s="17"/>
    </row>
    <row r="687" spans="1:24" ht="12.75" x14ac:dyDescent="0.35">
      <c r="A687" s="71"/>
      <c r="C687" s="56"/>
      <c r="V687" s="1"/>
      <c r="W687" s="17"/>
      <c r="X687" s="17"/>
    </row>
    <row r="688" spans="1:24" ht="12.75" x14ac:dyDescent="0.35">
      <c r="A688" s="71"/>
      <c r="C688" s="56"/>
      <c r="V688" s="1"/>
      <c r="W688" s="17"/>
      <c r="X688" s="17"/>
    </row>
    <row r="689" spans="1:24" ht="12.75" x14ac:dyDescent="0.35">
      <c r="A689" s="71"/>
      <c r="C689" s="56"/>
      <c r="V689" s="1"/>
      <c r="W689" s="17"/>
      <c r="X689" s="17"/>
    </row>
    <row r="690" spans="1:24" ht="12.75" x14ac:dyDescent="0.35">
      <c r="A690" s="71"/>
      <c r="C690" s="56"/>
      <c r="V690" s="1"/>
      <c r="W690" s="17"/>
      <c r="X690" s="17"/>
    </row>
    <row r="691" spans="1:24" ht="12.75" x14ac:dyDescent="0.35">
      <c r="A691" s="71"/>
      <c r="C691" s="56"/>
      <c r="V691" s="1"/>
      <c r="W691" s="17"/>
      <c r="X691" s="17"/>
    </row>
    <row r="692" spans="1:24" ht="12.75" x14ac:dyDescent="0.35">
      <c r="A692" s="71"/>
      <c r="C692" s="56"/>
      <c r="V692" s="1"/>
      <c r="W692" s="17"/>
      <c r="X692" s="17"/>
    </row>
    <row r="693" spans="1:24" ht="12.75" x14ac:dyDescent="0.35">
      <c r="A693" s="71"/>
      <c r="C693" s="56"/>
      <c r="V693" s="1"/>
      <c r="W693" s="17"/>
      <c r="X693" s="17"/>
    </row>
    <row r="694" spans="1:24" ht="12.75" x14ac:dyDescent="0.35">
      <c r="A694" s="71"/>
      <c r="C694" s="56"/>
      <c r="V694" s="1"/>
      <c r="W694" s="17"/>
      <c r="X694" s="17"/>
    </row>
    <row r="695" spans="1:24" ht="12.75" x14ac:dyDescent="0.35">
      <c r="A695" s="71"/>
      <c r="C695" s="56"/>
      <c r="V695" s="1"/>
      <c r="W695" s="17"/>
      <c r="X695" s="17"/>
    </row>
    <row r="696" spans="1:24" ht="12.75" x14ac:dyDescent="0.35">
      <c r="A696" s="71"/>
      <c r="C696" s="56"/>
      <c r="V696" s="1"/>
      <c r="W696" s="17"/>
      <c r="X696" s="17"/>
    </row>
    <row r="697" spans="1:24" ht="12.75" x14ac:dyDescent="0.35">
      <c r="A697" s="71"/>
      <c r="C697" s="56"/>
      <c r="V697" s="1"/>
      <c r="W697" s="17"/>
      <c r="X697" s="17"/>
    </row>
    <row r="698" spans="1:24" ht="12.75" x14ac:dyDescent="0.35">
      <c r="A698" s="71"/>
      <c r="C698" s="56"/>
      <c r="V698" s="1"/>
      <c r="W698" s="17"/>
      <c r="X698" s="17"/>
    </row>
    <row r="699" spans="1:24" ht="12.75" x14ac:dyDescent="0.35">
      <c r="A699" s="71"/>
      <c r="C699" s="56"/>
      <c r="V699" s="1"/>
      <c r="W699" s="17"/>
      <c r="X699" s="17"/>
    </row>
    <row r="700" spans="1:24" ht="12.75" x14ac:dyDescent="0.35">
      <c r="A700" s="71"/>
      <c r="C700" s="56"/>
      <c r="V700" s="1"/>
      <c r="W700" s="17"/>
      <c r="X700" s="17"/>
    </row>
    <row r="701" spans="1:24" ht="12.75" x14ac:dyDescent="0.35">
      <c r="A701" s="71"/>
      <c r="C701" s="56"/>
      <c r="V701" s="1"/>
      <c r="W701" s="17"/>
      <c r="X701" s="17"/>
    </row>
    <row r="702" spans="1:24" ht="12.75" x14ac:dyDescent="0.35">
      <c r="A702" s="71"/>
      <c r="C702" s="56"/>
      <c r="V702" s="1"/>
      <c r="W702" s="17"/>
      <c r="X702" s="17"/>
    </row>
    <row r="703" spans="1:24" ht="12.75" x14ac:dyDescent="0.35">
      <c r="A703" s="71"/>
      <c r="C703" s="56"/>
      <c r="V703" s="1"/>
      <c r="W703" s="17"/>
      <c r="X703" s="17"/>
    </row>
    <row r="704" spans="1:24" ht="12.75" x14ac:dyDescent="0.35">
      <c r="A704" s="71"/>
      <c r="C704" s="56"/>
      <c r="V704" s="1"/>
      <c r="W704" s="17"/>
      <c r="X704" s="17"/>
    </row>
    <row r="705" spans="1:24" ht="12.75" x14ac:dyDescent="0.35">
      <c r="A705" s="71"/>
      <c r="C705" s="56"/>
      <c r="V705" s="1"/>
      <c r="W705" s="17"/>
      <c r="X705" s="17"/>
    </row>
    <row r="706" spans="1:24" ht="12.75" x14ac:dyDescent="0.35">
      <c r="A706" s="71"/>
      <c r="C706" s="56"/>
      <c r="V706" s="1"/>
      <c r="W706" s="17"/>
      <c r="X706" s="17"/>
    </row>
    <row r="707" spans="1:24" ht="12.75" x14ac:dyDescent="0.35">
      <c r="A707" s="71"/>
      <c r="C707" s="56"/>
      <c r="V707" s="1"/>
      <c r="W707" s="17"/>
      <c r="X707" s="17"/>
    </row>
    <row r="708" spans="1:24" ht="12.75" x14ac:dyDescent="0.35">
      <c r="A708" s="71"/>
      <c r="C708" s="56"/>
      <c r="V708" s="1"/>
      <c r="W708" s="17"/>
      <c r="X708" s="17"/>
    </row>
    <row r="709" spans="1:24" ht="12.75" x14ac:dyDescent="0.35">
      <c r="A709" s="71"/>
      <c r="C709" s="56"/>
      <c r="V709" s="1"/>
      <c r="W709" s="17"/>
      <c r="X709" s="17"/>
    </row>
    <row r="710" spans="1:24" ht="12.75" x14ac:dyDescent="0.35">
      <c r="A710" s="71"/>
      <c r="C710" s="56"/>
      <c r="V710" s="1"/>
      <c r="W710" s="17"/>
      <c r="X710" s="17"/>
    </row>
    <row r="711" spans="1:24" ht="12.75" x14ac:dyDescent="0.35">
      <c r="A711" s="71"/>
      <c r="C711" s="56"/>
      <c r="V711" s="1"/>
      <c r="W711" s="17"/>
      <c r="X711" s="17"/>
    </row>
    <row r="712" spans="1:24" ht="12.75" x14ac:dyDescent="0.35">
      <c r="A712" s="71"/>
      <c r="C712" s="56"/>
      <c r="V712" s="1"/>
      <c r="W712" s="17"/>
      <c r="X712" s="17"/>
    </row>
    <row r="713" spans="1:24" ht="12.75" x14ac:dyDescent="0.35">
      <c r="A713" s="71"/>
      <c r="C713" s="56"/>
      <c r="V713" s="1"/>
      <c r="W713" s="17"/>
      <c r="X713" s="17"/>
    </row>
    <row r="714" spans="1:24" ht="12.75" x14ac:dyDescent="0.35">
      <c r="A714" s="71"/>
      <c r="C714" s="56"/>
      <c r="V714" s="1"/>
      <c r="W714" s="17"/>
      <c r="X714" s="17"/>
    </row>
    <row r="715" spans="1:24" ht="12.75" x14ac:dyDescent="0.35">
      <c r="A715" s="71"/>
      <c r="C715" s="56"/>
      <c r="V715" s="1"/>
      <c r="W715" s="17"/>
      <c r="X715" s="17"/>
    </row>
    <row r="716" spans="1:24" ht="12.75" x14ac:dyDescent="0.35">
      <c r="A716" s="71"/>
      <c r="C716" s="56"/>
      <c r="V716" s="1"/>
      <c r="W716" s="17"/>
      <c r="X716" s="17"/>
    </row>
    <row r="717" spans="1:24" ht="12.75" x14ac:dyDescent="0.35">
      <c r="A717" s="71"/>
      <c r="C717" s="56"/>
      <c r="V717" s="1"/>
      <c r="W717" s="17"/>
      <c r="X717" s="17"/>
    </row>
    <row r="718" spans="1:24" ht="12.75" x14ac:dyDescent="0.35">
      <c r="A718" s="71"/>
      <c r="C718" s="56"/>
      <c r="V718" s="1"/>
      <c r="W718" s="17"/>
      <c r="X718" s="17"/>
    </row>
    <row r="719" spans="1:24" ht="12.75" x14ac:dyDescent="0.35">
      <c r="A719" s="71"/>
      <c r="C719" s="56"/>
      <c r="V719" s="1"/>
      <c r="W719" s="17"/>
      <c r="X719" s="17"/>
    </row>
    <row r="720" spans="1:24" ht="12.75" x14ac:dyDescent="0.35">
      <c r="A720" s="71"/>
      <c r="C720" s="56"/>
      <c r="V720" s="1"/>
      <c r="W720" s="17"/>
      <c r="X720" s="17"/>
    </row>
    <row r="721" spans="1:24" ht="12.75" x14ac:dyDescent="0.35">
      <c r="A721" s="71"/>
      <c r="C721" s="56"/>
      <c r="V721" s="1"/>
      <c r="W721" s="17"/>
      <c r="X721" s="17"/>
    </row>
    <row r="722" spans="1:24" ht="12.75" x14ac:dyDescent="0.35">
      <c r="A722" s="71"/>
      <c r="C722" s="56"/>
      <c r="V722" s="1"/>
      <c r="W722" s="17"/>
      <c r="X722" s="17"/>
    </row>
    <row r="723" spans="1:24" ht="12.75" x14ac:dyDescent="0.35">
      <c r="A723" s="71"/>
      <c r="C723" s="56"/>
      <c r="V723" s="1"/>
      <c r="W723" s="17"/>
      <c r="X723" s="17"/>
    </row>
    <row r="724" spans="1:24" ht="12.75" x14ac:dyDescent="0.35">
      <c r="A724" s="71"/>
      <c r="C724" s="56"/>
      <c r="V724" s="1"/>
      <c r="W724" s="17"/>
      <c r="X724" s="17"/>
    </row>
    <row r="725" spans="1:24" ht="12.75" x14ac:dyDescent="0.35">
      <c r="A725" s="71"/>
      <c r="C725" s="56"/>
      <c r="V725" s="1"/>
      <c r="W725" s="17"/>
      <c r="X725" s="17"/>
    </row>
    <row r="726" spans="1:24" ht="12.75" x14ac:dyDescent="0.35">
      <c r="A726" s="71"/>
      <c r="C726" s="56"/>
      <c r="V726" s="1"/>
      <c r="W726" s="17"/>
      <c r="X726" s="17"/>
    </row>
    <row r="727" spans="1:24" ht="12.75" x14ac:dyDescent="0.35">
      <c r="A727" s="71"/>
      <c r="C727" s="56"/>
      <c r="V727" s="1"/>
      <c r="W727" s="17"/>
      <c r="X727" s="17"/>
    </row>
    <row r="728" spans="1:24" ht="12.75" x14ac:dyDescent="0.35">
      <c r="A728" s="71"/>
      <c r="C728" s="56"/>
      <c r="V728" s="1"/>
      <c r="W728" s="17"/>
      <c r="X728" s="17"/>
    </row>
    <row r="729" spans="1:24" ht="12.75" x14ac:dyDescent="0.35">
      <c r="A729" s="71"/>
      <c r="C729" s="56"/>
      <c r="V729" s="1"/>
      <c r="W729" s="17"/>
      <c r="X729" s="17"/>
    </row>
    <row r="730" spans="1:24" ht="12.75" x14ac:dyDescent="0.35">
      <c r="A730" s="71"/>
      <c r="C730" s="56"/>
      <c r="V730" s="1"/>
      <c r="W730" s="17"/>
      <c r="X730" s="17"/>
    </row>
    <row r="731" spans="1:24" ht="12.75" x14ac:dyDescent="0.35">
      <c r="A731" s="71"/>
      <c r="C731" s="56"/>
      <c r="V731" s="1"/>
      <c r="W731" s="17"/>
      <c r="X731" s="17"/>
    </row>
    <row r="732" spans="1:24" ht="12.75" x14ac:dyDescent="0.35">
      <c r="A732" s="71"/>
      <c r="C732" s="56"/>
      <c r="V732" s="1"/>
      <c r="W732" s="17"/>
      <c r="X732" s="17"/>
    </row>
    <row r="733" spans="1:24" ht="12.75" x14ac:dyDescent="0.35">
      <c r="A733" s="71"/>
      <c r="C733" s="56"/>
      <c r="V733" s="1"/>
      <c r="W733" s="17"/>
      <c r="X733" s="17"/>
    </row>
    <row r="734" spans="1:24" ht="12.75" x14ac:dyDescent="0.35">
      <c r="A734" s="71"/>
      <c r="C734" s="56"/>
      <c r="V734" s="1"/>
      <c r="W734" s="17"/>
      <c r="X734" s="17"/>
    </row>
    <row r="735" spans="1:24" ht="12.75" x14ac:dyDescent="0.35">
      <c r="A735" s="71"/>
      <c r="C735" s="56"/>
      <c r="V735" s="1"/>
      <c r="W735" s="17"/>
      <c r="X735" s="17"/>
    </row>
    <row r="736" spans="1:24" ht="12.75" x14ac:dyDescent="0.35">
      <c r="A736" s="71"/>
      <c r="C736" s="56"/>
      <c r="V736" s="1"/>
      <c r="W736" s="17"/>
      <c r="X736" s="17"/>
    </row>
    <row r="737" spans="1:24" ht="12.75" x14ac:dyDescent="0.35">
      <c r="A737" s="71"/>
      <c r="C737" s="56"/>
      <c r="V737" s="1"/>
      <c r="W737" s="17"/>
      <c r="X737" s="17"/>
    </row>
    <row r="738" spans="1:24" ht="12.75" x14ac:dyDescent="0.35">
      <c r="A738" s="71"/>
      <c r="C738" s="56"/>
      <c r="V738" s="1"/>
      <c r="W738" s="17"/>
      <c r="X738" s="17"/>
    </row>
    <row r="739" spans="1:24" ht="12.75" x14ac:dyDescent="0.35">
      <c r="A739" s="71"/>
      <c r="C739" s="56"/>
      <c r="V739" s="1"/>
      <c r="W739" s="17"/>
      <c r="X739" s="17"/>
    </row>
    <row r="740" spans="1:24" ht="12.75" x14ac:dyDescent="0.35">
      <c r="A740" s="71"/>
      <c r="C740" s="56"/>
      <c r="V740" s="1"/>
      <c r="W740" s="17"/>
      <c r="X740" s="17"/>
    </row>
    <row r="741" spans="1:24" ht="12.75" x14ac:dyDescent="0.35">
      <c r="A741" s="71"/>
      <c r="C741" s="56"/>
      <c r="V741" s="1"/>
      <c r="W741" s="17"/>
      <c r="X741" s="17"/>
    </row>
    <row r="742" spans="1:24" ht="12.75" x14ac:dyDescent="0.35">
      <c r="A742" s="71"/>
      <c r="C742" s="56"/>
      <c r="V742" s="1"/>
      <c r="W742" s="17"/>
      <c r="X742" s="17"/>
    </row>
    <row r="743" spans="1:24" ht="12.75" x14ac:dyDescent="0.35">
      <c r="A743" s="71"/>
      <c r="C743" s="56"/>
      <c r="V743" s="1"/>
      <c r="W743" s="17"/>
      <c r="X743" s="17"/>
    </row>
    <row r="744" spans="1:24" ht="12.75" x14ac:dyDescent="0.35">
      <c r="A744" s="71"/>
      <c r="C744" s="56"/>
      <c r="V744" s="1"/>
      <c r="W744" s="17"/>
      <c r="X744" s="17"/>
    </row>
    <row r="745" spans="1:24" ht="12.75" x14ac:dyDescent="0.35">
      <c r="A745" s="71"/>
      <c r="C745" s="56"/>
      <c r="V745" s="1"/>
      <c r="W745" s="17"/>
      <c r="X745" s="17"/>
    </row>
    <row r="746" spans="1:24" ht="12.75" x14ac:dyDescent="0.35">
      <c r="A746" s="71"/>
      <c r="C746" s="56"/>
      <c r="V746" s="1"/>
      <c r="W746" s="17"/>
      <c r="X746" s="17"/>
    </row>
    <row r="747" spans="1:24" ht="12.75" x14ac:dyDescent="0.35">
      <c r="A747" s="71"/>
      <c r="C747" s="56"/>
      <c r="V747" s="1"/>
      <c r="W747" s="17"/>
      <c r="X747" s="17"/>
    </row>
    <row r="748" spans="1:24" ht="12.75" x14ac:dyDescent="0.35">
      <c r="A748" s="71"/>
      <c r="C748" s="56"/>
      <c r="V748" s="1"/>
      <c r="W748" s="17"/>
      <c r="X748" s="17"/>
    </row>
    <row r="749" spans="1:24" ht="12.75" x14ac:dyDescent="0.35">
      <c r="A749" s="71"/>
      <c r="C749" s="56"/>
      <c r="V749" s="1"/>
      <c r="W749" s="17"/>
      <c r="X749" s="17"/>
    </row>
    <row r="750" spans="1:24" ht="12.75" x14ac:dyDescent="0.35">
      <c r="A750" s="71"/>
      <c r="C750" s="56"/>
      <c r="V750" s="1"/>
      <c r="W750" s="17"/>
      <c r="X750" s="17"/>
    </row>
    <row r="751" spans="1:24" ht="12.75" x14ac:dyDescent="0.35">
      <c r="A751" s="71"/>
      <c r="C751" s="56"/>
      <c r="V751" s="1"/>
      <c r="W751" s="17"/>
      <c r="X751" s="17"/>
    </row>
    <row r="752" spans="1:24" ht="12.75" x14ac:dyDescent="0.35">
      <c r="A752" s="71"/>
      <c r="C752" s="56"/>
      <c r="V752" s="1"/>
      <c r="W752" s="17"/>
      <c r="X752" s="17"/>
    </row>
    <row r="753" spans="1:24" ht="12.75" x14ac:dyDescent="0.35">
      <c r="A753" s="71"/>
      <c r="C753" s="56"/>
      <c r="V753" s="1"/>
      <c r="W753" s="17"/>
      <c r="X753" s="17"/>
    </row>
    <row r="754" spans="1:24" ht="12.75" x14ac:dyDescent="0.35">
      <c r="A754" s="71"/>
      <c r="C754" s="56"/>
      <c r="V754" s="1"/>
      <c r="W754" s="17"/>
      <c r="X754" s="17"/>
    </row>
    <row r="755" spans="1:24" ht="12.75" x14ac:dyDescent="0.35">
      <c r="A755" s="71"/>
      <c r="C755" s="56"/>
      <c r="V755" s="1"/>
      <c r="W755" s="17"/>
      <c r="X755" s="17"/>
    </row>
    <row r="756" spans="1:24" ht="12.75" x14ac:dyDescent="0.35">
      <c r="A756" s="71"/>
      <c r="C756" s="56"/>
      <c r="V756" s="1"/>
      <c r="W756" s="17"/>
      <c r="X756" s="17"/>
    </row>
    <row r="757" spans="1:24" ht="12.75" x14ac:dyDescent="0.35">
      <c r="A757" s="71"/>
      <c r="C757" s="56"/>
      <c r="V757" s="1"/>
      <c r="W757" s="17"/>
      <c r="X757" s="17"/>
    </row>
    <row r="758" spans="1:24" ht="12.75" x14ac:dyDescent="0.35">
      <c r="A758" s="71"/>
      <c r="C758" s="56"/>
      <c r="V758" s="1"/>
      <c r="W758" s="17"/>
      <c r="X758" s="17"/>
    </row>
    <row r="759" spans="1:24" ht="12.75" x14ac:dyDescent="0.35">
      <c r="A759" s="71"/>
      <c r="C759" s="56"/>
      <c r="V759" s="1"/>
      <c r="W759" s="17"/>
      <c r="X759" s="17"/>
    </row>
    <row r="760" spans="1:24" ht="12.75" x14ac:dyDescent="0.35">
      <c r="A760" s="71"/>
      <c r="C760" s="56"/>
      <c r="V760" s="1"/>
      <c r="W760" s="17"/>
      <c r="X760" s="17"/>
    </row>
    <row r="761" spans="1:24" ht="12.75" x14ac:dyDescent="0.35">
      <c r="A761" s="71"/>
      <c r="C761" s="56"/>
      <c r="V761" s="1"/>
      <c r="W761" s="17"/>
      <c r="X761" s="17"/>
    </row>
    <row r="762" spans="1:24" ht="12.75" x14ac:dyDescent="0.35">
      <c r="A762" s="71"/>
      <c r="C762" s="56"/>
      <c r="V762" s="1"/>
      <c r="W762" s="17"/>
      <c r="X762" s="17"/>
    </row>
    <row r="763" spans="1:24" ht="12.75" x14ac:dyDescent="0.35">
      <c r="A763" s="71"/>
      <c r="C763" s="56"/>
      <c r="V763" s="1"/>
      <c r="W763" s="17"/>
      <c r="X763" s="17"/>
    </row>
    <row r="764" spans="1:24" ht="12.75" x14ac:dyDescent="0.35">
      <c r="A764" s="71"/>
      <c r="C764" s="56"/>
      <c r="V764" s="1"/>
      <c r="W764" s="17"/>
      <c r="X764" s="17"/>
    </row>
    <row r="765" spans="1:24" ht="12.75" x14ac:dyDescent="0.35">
      <c r="A765" s="71"/>
      <c r="C765" s="56"/>
      <c r="V765" s="1"/>
      <c r="W765" s="17"/>
      <c r="X765" s="17"/>
    </row>
    <row r="766" spans="1:24" ht="12.75" x14ac:dyDescent="0.35">
      <c r="A766" s="71"/>
      <c r="C766" s="56"/>
      <c r="V766" s="1"/>
      <c r="W766" s="17"/>
      <c r="X766" s="17"/>
    </row>
    <row r="767" spans="1:24" ht="12.75" x14ac:dyDescent="0.35">
      <c r="A767" s="71"/>
      <c r="C767" s="56"/>
      <c r="V767" s="1"/>
      <c r="W767" s="17"/>
      <c r="X767" s="17"/>
    </row>
    <row r="768" spans="1:24" ht="12.75" x14ac:dyDescent="0.35">
      <c r="A768" s="71"/>
      <c r="C768" s="56"/>
      <c r="V768" s="1"/>
      <c r="W768" s="17"/>
      <c r="X768" s="17"/>
    </row>
    <row r="769" spans="1:24" ht="12.75" x14ac:dyDescent="0.35">
      <c r="A769" s="71"/>
      <c r="C769" s="56"/>
      <c r="V769" s="1"/>
      <c r="W769" s="17"/>
      <c r="X769" s="17"/>
    </row>
    <row r="770" spans="1:24" ht="12.75" x14ac:dyDescent="0.35">
      <c r="A770" s="71"/>
      <c r="C770" s="56"/>
      <c r="V770" s="1"/>
      <c r="W770" s="17"/>
      <c r="X770" s="17"/>
    </row>
    <row r="771" spans="1:24" ht="12.75" x14ac:dyDescent="0.35">
      <c r="A771" s="71"/>
      <c r="C771" s="56"/>
      <c r="V771" s="1"/>
      <c r="W771" s="17"/>
      <c r="X771" s="17"/>
    </row>
    <row r="772" spans="1:24" ht="12.75" x14ac:dyDescent="0.35">
      <c r="A772" s="71"/>
      <c r="C772" s="56"/>
      <c r="V772" s="1"/>
      <c r="W772" s="17"/>
      <c r="X772" s="17"/>
    </row>
    <row r="773" spans="1:24" ht="12.75" x14ac:dyDescent="0.35">
      <c r="A773" s="71"/>
      <c r="C773" s="56"/>
      <c r="V773" s="1"/>
      <c r="W773" s="17"/>
      <c r="X773" s="17"/>
    </row>
    <row r="774" spans="1:24" ht="12.75" x14ac:dyDescent="0.35">
      <c r="A774" s="71"/>
      <c r="C774" s="56"/>
      <c r="V774" s="1"/>
      <c r="W774" s="17"/>
      <c r="X774" s="17"/>
    </row>
    <row r="775" spans="1:24" ht="12.75" x14ac:dyDescent="0.35">
      <c r="A775" s="71"/>
      <c r="C775" s="56"/>
      <c r="V775" s="1"/>
      <c r="W775" s="17"/>
      <c r="X775" s="17"/>
    </row>
    <row r="776" spans="1:24" ht="12.75" x14ac:dyDescent="0.35">
      <c r="A776" s="71"/>
      <c r="C776" s="56"/>
      <c r="V776" s="1"/>
      <c r="W776" s="17"/>
      <c r="X776" s="17"/>
    </row>
    <row r="777" spans="1:24" ht="12.75" x14ac:dyDescent="0.35">
      <c r="A777" s="71"/>
      <c r="C777" s="56"/>
      <c r="V777" s="1"/>
      <c r="W777" s="17"/>
      <c r="X777" s="17"/>
    </row>
    <row r="778" spans="1:24" ht="12.75" x14ac:dyDescent="0.35">
      <c r="A778" s="71"/>
      <c r="C778" s="56"/>
      <c r="V778" s="1"/>
      <c r="W778" s="17"/>
      <c r="X778" s="17"/>
    </row>
    <row r="779" spans="1:24" ht="12.75" x14ac:dyDescent="0.35">
      <c r="A779" s="71"/>
      <c r="C779" s="56"/>
      <c r="V779" s="1"/>
      <c r="W779" s="17"/>
      <c r="X779" s="17"/>
    </row>
    <row r="780" spans="1:24" ht="12.75" x14ac:dyDescent="0.35">
      <c r="A780" s="71"/>
      <c r="C780" s="56"/>
      <c r="V780" s="1"/>
      <c r="W780" s="17"/>
      <c r="X780" s="17"/>
    </row>
    <row r="781" spans="1:24" ht="12.75" x14ac:dyDescent="0.35">
      <c r="A781" s="71"/>
      <c r="C781" s="56"/>
      <c r="V781" s="1"/>
      <c r="W781" s="17"/>
      <c r="X781" s="17"/>
    </row>
    <row r="782" spans="1:24" ht="12.75" x14ac:dyDescent="0.35">
      <c r="A782" s="71"/>
      <c r="C782" s="56"/>
      <c r="V782" s="1"/>
      <c r="W782" s="17"/>
      <c r="X782" s="17"/>
    </row>
    <row r="783" spans="1:24" ht="12.75" x14ac:dyDescent="0.35">
      <c r="A783" s="71"/>
      <c r="C783" s="56"/>
      <c r="V783" s="1"/>
      <c r="W783" s="17"/>
      <c r="X783" s="17"/>
    </row>
    <row r="784" spans="1:24" ht="12.75" x14ac:dyDescent="0.35">
      <c r="A784" s="71"/>
      <c r="C784" s="56"/>
      <c r="V784" s="1"/>
      <c r="W784" s="17"/>
      <c r="X784" s="17"/>
    </row>
    <row r="785" spans="1:24" ht="12.75" x14ac:dyDescent="0.35">
      <c r="A785" s="71"/>
      <c r="C785" s="56"/>
      <c r="V785" s="1"/>
      <c r="W785" s="17"/>
      <c r="X785" s="17"/>
    </row>
    <row r="786" spans="1:24" ht="12.75" x14ac:dyDescent="0.35">
      <c r="A786" s="71"/>
      <c r="C786" s="56"/>
      <c r="V786" s="1"/>
      <c r="W786" s="17"/>
      <c r="X786" s="17"/>
    </row>
    <row r="787" spans="1:24" ht="12.75" x14ac:dyDescent="0.35">
      <c r="A787" s="71"/>
      <c r="C787" s="56"/>
      <c r="V787" s="1"/>
      <c r="W787" s="17"/>
      <c r="X787" s="17"/>
    </row>
    <row r="788" spans="1:24" ht="12.75" x14ac:dyDescent="0.35">
      <c r="A788" s="71"/>
      <c r="C788" s="56"/>
      <c r="V788" s="1"/>
      <c r="W788" s="17"/>
      <c r="X788" s="17"/>
    </row>
    <row r="789" spans="1:24" ht="12.75" x14ac:dyDescent="0.35">
      <c r="A789" s="71"/>
      <c r="C789" s="56"/>
      <c r="V789" s="1"/>
      <c r="W789" s="17"/>
      <c r="X789" s="17"/>
    </row>
    <row r="790" spans="1:24" ht="12.75" x14ac:dyDescent="0.35">
      <c r="A790" s="71"/>
      <c r="C790" s="56"/>
      <c r="V790" s="1"/>
      <c r="W790" s="17"/>
      <c r="X790" s="17"/>
    </row>
    <row r="791" spans="1:24" ht="12.75" x14ac:dyDescent="0.35">
      <c r="A791" s="71"/>
      <c r="C791" s="56"/>
      <c r="V791" s="1"/>
      <c r="W791" s="17"/>
      <c r="X791" s="17"/>
    </row>
    <row r="792" spans="1:24" ht="12.75" x14ac:dyDescent="0.35">
      <c r="A792" s="71"/>
      <c r="C792" s="56"/>
      <c r="V792" s="1"/>
      <c r="W792" s="17"/>
      <c r="X792" s="17"/>
    </row>
    <row r="793" spans="1:24" ht="12.75" x14ac:dyDescent="0.35">
      <c r="A793" s="71"/>
      <c r="C793" s="56"/>
      <c r="V793" s="1"/>
      <c r="W793" s="17"/>
      <c r="X793" s="17"/>
    </row>
    <row r="794" spans="1:24" ht="12.75" x14ac:dyDescent="0.35">
      <c r="A794" s="71"/>
      <c r="C794" s="56"/>
      <c r="V794" s="1"/>
      <c r="W794" s="17"/>
      <c r="X794" s="17"/>
    </row>
    <row r="795" spans="1:24" ht="12.75" x14ac:dyDescent="0.35">
      <c r="A795" s="71"/>
      <c r="C795" s="56"/>
      <c r="V795" s="1"/>
      <c r="W795" s="17"/>
      <c r="X795" s="17"/>
    </row>
    <row r="796" spans="1:24" ht="12.75" x14ac:dyDescent="0.35">
      <c r="A796" s="71"/>
      <c r="C796" s="56"/>
      <c r="V796" s="1"/>
      <c r="W796" s="17"/>
      <c r="X796" s="17"/>
    </row>
    <row r="797" spans="1:24" ht="12.75" x14ac:dyDescent="0.35">
      <c r="A797" s="71"/>
      <c r="C797" s="56"/>
      <c r="V797" s="1"/>
      <c r="W797" s="17"/>
      <c r="X797" s="17"/>
    </row>
    <row r="798" spans="1:24" ht="12.75" x14ac:dyDescent="0.35">
      <c r="A798" s="71"/>
      <c r="C798" s="56"/>
      <c r="V798" s="1"/>
      <c r="W798" s="17"/>
      <c r="X798" s="17"/>
    </row>
    <row r="799" spans="1:24" ht="12.75" x14ac:dyDescent="0.35">
      <c r="A799" s="71"/>
      <c r="C799" s="56"/>
      <c r="V799" s="1"/>
      <c r="W799" s="17"/>
      <c r="X799" s="17"/>
    </row>
    <row r="800" spans="1:24" ht="12.75" x14ac:dyDescent="0.35">
      <c r="A800" s="71"/>
      <c r="C800" s="56"/>
      <c r="V800" s="1"/>
      <c r="W800" s="17"/>
      <c r="X800" s="17"/>
    </row>
    <row r="801" spans="1:24" ht="12.75" x14ac:dyDescent="0.35">
      <c r="A801" s="71"/>
      <c r="C801" s="56"/>
      <c r="V801" s="1"/>
      <c r="W801" s="17"/>
      <c r="X801" s="17"/>
    </row>
    <row r="802" spans="1:24" ht="12.75" x14ac:dyDescent="0.35">
      <c r="A802" s="71"/>
      <c r="C802" s="56"/>
      <c r="V802" s="1"/>
      <c r="W802" s="17"/>
      <c r="X802" s="17"/>
    </row>
    <row r="803" spans="1:24" ht="12.75" x14ac:dyDescent="0.35">
      <c r="A803" s="71"/>
      <c r="C803" s="56"/>
      <c r="V803" s="1"/>
      <c r="W803" s="17"/>
      <c r="X803" s="17"/>
    </row>
    <row r="804" spans="1:24" ht="12.75" x14ac:dyDescent="0.35">
      <c r="A804" s="71"/>
      <c r="C804" s="56"/>
      <c r="V804" s="1"/>
      <c r="W804" s="17"/>
      <c r="X804" s="17"/>
    </row>
    <row r="805" spans="1:24" ht="12.75" x14ac:dyDescent="0.35">
      <c r="A805" s="71"/>
      <c r="C805" s="56"/>
      <c r="V805" s="1"/>
      <c r="W805" s="17"/>
      <c r="X805" s="17"/>
    </row>
    <row r="806" spans="1:24" ht="12.75" x14ac:dyDescent="0.35">
      <c r="A806" s="71"/>
      <c r="C806" s="56"/>
      <c r="V806" s="1"/>
      <c r="W806" s="17"/>
      <c r="X806" s="17"/>
    </row>
    <row r="807" spans="1:24" ht="12.75" x14ac:dyDescent="0.35">
      <c r="A807" s="71"/>
      <c r="C807" s="56"/>
      <c r="V807" s="1"/>
      <c r="W807" s="17"/>
      <c r="X807" s="17"/>
    </row>
    <row r="808" spans="1:24" ht="12.75" x14ac:dyDescent="0.35">
      <c r="A808" s="71"/>
      <c r="C808" s="56"/>
      <c r="V808" s="1"/>
      <c r="W808" s="17"/>
      <c r="X808" s="17"/>
    </row>
    <row r="809" spans="1:24" ht="12.75" x14ac:dyDescent="0.35">
      <c r="A809" s="71"/>
      <c r="C809" s="56"/>
      <c r="V809" s="1"/>
      <c r="W809" s="17"/>
      <c r="X809" s="17"/>
    </row>
    <row r="810" spans="1:24" ht="12.75" x14ac:dyDescent="0.35">
      <c r="A810" s="71"/>
      <c r="C810" s="56"/>
      <c r="V810" s="1"/>
      <c r="W810" s="17"/>
      <c r="X810" s="17"/>
    </row>
    <row r="811" spans="1:24" ht="12.75" x14ac:dyDescent="0.35">
      <c r="A811" s="71"/>
      <c r="C811" s="56"/>
      <c r="V811" s="1"/>
      <c r="W811" s="17"/>
      <c r="X811" s="17"/>
    </row>
    <row r="812" spans="1:24" ht="12.75" x14ac:dyDescent="0.35">
      <c r="A812" s="71"/>
      <c r="C812" s="56"/>
      <c r="V812" s="1"/>
      <c r="W812" s="17"/>
      <c r="X812" s="17"/>
    </row>
    <row r="813" spans="1:24" ht="12.75" x14ac:dyDescent="0.35">
      <c r="A813" s="71"/>
      <c r="C813" s="56"/>
      <c r="V813" s="1"/>
      <c r="W813" s="17"/>
      <c r="X813" s="17"/>
    </row>
    <row r="814" spans="1:24" ht="12.75" x14ac:dyDescent="0.35">
      <c r="A814" s="71"/>
      <c r="C814" s="56"/>
      <c r="V814" s="1"/>
      <c r="W814" s="17"/>
      <c r="X814" s="17"/>
    </row>
    <row r="815" spans="1:24" ht="12.75" x14ac:dyDescent="0.35">
      <c r="A815" s="71"/>
      <c r="C815" s="56"/>
      <c r="V815" s="1"/>
      <c r="W815" s="17"/>
      <c r="X815" s="17"/>
    </row>
    <row r="816" spans="1:24" ht="12.75" x14ac:dyDescent="0.35">
      <c r="A816" s="71"/>
      <c r="C816" s="56"/>
      <c r="V816" s="1"/>
      <c r="W816" s="17"/>
      <c r="X816" s="17"/>
    </row>
    <row r="817" spans="1:24" ht="12.75" x14ac:dyDescent="0.35">
      <c r="A817" s="71"/>
      <c r="C817" s="56"/>
      <c r="V817" s="1"/>
      <c r="W817" s="17"/>
      <c r="X817" s="17"/>
    </row>
    <row r="818" spans="1:24" ht="12.75" x14ac:dyDescent="0.35">
      <c r="A818" s="71"/>
      <c r="C818" s="56"/>
      <c r="V818" s="1"/>
      <c r="W818" s="17"/>
      <c r="X818" s="17"/>
    </row>
    <row r="819" spans="1:24" ht="12.75" x14ac:dyDescent="0.35">
      <c r="A819" s="71"/>
      <c r="C819" s="56"/>
      <c r="V819" s="1"/>
      <c r="W819" s="17"/>
      <c r="X819" s="17"/>
    </row>
    <row r="820" spans="1:24" ht="12.75" x14ac:dyDescent="0.35">
      <c r="A820" s="71"/>
      <c r="C820" s="56"/>
      <c r="V820" s="1"/>
      <c r="W820" s="17"/>
      <c r="X820" s="17"/>
    </row>
    <row r="821" spans="1:24" ht="12.75" x14ac:dyDescent="0.35">
      <c r="A821" s="71"/>
      <c r="C821" s="56"/>
      <c r="V821" s="1"/>
      <c r="W821" s="17"/>
      <c r="X821" s="17"/>
    </row>
    <row r="822" spans="1:24" ht="12.75" x14ac:dyDescent="0.35">
      <c r="A822" s="71"/>
      <c r="C822" s="56"/>
      <c r="V822" s="1"/>
      <c r="W822" s="17"/>
      <c r="X822" s="17"/>
    </row>
    <row r="823" spans="1:24" ht="12.75" x14ac:dyDescent="0.35">
      <c r="A823" s="71"/>
      <c r="C823" s="56"/>
      <c r="V823" s="1"/>
      <c r="W823" s="17"/>
      <c r="X823" s="17"/>
    </row>
    <row r="824" spans="1:24" ht="12.75" x14ac:dyDescent="0.35">
      <c r="A824" s="71"/>
      <c r="C824" s="56"/>
      <c r="V824" s="1"/>
      <c r="W824" s="17"/>
      <c r="X824" s="17"/>
    </row>
    <row r="825" spans="1:24" ht="12.75" x14ac:dyDescent="0.35">
      <c r="A825" s="71"/>
      <c r="C825" s="56"/>
      <c r="V825" s="1"/>
      <c r="W825" s="17"/>
      <c r="X825" s="17"/>
    </row>
    <row r="826" spans="1:24" ht="12.75" x14ac:dyDescent="0.35">
      <c r="A826" s="71"/>
      <c r="C826" s="56"/>
      <c r="V826" s="1"/>
      <c r="W826" s="17"/>
      <c r="X826" s="17"/>
    </row>
    <row r="827" spans="1:24" ht="12.75" x14ac:dyDescent="0.35">
      <c r="A827" s="71"/>
      <c r="C827" s="56"/>
      <c r="V827" s="1"/>
      <c r="W827" s="17"/>
      <c r="X827" s="17"/>
    </row>
    <row r="828" spans="1:24" ht="12.75" x14ac:dyDescent="0.35">
      <c r="A828" s="71"/>
      <c r="C828" s="56"/>
      <c r="V828" s="1"/>
      <c r="W828" s="17"/>
      <c r="X828" s="17"/>
    </row>
    <row r="829" spans="1:24" ht="12.75" x14ac:dyDescent="0.35">
      <c r="A829" s="71"/>
      <c r="C829" s="56"/>
      <c r="V829" s="1"/>
      <c r="W829" s="17"/>
      <c r="X829" s="17"/>
    </row>
    <row r="830" spans="1:24" ht="12.75" x14ac:dyDescent="0.35">
      <c r="A830" s="71"/>
      <c r="C830" s="56"/>
      <c r="V830" s="1"/>
      <c r="W830" s="17"/>
      <c r="X830" s="17"/>
    </row>
    <row r="831" spans="1:24" ht="12.75" x14ac:dyDescent="0.35">
      <c r="A831" s="71"/>
      <c r="C831" s="56"/>
      <c r="V831" s="1"/>
      <c r="W831" s="17"/>
      <c r="X831" s="17"/>
    </row>
    <row r="832" spans="1:24" ht="12.75" x14ac:dyDescent="0.35">
      <c r="A832" s="71"/>
      <c r="C832" s="56"/>
      <c r="V832" s="1"/>
      <c r="W832" s="17"/>
      <c r="X832" s="17"/>
    </row>
    <row r="833" spans="1:24" ht="12.75" x14ac:dyDescent="0.35">
      <c r="A833" s="71"/>
      <c r="C833" s="56"/>
      <c r="V833" s="1"/>
      <c r="W833" s="17"/>
      <c r="X833" s="17"/>
    </row>
    <row r="834" spans="1:24" ht="12.75" x14ac:dyDescent="0.35">
      <c r="A834" s="71"/>
      <c r="C834" s="56"/>
      <c r="V834" s="1"/>
      <c r="W834" s="17"/>
      <c r="X834" s="17"/>
    </row>
    <row r="835" spans="1:24" ht="12.75" x14ac:dyDescent="0.35">
      <c r="A835" s="71"/>
      <c r="C835" s="56"/>
      <c r="V835" s="1"/>
      <c r="W835" s="17"/>
      <c r="X835" s="17"/>
    </row>
    <row r="836" spans="1:24" ht="12.75" x14ac:dyDescent="0.35">
      <c r="A836" s="71"/>
      <c r="C836" s="56"/>
      <c r="V836" s="1"/>
      <c r="W836" s="17"/>
      <c r="X836" s="17"/>
    </row>
    <row r="837" spans="1:24" ht="12.75" x14ac:dyDescent="0.35">
      <c r="A837" s="71"/>
      <c r="C837" s="56"/>
      <c r="V837" s="1"/>
      <c r="W837" s="17"/>
      <c r="X837" s="17"/>
    </row>
    <row r="838" spans="1:24" ht="12.75" x14ac:dyDescent="0.35">
      <c r="A838" s="71"/>
      <c r="C838" s="56"/>
      <c r="V838" s="1"/>
      <c r="W838" s="17"/>
      <c r="X838" s="17"/>
    </row>
    <row r="839" spans="1:24" ht="12.75" x14ac:dyDescent="0.35">
      <c r="A839" s="71"/>
      <c r="C839" s="56"/>
      <c r="V839" s="1"/>
      <c r="W839" s="17"/>
      <c r="X839" s="17"/>
    </row>
    <row r="840" spans="1:24" ht="12.75" x14ac:dyDescent="0.35">
      <c r="A840" s="71"/>
      <c r="C840" s="56"/>
      <c r="V840" s="1"/>
      <c r="W840" s="17"/>
      <c r="X840" s="17"/>
    </row>
    <row r="841" spans="1:24" ht="12.75" x14ac:dyDescent="0.35">
      <c r="A841" s="71"/>
      <c r="C841" s="56"/>
      <c r="V841" s="1"/>
      <c r="W841" s="17"/>
      <c r="X841" s="17"/>
    </row>
    <row r="842" spans="1:24" ht="12.75" x14ac:dyDescent="0.35">
      <c r="A842" s="71"/>
      <c r="C842" s="56"/>
      <c r="V842" s="1"/>
      <c r="W842" s="17"/>
      <c r="X842" s="17"/>
    </row>
    <row r="843" spans="1:24" ht="12.75" x14ac:dyDescent="0.35">
      <c r="A843" s="71"/>
      <c r="C843" s="56"/>
      <c r="V843" s="1"/>
      <c r="W843" s="17"/>
      <c r="X843" s="17"/>
    </row>
    <row r="844" spans="1:24" ht="12.75" x14ac:dyDescent="0.35">
      <c r="A844" s="71"/>
      <c r="C844" s="56"/>
      <c r="V844" s="1"/>
      <c r="W844" s="17"/>
      <c r="X844" s="17"/>
    </row>
    <row r="845" spans="1:24" ht="12.75" x14ac:dyDescent="0.35">
      <c r="A845" s="71"/>
      <c r="C845" s="56"/>
      <c r="V845" s="1"/>
      <c r="W845" s="17"/>
      <c r="X845" s="17"/>
    </row>
    <row r="846" spans="1:24" ht="12.75" x14ac:dyDescent="0.35">
      <c r="A846" s="71"/>
      <c r="C846" s="56"/>
      <c r="V846" s="1"/>
      <c r="W846" s="17"/>
      <c r="X846" s="17"/>
    </row>
    <row r="847" spans="1:24" ht="12.75" x14ac:dyDescent="0.35">
      <c r="A847" s="71"/>
      <c r="C847" s="56"/>
      <c r="V847" s="1"/>
      <c r="W847" s="17"/>
      <c r="X847" s="17"/>
    </row>
    <row r="848" spans="1:24" ht="12.75" x14ac:dyDescent="0.35">
      <c r="A848" s="71"/>
      <c r="C848" s="56"/>
      <c r="V848" s="1"/>
      <c r="W848" s="17"/>
      <c r="X848" s="17"/>
    </row>
    <row r="849" spans="1:24" ht="12.75" x14ac:dyDescent="0.35">
      <c r="A849" s="71"/>
      <c r="C849" s="56"/>
      <c r="V849" s="1"/>
      <c r="W849" s="17"/>
      <c r="X849" s="17"/>
    </row>
    <row r="850" spans="1:24" ht="12.75" x14ac:dyDescent="0.35">
      <c r="A850" s="71"/>
      <c r="C850" s="56"/>
      <c r="V850" s="1"/>
      <c r="W850" s="17"/>
      <c r="X850" s="17"/>
    </row>
    <row r="851" spans="1:24" ht="12.75" x14ac:dyDescent="0.35">
      <c r="A851" s="71"/>
      <c r="C851" s="56"/>
      <c r="V851" s="1"/>
      <c r="W851" s="17"/>
      <c r="X851" s="17"/>
    </row>
    <row r="852" spans="1:24" ht="12.75" x14ac:dyDescent="0.35">
      <c r="A852" s="71"/>
      <c r="C852" s="56"/>
      <c r="V852" s="1"/>
      <c r="W852" s="17"/>
      <c r="X852" s="17"/>
    </row>
    <row r="853" spans="1:24" ht="12.75" x14ac:dyDescent="0.35">
      <c r="A853" s="71"/>
      <c r="C853" s="56"/>
      <c r="V853" s="1"/>
      <c r="W853" s="17"/>
      <c r="X853" s="17"/>
    </row>
    <row r="854" spans="1:24" ht="12.75" x14ac:dyDescent="0.35">
      <c r="A854" s="71"/>
      <c r="C854" s="56"/>
      <c r="V854" s="1"/>
      <c r="W854" s="17"/>
      <c r="X854" s="17"/>
    </row>
    <row r="855" spans="1:24" ht="12.75" x14ac:dyDescent="0.35">
      <c r="A855" s="71"/>
      <c r="C855" s="56"/>
      <c r="V855" s="1"/>
      <c r="W855" s="17"/>
      <c r="X855" s="17"/>
    </row>
    <row r="856" spans="1:24" ht="12.75" x14ac:dyDescent="0.35">
      <c r="A856" s="71"/>
      <c r="C856" s="56"/>
      <c r="V856" s="1"/>
      <c r="W856" s="17"/>
      <c r="X856" s="17"/>
    </row>
    <row r="857" spans="1:24" ht="12.75" x14ac:dyDescent="0.35">
      <c r="A857" s="71"/>
      <c r="C857" s="56"/>
      <c r="V857" s="1"/>
      <c r="W857" s="17"/>
      <c r="X857" s="17"/>
    </row>
    <row r="858" spans="1:24" ht="12.75" x14ac:dyDescent="0.35">
      <c r="A858" s="71"/>
      <c r="C858" s="56"/>
      <c r="V858" s="1"/>
      <c r="W858" s="17"/>
      <c r="X858" s="17"/>
    </row>
    <row r="859" spans="1:24" ht="12.75" x14ac:dyDescent="0.35">
      <c r="A859" s="71"/>
      <c r="C859" s="56"/>
      <c r="V859" s="1"/>
      <c r="W859" s="17"/>
      <c r="X859" s="17"/>
    </row>
    <row r="860" spans="1:24" ht="12.75" x14ac:dyDescent="0.35">
      <c r="A860" s="71"/>
      <c r="C860" s="56"/>
      <c r="V860" s="1"/>
      <c r="W860" s="17"/>
      <c r="X860" s="17"/>
    </row>
    <row r="861" spans="1:24" ht="12.75" x14ac:dyDescent="0.35">
      <c r="A861" s="71"/>
      <c r="C861" s="56"/>
      <c r="V861" s="1"/>
      <c r="W861" s="17"/>
      <c r="X861" s="17"/>
    </row>
    <row r="862" spans="1:24" ht="12.75" x14ac:dyDescent="0.35">
      <c r="A862" s="71"/>
      <c r="C862" s="56"/>
      <c r="V862" s="1"/>
      <c r="W862" s="17"/>
      <c r="X862" s="17"/>
    </row>
    <row r="863" spans="1:24" ht="12.75" x14ac:dyDescent="0.35">
      <c r="A863" s="71"/>
      <c r="C863" s="56"/>
      <c r="V863" s="1"/>
      <c r="W863" s="17"/>
      <c r="X863" s="17"/>
    </row>
    <row r="864" spans="1:24" ht="12.75" x14ac:dyDescent="0.35">
      <c r="A864" s="71"/>
      <c r="C864" s="56"/>
      <c r="V864" s="1"/>
      <c r="W864" s="17"/>
      <c r="X864" s="17"/>
    </row>
    <row r="865" spans="1:24" ht="12.75" x14ac:dyDescent="0.35">
      <c r="A865" s="71"/>
      <c r="C865" s="56"/>
      <c r="V865" s="1"/>
      <c r="W865" s="17"/>
      <c r="X865" s="17"/>
    </row>
    <row r="866" spans="1:24" ht="12.75" x14ac:dyDescent="0.35">
      <c r="A866" s="71"/>
      <c r="C866" s="56"/>
      <c r="V866" s="1"/>
      <c r="W866" s="17"/>
      <c r="X866" s="17"/>
    </row>
    <row r="867" spans="1:24" ht="12.75" x14ac:dyDescent="0.35">
      <c r="A867" s="71"/>
      <c r="C867" s="56"/>
      <c r="V867" s="1"/>
      <c r="W867" s="17"/>
      <c r="X867" s="17"/>
    </row>
    <row r="868" spans="1:24" ht="12.75" x14ac:dyDescent="0.35">
      <c r="A868" s="71"/>
      <c r="C868" s="56"/>
      <c r="V868" s="1"/>
      <c r="W868" s="17"/>
      <c r="X868" s="17"/>
    </row>
    <row r="869" spans="1:24" ht="12.75" x14ac:dyDescent="0.35">
      <c r="A869" s="71"/>
      <c r="C869" s="56"/>
      <c r="V869" s="1"/>
      <c r="W869" s="17"/>
      <c r="X869" s="17"/>
    </row>
    <row r="870" spans="1:24" ht="12.75" x14ac:dyDescent="0.35">
      <c r="A870" s="71"/>
      <c r="C870" s="56"/>
      <c r="V870" s="1"/>
      <c r="W870" s="17"/>
      <c r="X870" s="17"/>
    </row>
    <row r="871" spans="1:24" ht="12.75" x14ac:dyDescent="0.35">
      <c r="A871" s="71"/>
      <c r="C871" s="56"/>
      <c r="V871" s="1"/>
      <c r="W871" s="17"/>
      <c r="X871" s="17"/>
    </row>
    <row r="872" spans="1:24" ht="12.75" x14ac:dyDescent="0.35">
      <c r="A872" s="71"/>
      <c r="C872" s="56"/>
      <c r="V872" s="1"/>
      <c r="W872" s="17"/>
      <c r="X872" s="17"/>
    </row>
    <row r="873" spans="1:24" ht="12.75" x14ac:dyDescent="0.35">
      <c r="A873" s="71"/>
      <c r="C873" s="56"/>
      <c r="V873" s="1"/>
      <c r="W873" s="17"/>
      <c r="X873" s="17"/>
    </row>
    <row r="874" spans="1:24" ht="12.75" x14ac:dyDescent="0.35">
      <c r="A874" s="71"/>
      <c r="C874" s="56"/>
      <c r="V874" s="1"/>
      <c r="W874" s="17"/>
      <c r="X874" s="17"/>
    </row>
    <row r="875" spans="1:24" ht="12.75" x14ac:dyDescent="0.35">
      <c r="A875" s="71"/>
      <c r="C875" s="56"/>
      <c r="V875" s="1"/>
      <c r="W875" s="17"/>
      <c r="X875" s="17"/>
    </row>
    <row r="876" spans="1:24" ht="12.75" x14ac:dyDescent="0.35">
      <c r="A876" s="71"/>
      <c r="C876" s="56"/>
      <c r="V876" s="1"/>
      <c r="W876" s="17"/>
      <c r="X876" s="17"/>
    </row>
    <row r="877" spans="1:24" ht="12.75" x14ac:dyDescent="0.35">
      <c r="A877" s="71"/>
      <c r="C877" s="56"/>
      <c r="V877" s="1"/>
      <c r="W877" s="17"/>
      <c r="X877" s="17"/>
    </row>
    <row r="878" spans="1:24" ht="12.75" x14ac:dyDescent="0.35">
      <c r="A878" s="71"/>
      <c r="C878" s="56"/>
      <c r="V878" s="1"/>
      <c r="W878" s="17"/>
      <c r="X878" s="17"/>
    </row>
    <row r="879" spans="1:24" ht="12.75" x14ac:dyDescent="0.35">
      <c r="A879" s="71"/>
      <c r="C879" s="56"/>
      <c r="V879" s="1"/>
      <c r="W879" s="17"/>
      <c r="X879" s="17"/>
    </row>
    <row r="880" spans="1:24" ht="12.75" x14ac:dyDescent="0.35">
      <c r="A880" s="71"/>
      <c r="C880" s="56"/>
      <c r="V880" s="1"/>
      <c r="W880" s="17"/>
      <c r="X880" s="17"/>
    </row>
    <row r="881" spans="1:24" ht="12.75" x14ac:dyDescent="0.35">
      <c r="A881" s="71"/>
      <c r="C881" s="56"/>
      <c r="V881" s="1"/>
      <c r="W881" s="17"/>
      <c r="X881" s="17"/>
    </row>
    <row r="882" spans="1:24" ht="12.75" x14ac:dyDescent="0.35">
      <c r="A882" s="71"/>
      <c r="C882" s="56"/>
      <c r="V882" s="1"/>
      <c r="W882" s="17"/>
      <c r="X882" s="17"/>
    </row>
    <row r="883" spans="1:24" ht="12.75" x14ac:dyDescent="0.35">
      <c r="A883" s="71"/>
      <c r="C883" s="56"/>
      <c r="V883" s="1"/>
      <c r="W883" s="17"/>
      <c r="X883" s="17"/>
    </row>
    <row r="884" spans="1:24" ht="12.75" x14ac:dyDescent="0.35">
      <c r="A884" s="71"/>
      <c r="C884" s="56"/>
      <c r="V884" s="1"/>
      <c r="W884" s="17"/>
      <c r="X884" s="17"/>
    </row>
    <row r="885" spans="1:24" ht="12.75" x14ac:dyDescent="0.35">
      <c r="A885" s="71"/>
      <c r="C885" s="56"/>
      <c r="V885" s="1"/>
      <c r="W885" s="17"/>
      <c r="X885" s="17"/>
    </row>
    <row r="886" spans="1:24" ht="12.75" x14ac:dyDescent="0.35">
      <c r="A886" s="71"/>
      <c r="C886" s="56"/>
      <c r="V886" s="1"/>
      <c r="W886" s="17"/>
      <c r="X886" s="17"/>
    </row>
    <row r="887" spans="1:24" ht="12.75" x14ac:dyDescent="0.35">
      <c r="A887" s="71"/>
      <c r="C887" s="56"/>
      <c r="V887" s="1"/>
      <c r="W887" s="17"/>
      <c r="X887" s="17"/>
    </row>
    <row r="888" spans="1:24" ht="12.75" x14ac:dyDescent="0.35">
      <c r="A888" s="71"/>
      <c r="C888" s="56"/>
      <c r="V888" s="1"/>
      <c r="W888" s="17"/>
      <c r="X888" s="17"/>
    </row>
    <row r="889" spans="1:24" ht="12.75" x14ac:dyDescent="0.35">
      <c r="A889" s="71"/>
      <c r="C889" s="56"/>
      <c r="V889" s="1"/>
      <c r="W889" s="17"/>
      <c r="X889" s="17"/>
    </row>
    <row r="890" spans="1:24" ht="12.75" x14ac:dyDescent="0.35">
      <c r="A890" s="71"/>
      <c r="C890" s="56"/>
      <c r="V890" s="1"/>
      <c r="W890" s="17"/>
      <c r="X890" s="17"/>
    </row>
    <row r="891" spans="1:24" ht="12.75" x14ac:dyDescent="0.35">
      <c r="A891" s="71"/>
      <c r="C891" s="56"/>
      <c r="V891" s="1"/>
      <c r="W891" s="17"/>
      <c r="X891" s="17"/>
    </row>
    <row r="892" spans="1:24" ht="12.75" x14ac:dyDescent="0.35">
      <c r="A892" s="71"/>
      <c r="C892" s="56"/>
      <c r="V892" s="1"/>
      <c r="W892" s="17"/>
      <c r="X892" s="17"/>
    </row>
    <row r="893" spans="1:24" ht="12.75" x14ac:dyDescent="0.35">
      <c r="A893" s="71"/>
      <c r="C893" s="56"/>
      <c r="V893" s="1"/>
      <c r="W893" s="17"/>
      <c r="X893" s="17"/>
    </row>
    <row r="894" spans="1:24" ht="12.75" x14ac:dyDescent="0.35">
      <c r="A894" s="71"/>
      <c r="C894" s="56"/>
      <c r="V894" s="1"/>
      <c r="W894" s="17"/>
      <c r="X894" s="17"/>
    </row>
    <row r="895" spans="1:24" ht="12.75" x14ac:dyDescent="0.35">
      <c r="A895" s="71"/>
      <c r="C895" s="56"/>
      <c r="V895" s="1"/>
      <c r="W895" s="17"/>
      <c r="X895" s="17"/>
    </row>
    <row r="896" spans="1:24" ht="12.75" x14ac:dyDescent="0.35">
      <c r="A896" s="71"/>
      <c r="C896" s="56"/>
      <c r="V896" s="1"/>
      <c r="W896" s="17"/>
      <c r="X896" s="17"/>
    </row>
    <row r="897" spans="1:24" ht="12.75" x14ac:dyDescent="0.35">
      <c r="A897" s="71"/>
      <c r="C897" s="56"/>
      <c r="V897" s="1"/>
      <c r="W897" s="17"/>
      <c r="X897" s="17"/>
    </row>
    <row r="898" spans="1:24" ht="12.75" x14ac:dyDescent="0.35">
      <c r="A898" s="71"/>
      <c r="C898" s="56"/>
      <c r="V898" s="1"/>
      <c r="W898" s="17"/>
      <c r="X898" s="17"/>
    </row>
    <row r="899" spans="1:24" ht="12.75" x14ac:dyDescent="0.35">
      <c r="A899" s="71"/>
      <c r="C899" s="56"/>
      <c r="V899" s="1"/>
      <c r="W899" s="17"/>
      <c r="X899" s="17"/>
    </row>
    <row r="900" spans="1:24" ht="12.75" x14ac:dyDescent="0.35">
      <c r="A900" s="71"/>
      <c r="C900" s="56"/>
      <c r="V900" s="1"/>
      <c r="W900" s="17"/>
      <c r="X900" s="17"/>
    </row>
    <row r="901" spans="1:24" ht="12.75" x14ac:dyDescent="0.35">
      <c r="A901" s="71"/>
      <c r="C901" s="56"/>
      <c r="V901" s="1"/>
      <c r="W901" s="17"/>
      <c r="X901" s="17"/>
    </row>
    <row r="902" spans="1:24" ht="12.75" x14ac:dyDescent="0.35">
      <c r="A902" s="71"/>
      <c r="C902" s="56"/>
      <c r="V902" s="1"/>
      <c r="W902" s="17"/>
      <c r="X902" s="17"/>
    </row>
    <row r="903" spans="1:24" ht="12.75" x14ac:dyDescent="0.35">
      <c r="A903" s="71"/>
      <c r="C903" s="56"/>
      <c r="V903" s="1"/>
      <c r="W903" s="17"/>
      <c r="X903" s="17"/>
    </row>
    <row r="904" spans="1:24" ht="12.75" x14ac:dyDescent="0.35">
      <c r="A904" s="71"/>
      <c r="C904" s="56"/>
      <c r="V904" s="1"/>
      <c r="W904" s="17"/>
      <c r="X904" s="17"/>
    </row>
    <row r="905" spans="1:24" ht="12.75" x14ac:dyDescent="0.35">
      <c r="A905" s="71"/>
      <c r="C905" s="56"/>
      <c r="V905" s="1"/>
      <c r="W905" s="17"/>
      <c r="X905" s="17"/>
    </row>
    <row r="906" spans="1:24" ht="12.75" x14ac:dyDescent="0.35">
      <c r="A906" s="71"/>
      <c r="C906" s="56"/>
      <c r="V906" s="1"/>
      <c r="W906" s="17"/>
      <c r="X906" s="17"/>
    </row>
    <row r="907" spans="1:24" ht="12.75" x14ac:dyDescent="0.35">
      <c r="A907" s="71"/>
      <c r="C907" s="56"/>
      <c r="V907" s="1"/>
      <c r="W907" s="17"/>
      <c r="X907" s="17"/>
    </row>
    <row r="908" spans="1:24" ht="12.75" x14ac:dyDescent="0.35">
      <c r="A908" s="71"/>
      <c r="C908" s="56"/>
      <c r="V908" s="1"/>
      <c r="W908" s="17"/>
      <c r="X908" s="17"/>
    </row>
    <row r="909" spans="1:24" ht="12.75" x14ac:dyDescent="0.35">
      <c r="A909" s="71"/>
      <c r="C909" s="56"/>
      <c r="V909" s="1"/>
      <c r="W909" s="17"/>
      <c r="X909" s="17"/>
    </row>
    <row r="910" spans="1:24" ht="12.75" x14ac:dyDescent="0.35">
      <c r="A910" s="71"/>
      <c r="C910" s="56"/>
      <c r="V910" s="1"/>
      <c r="W910" s="17"/>
      <c r="X910" s="17"/>
    </row>
    <row r="911" spans="1:24" ht="12.75" x14ac:dyDescent="0.35">
      <c r="A911" s="71"/>
      <c r="C911" s="56"/>
      <c r="V911" s="1"/>
      <c r="W911" s="17"/>
      <c r="X911" s="17"/>
    </row>
    <row r="912" spans="1:24" ht="12.75" x14ac:dyDescent="0.35">
      <c r="A912" s="71"/>
      <c r="C912" s="56"/>
      <c r="V912" s="1"/>
      <c r="W912" s="17"/>
      <c r="X912" s="17"/>
    </row>
    <row r="913" spans="1:24" ht="12.75" x14ac:dyDescent="0.35">
      <c r="A913" s="71"/>
      <c r="C913" s="56"/>
      <c r="V913" s="1"/>
      <c r="W913" s="17"/>
      <c r="X913" s="17"/>
    </row>
    <row r="914" spans="1:24" ht="12.75" x14ac:dyDescent="0.35">
      <c r="A914" s="71"/>
      <c r="C914" s="56"/>
      <c r="V914" s="1"/>
      <c r="W914" s="17"/>
      <c r="X914" s="17"/>
    </row>
    <row r="915" spans="1:24" ht="12.75" x14ac:dyDescent="0.35">
      <c r="A915" s="71"/>
      <c r="C915" s="56"/>
      <c r="V915" s="1"/>
      <c r="W915" s="17"/>
      <c r="X915" s="17"/>
    </row>
    <row r="916" spans="1:24" ht="12.75" x14ac:dyDescent="0.35">
      <c r="A916" s="71"/>
      <c r="C916" s="56"/>
      <c r="V916" s="1"/>
      <c r="W916" s="17"/>
      <c r="X916" s="17"/>
    </row>
    <row r="917" spans="1:24" ht="12.75" x14ac:dyDescent="0.35">
      <c r="A917" s="71"/>
      <c r="C917" s="56"/>
      <c r="V917" s="1"/>
      <c r="W917" s="17"/>
      <c r="X917" s="17"/>
    </row>
    <row r="918" spans="1:24" ht="12.75" x14ac:dyDescent="0.35">
      <c r="A918" s="71"/>
      <c r="C918" s="56"/>
      <c r="V918" s="1"/>
      <c r="W918" s="17"/>
      <c r="X918" s="17"/>
    </row>
    <row r="919" spans="1:24" ht="12.75" x14ac:dyDescent="0.35">
      <c r="A919" s="71"/>
      <c r="C919" s="56"/>
      <c r="V919" s="1"/>
      <c r="W919" s="17"/>
      <c r="X919" s="17"/>
    </row>
    <row r="920" spans="1:24" ht="12.75" x14ac:dyDescent="0.35">
      <c r="A920" s="71"/>
      <c r="C920" s="56"/>
      <c r="V920" s="1"/>
      <c r="W920" s="17"/>
      <c r="X920" s="17"/>
    </row>
    <row r="921" spans="1:24" ht="12.75" x14ac:dyDescent="0.35">
      <c r="A921" s="71"/>
      <c r="C921" s="56"/>
      <c r="V921" s="1"/>
      <c r="W921" s="17"/>
      <c r="X921" s="17"/>
    </row>
    <row r="922" spans="1:24" ht="12.75" x14ac:dyDescent="0.35">
      <c r="A922" s="71"/>
      <c r="C922" s="56"/>
      <c r="V922" s="1"/>
      <c r="W922" s="17"/>
      <c r="X922" s="17"/>
    </row>
    <row r="923" spans="1:24" ht="12.75" x14ac:dyDescent="0.35">
      <c r="A923" s="71"/>
      <c r="C923" s="56"/>
      <c r="V923" s="1"/>
      <c r="W923" s="17"/>
      <c r="X923" s="17"/>
    </row>
    <row r="924" spans="1:24" ht="12.75" x14ac:dyDescent="0.35">
      <c r="A924" s="71"/>
      <c r="C924" s="56"/>
      <c r="V924" s="1"/>
      <c r="W924" s="17"/>
      <c r="X924" s="17"/>
    </row>
    <row r="925" spans="1:24" ht="12.75" x14ac:dyDescent="0.35">
      <c r="A925" s="71"/>
      <c r="C925" s="56"/>
      <c r="V925" s="1"/>
      <c r="W925" s="17"/>
      <c r="X925" s="17"/>
    </row>
    <row r="926" spans="1:24" ht="12.75" x14ac:dyDescent="0.35">
      <c r="A926" s="71"/>
      <c r="C926" s="56"/>
      <c r="V926" s="1"/>
      <c r="W926" s="17"/>
      <c r="X926" s="17"/>
    </row>
    <row r="927" spans="1:24" ht="12.75" x14ac:dyDescent="0.35">
      <c r="A927" s="71"/>
      <c r="C927" s="56"/>
      <c r="V927" s="1"/>
      <c r="W927" s="17"/>
      <c r="X927" s="17"/>
    </row>
    <row r="928" spans="1:24" ht="12.75" x14ac:dyDescent="0.35">
      <c r="A928" s="71"/>
      <c r="C928" s="56"/>
      <c r="V928" s="1"/>
      <c r="W928" s="17"/>
      <c r="X928" s="17"/>
    </row>
    <row r="929" spans="1:24" ht="12.75" x14ac:dyDescent="0.35">
      <c r="A929" s="71"/>
      <c r="C929" s="56"/>
      <c r="V929" s="1"/>
      <c r="W929" s="17"/>
      <c r="X929" s="17"/>
    </row>
    <row r="930" spans="1:24" ht="12.75" x14ac:dyDescent="0.35">
      <c r="A930" s="71"/>
      <c r="C930" s="56"/>
      <c r="V930" s="1"/>
      <c r="W930" s="17"/>
      <c r="X930" s="17"/>
    </row>
    <row r="931" spans="1:24" ht="12.75" x14ac:dyDescent="0.35">
      <c r="A931" s="71"/>
      <c r="C931" s="56"/>
      <c r="V931" s="1"/>
      <c r="W931" s="17"/>
      <c r="X931" s="17"/>
    </row>
    <row r="932" spans="1:24" ht="12.75" x14ac:dyDescent="0.35">
      <c r="A932" s="71"/>
      <c r="C932" s="56"/>
      <c r="V932" s="1"/>
      <c r="W932" s="17"/>
      <c r="X932" s="17"/>
    </row>
    <row r="933" spans="1:24" ht="12.75" x14ac:dyDescent="0.35">
      <c r="A933" s="71"/>
      <c r="C933" s="56"/>
      <c r="V933" s="1"/>
      <c r="W933" s="17"/>
      <c r="X933" s="17"/>
    </row>
    <row r="934" spans="1:24" ht="12.75" x14ac:dyDescent="0.35">
      <c r="A934" s="71"/>
      <c r="C934" s="56"/>
      <c r="V934" s="1"/>
      <c r="W934" s="17"/>
      <c r="X934" s="17"/>
    </row>
    <row r="935" spans="1:24" ht="12.75" x14ac:dyDescent="0.35">
      <c r="A935" s="71"/>
      <c r="C935" s="56"/>
      <c r="V935" s="1"/>
      <c r="W935" s="17"/>
      <c r="X935" s="17"/>
    </row>
    <row r="936" spans="1:24" ht="12.75" x14ac:dyDescent="0.35">
      <c r="A936" s="71"/>
      <c r="C936" s="56"/>
      <c r="V936" s="1"/>
      <c r="W936" s="17"/>
      <c r="X936" s="17"/>
    </row>
    <row r="937" spans="1:24" ht="12.75" x14ac:dyDescent="0.35">
      <c r="A937" s="71"/>
      <c r="C937" s="56"/>
      <c r="V937" s="1"/>
      <c r="W937" s="17"/>
      <c r="X937" s="17"/>
    </row>
    <row r="938" spans="1:24" ht="12.75" x14ac:dyDescent="0.35">
      <c r="A938" s="71"/>
      <c r="C938" s="56"/>
      <c r="V938" s="1"/>
      <c r="W938" s="17"/>
      <c r="X938" s="17"/>
    </row>
    <row r="939" spans="1:24" ht="12.75" x14ac:dyDescent="0.35">
      <c r="A939" s="71"/>
      <c r="C939" s="56"/>
      <c r="V939" s="1"/>
      <c r="W939" s="17"/>
      <c r="X939" s="17"/>
    </row>
    <row r="940" spans="1:24" ht="12.75" x14ac:dyDescent="0.35">
      <c r="A940" s="71"/>
      <c r="C940" s="56"/>
      <c r="V940" s="1"/>
      <c r="W940" s="17"/>
      <c r="X940" s="17"/>
    </row>
    <row r="941" spans="1:24" ht="12.75" x14ac:dyDescent="0.35">
      <c r="A941" s="71"/>
      <c r="C941" s="56"/>
      <c r="V941" s="1"/>
      <c r="W941" s="17"/>
      <c r="X941" s="17"/>
    </row>
    <row r="942" spans="1:24" ht="12.75" x14ac:dyDescent="0.35">
      <c r="A942" s="71"/>
      <c r="C942" s="56"/>
      <c r="V942" s="1"/>
      <c r="W942" s="17"/>
      <c r="X942" s="17"/>
    </row>
    <row r="943" spans="1:24" ht="12.75" x14ac:dyDescent="0.35">
      <c r="A943" s="71"/>
      <c r="C943" s="56"/>
      <c r="V943" s="1"/>
      <c r="W943" s="17"/>
      <c r="X943" s="17"/>
    </row>
    <row r="944" spans="1:24" ht="12.75" x14ac:dyDescent="0.35">
      <c r="A944" s="71"/>
      <c r="C944" s="56"/>
      <c r="V944" s="1"/>
      <c r="W944" s="17"/>
      <c r="X944" s="17"/>
    </row>
    <row r="945" spans="1:24" ht="12.75" x14ac:dyDescent="0.35">
      <c r="A945" s="71"/>
      <c r="C945" s="56"/>
      <c r="V945" s="1"/>
      <c r="W945" s="17"/>
      <c r="X945" s="17"/>
    </row>
    <row r="946" spans="1:24" ht="12.75" x14ac:dyDescent="0.35">
      <c r="A946" s="71"/>
      <c r="C946" s="56"/>
      <c r="V946" s="1"/>
      <c r="W946" s="17"/>
      <c r="X946" s="17"/>
    </row>
    <row r="947" spans="1:24" ht="12.75" x14ac:dyDescent="0.35">
      <c r="A947" s="71"/>
      <c r="C947" s="56"/>
      <c r="V947" s="1"/>
      <c r="W947" s="17"/>
      <c r="X947" s="17"/>
    </row>
    <row r="948" spans="1:24" ht="12.75" x14ac:dyDescent="0.35">
      <c r="A948" s="71"/>
      <c r="C948" s="56"/>
      <c r="V948" s="1"/>
      <c r="W948" s="17"/>
      <c r="X948" s="17"/>
    </row>
    <row r="949" spans="1:24" ht="12.75" x14ac:dyDescent="0.35">
      <c r="A949" s="71"/>
      <c r="C949" s="56"/>
      <c r="V949" s="1"/>
      <c r="W949" s="17"/>
      <c r="X949" s="17"/>
    </row>
    <row r="950" spans="1:24" ht="12.75" x14ac:dyDescent="0.35">
      <c r="A950" s="71"/>
      <c r="C950" s="56"/>
      <c r="V950" s="1"/>
      <c r="W950" s="17"/>
      <c r="X950" s="17"/>
    </row>
    <row r="951" spans="1:24" ht="12.75" x14ac:dyDescent="0.35">
      <c r="A951" s="71"/>
      <c r="C951" s="56"/>
      <c r="V951" s="1"/>
      <c r="W951" s="17"/>
      <c r="X951" s="17"/>
    </row>
    <row r="952" spans="1:24" ht="12.75" x14ac:dyDescent="0.35">
      <c r="A952" s="71"/>
      <c r="C952" s="56"/>
      <c r="V952" s="1"/>
      <c r="W952" s="17"/>
      <c r="X952" s="17"/>
    </row>
    <row r="953" spans="1:24" ht="12.75" x14ac:dyDescent="0.35">
      <c r="A953" s="71"/>
      <c r="C953" s="56"/>
      <c r="V953" s="1"/>
      <c r="W953" s="17"/>
      <c r="X953" s="17"/>
    </row>
    <row r="954" spans="1:24" ht="12.75" x14ac:dyDescent="0.35">
      <c r="A954" s="71"/>
      <c r="C954" s="56"/>
      <c r="V954" s="1"/>
      <c r="W954" s="17"/>
      <c r="X954" s="17"/>
    </row>
    <row r="955" spans="1:24" ht="12.75" x14ac:dyDescent="0.35">
      <c r="A955" s="71"/>
      <c r="C955" s="56"/>
      <c r="V955" s="1"/>
      <c r="W955" s="17"/>
      <c r="X955" s="17"/>
    </row>
    <row r="956" spans="1:24" ht="12.75" x14ac:dyDescent="0.35">
      <c r="A956" s="71"/>
      <c r="C956" s="56"/>
      <c r="V956" s="1"/>
      <c r="W956" s="17"/>
      <c r="X956" s="17"/>
    </row>
    <row r="957" spans="1:24" ht="12.75" x14ac:dyDescent="0.35">
      <c r="A957" s="71"/>
      <c r="C957" s="56"/>
      <c r="V957" s="1"/>
      <c r="W957" s="17"/>
      <c r="X957" s="17"/>
    </row>
    <row r="958" spans="1:24" ht="12.75" x14ac:dyDescent="0.35">
      <c r="A958" s="71"/>
      <c r="C958" s="56"/>
      <c r="V958" s="1"/>
      <c r="W958" s="17"/>
      <c r="X958" s="17"/>
    </row>
    <row r="959" spans="1:24" ht="12.75" x14ac:dyDescent="0.35">
      <c r="A959" s="71"/>
      <c r="C959" s="56"/>
      <c r="V959" s="1"/>
      <c r="W959" s="17"/>
      <c r="X959" s="17"/>
    </row>
    <row r="960" spans="1:24" ht="12.75" x14ac:dyDescent="0.35">
      <c r="A960" s="71"/>
      <c r="C960" s="56"/>
      <c r="V960" s="1"/>
      <c r="W960" s="17"/>
      <c r="X960" s="17"/>
    </row>
    <row r="961" spans="1:24" ht="12.75" x14ac:dyDescent="0.35">
      <c r="A961" s="71"/>
      <c r="C961" s="56"/>
      <c r="V961" s="1"/>
      <c r="W961" s="17"/>
      <c r="X961" s="17"/>
    </row>
    <row r="962" spans="1:24" ht="12.75" x14ac:dyDescent="0.35">
      <c r="A962" s="71"/>
      <c r="C962" s="56"/>
      <c r="V962" s="1"/>
      <c r="W962" s="17"/>
      <c r="X962" s="17"/>
    </row>
    <row r="963" spans="1:24" ht="12.75" x14ac:dyDescent="0.35">
      <c r="A963" s="71"/>
      <c r="C963" s="56"/>
      <c r="V963" s="1"/>
      <c r="W963" s="17"/>
      <c r="X963" s="17"/>
    </row>
    <row r="964" spans="1:24" ht="12.75" x14ac:dyDescent="0.35">
      <c r="A964" s="71"/>
      <c r="C964" s="56"/>
      <c r="V964" s="1"/>
      <c r="W964" s="17"/>
      <c r="X964" s="17"/>
    </row>
    <row r="965" spans="1:24" ht="12.75" x14ac:dyDescent="0.35">
      <c r="A965" s="71"/>
      <c r="C965" s="56"/>
      <c r="V965" s="1"/>
      <c r="W965" s="17"/>
      <c r="X965" s="17"/>
    </row>
    <row r="966" spans="1:24" ht="12.75" x14ac:dyDescent="0.35">
      <c r="A966" s="71"/>
      <c r="C966" s="56"/>
      <c r="V966" s="1"/>
      <c r="W966" s="17"/>
      <c r="X966" s="17"/>
    </row>
    <row r="967" spans="1:24" ht="12.75" x14ac:dyDescent="0.35">
      <c r="A967" s="71"/>
      <c r="C967" s="56"/>
      <c r="V967" s="1"/>
      <c r="W967" s="17"/>
      <c r="X967" s="17"/>
    </row>
    <row r="968" spans="1:24" ht="12.75" x14ac:dyDescent="0.35">
      <c r="A968" s="71"/>
      <c r="C968" s="56"/>
      <c r="V968" s="1"/>
      <c r="W968" s="17"/>
      <c r="X968" s="17"/>
    </row>
    <row r="969" spans="1:24" ht="12.75" x14ac:dyDescent="0.35">
      <c r="A969" s="71"/>
      <c r="C969" s="56"/>
      <c r="V969" s="1"/>
      <c r="W969" s="17"/>
      <c r="X969" s="17"/>
    </row>
    <row r="970" spans="1:24" ht="12.75" x14ac:dyDescent="0.35">
      <c r="A970" s="71"/>
      <c r="C970" s="56"/>
      <c r="V970" s="1"/>
      <c r="W970" s="17"/>
      <c r="X970" s="17"/>
    </row>
    <row r="971" spans="1:24" ht="12.75" x14ac:dyDescent="0.35">
      <c r="A971" s="71"/>
      <c r="C971" s="56"/>
      <c r="V971" s="1"/>
      <c r="W971" s="17"/>
      <c r="X971" s="17"/>
    </row>
    <row r="972" spans="1:24" ht="12.75" x14ac:dyDescent="0.35">
      <c r="A972" s="71"/>
      <c r="C972" s="56"/>
      <c r="V972" s="1"/>
      <c r="W972" s="17"/>
      <c r="X972" s="17"/>
    </row>
    <row r="973" spans="1:24" ht="12.75" x14ac:dyDescent="0.35">
      <c r="A973" s="71"/>
      <c r="C973" s="56"/>
      <c r="V973" s="1"/>
      <c r="W973" s="17"/>
      <c r="X973" s="17"/>
    </row>
    <row r="974" spans="1:24" ht="12.75" x14ac:dyDescent="0.35">
      <c r="A974" s="71"/>
      <c r="C974" s="56"/>
      <c r="V974" s="1"/>
      <c r="W974" s="17"/>
      <c r="X974" s="17"/>
    </row>
    <row r="975" spans="1:24" ht="12.75" x14ac:dyDescent="0.35">
      <c r="A975" s="71"/>
      <c r="C975" s="56"/>
      <c r="V975" s="1"/>
      <c r="W975" s="17"/>
      <c r="X975" s="17"/>
    </row>
    <row r="976" spans="1:24" ht="12.75" x14ac:dyDescent="0.35">
      <c r="A976" s="71"/>
      <c r="C976" s="56"/>
      <c r="V976" s="1"/>
      <c r="W976" s="17"/>
      <c r="X976" s="17"/>
    </row>
    <row r="977" spans="1:24" ht="12.75" x14ac:dyDescent="0.35">
      <c r="A977" s="71"/>
      <c r="C977" s="56"/>
      <c r="V977" s="1"/>
      <c r="W977" s="17"/>
      <c r="X977" s="17"/>
    </row>
    <row r="978" spans="1:24" ht="12.75" x14ac:dyDescent="0.35">
      <c r="A978" s="71"/>
      <c r="C978" s="56"/>
      <c r="V978" s="1"/>
      <c r="W978" s="17"/>
      <c r="X978" s="17"/>
    </row>
    <row r="979" spans="1:24" ht="12.75" x14ac:dyDescent="0.35">
      <c r="A979" s="71"/>
      <c r="C979" s="56"/>
      <c r="V979" s="1"/>
      <c r="W979" s="17"/>
      <c r="X979" s="17"/>
    </row>
    <row r="980" spans="1:24" ht="12.75" x14ac:dyDescent="0.35">
      <c r="A980" s="71"/>
      <c r="C980" s="56"/>
      <c r="V980" s="1"/>
      <c r="W980" s="17"/>
      <c r="X980" s="17"/>
    </row>
    <row r="981" spans="1:24" ht="12.75" x14ac:dyDescent="0.35">
      <c r="A981" s="71"/>
      <c r="C981" s="56"/>
      <c r="V981" s="1"/>
      <c r="W981" s="17"/>
      <c r="X981" s="17"/>
    </row>
    <row r="982" spans="1:24" ht="12.75" x14ac:dyDescent="0.35">
      <c r="A982" s="71"/>
      <c r="C982" s="56"/>
      <c r="V982" s="1"/>
      <c r="W982" s="17"/>
      <c r="X982" s="17"/>
    </row>
    <row r="983" spans="1:24" ht="12.75" x14ac:dyDescent="0.35">
      <c r="A983" s="71"/>
      <c r="C983" s="56"/>
      <c r="V983" s="1"/>
      <c r="W983" s="17"/>
      <c r="X983" s="17"/>
    </row>
    <row r="984" spans="1:24" ht="12.75" x14ac:dyDescent="0.35">
      <c r="A984" s="71"/>
      <c r="C984" s="56"/>
      <c r="V984" s="1"/>
      <c r="W984" s="17"/>
      <c r="X984" s="17"/>
    </row>
    <row r="985" spans="1:24" ht="12.75" x14ac:dyDescent="0.35">
      <c r="A985" s="71"/>
      <c r="C985" s="56"/>
      <c r="V985" s="1"/>
      <c r="W985" s="17"/>
      <c r="X985" s="17"/>
    </row>
    <row r="986" spans="1:24" ht="12.75" x14ac:dyDescent="0.35">
      <c r="A986" s="71"/>
      <c r="C986" s="56"/>
      <c r="V986" s="1"/>
      <c r="W986" s="17"/>
      <c r="X986" s="17"/>
    </row>
    <row r="987" spans="1:24" ht="12.75" x14ac:dyDescent="0.35">
      <c r="A987" s="71"/>
      <c r="C987" s="56"/>
      <c r="V987" s="1"/>
      <c r="W987" s="17"/>
      <c r="X987" s="17"/>
    </row>
    <row r="988" spans="1:24" ht="12.75" x14ac:dyDescent="0.35">
      <c r="A988" s="71"/>
      <c r="C988" s="56"/>
      <c r="V988" s="1"/>
      <c r="W988" s="17"/>
      <c r="X988" s="17"/>
    </row>
    <row r="989" spans="1:24" ht="12.75" x14ac:dyDescent="0.35">
      <c r="A989" s="71"/>
      <c r="C989" s="56"/>
      <c r="V989" s="1"/>
      <c r="W989" s="17"/>
      <c r="X989" s="17"/>
    </row>
    <row r="990" spans="1:24" ht="12.75" x14ac:dyDescent="0.35">
      <c r="A990" s="71"/>
      <c r="C990" s="56"/>
      <c r="V990" s="1"/>
      <c r="W990" s="17"/>
      <c r="X990" s="17"/>
    </row>
    <row r="991" spans="1:24" ht="12.75" x14ac:dyDescent="0.35">
      <c r="A991" s="71"/>
      <c r="C991" s="56"/>
      <c r="V991" s="1"/>
      <c r="W991" s="17"/>
      <c r="X991" s="17"/>
    </row>
    <row r="992" spans="1:24" ht="12.75" x14ac:dyDescent="0.35">
      <c r="A992" s="71"/>
      <c r="C992" s="56"/>
      <c r="V992" s="1"/>
      <c r="W992" s="17"/>
      <c r="X992" s="17"/>
    </row>
    <row r="993" spans="1:24" ht="12.75" x14ac:dyDescent="0.35">
      <c r="A993" s="71"/>
      <c r="C993" s="56"/>
      <c r="V993" s="1"/>
      <c r="W993" s="17"/>
      <c r="X993" s="17"/>
    </row>
    <row r="994" spans="1:24" ht="12.75" x14ac:dyDescent="0.35">
      <c r="A994" s="71"/>
      <c r="C994" s="56"/>
      <c r="V994" s="1"/>
      <c r="W994" s="17"/>
      <c r="X994" s="17"/>
    </row>
    <row r="995" spans="1:24" ht="12.75" x14ac:dyDescent="0.35">
      <c r="A995" s="71"/>
      <c r="C995" s="56"/>
      <c r="V995" s="1"/>
      <c r="W995" s="17"/>
      <c r="X995" s="17"/>
    </row>
    <row r="996" spans="1:24" ht="12.75" x14ac:dyDescent="0.35">
      <c r="A996" s="71"/>
      <c r="C996" s="56"/>
      <c r="V996" s="1"/>
      <c r="W996" s="17"/>
      <c r="X996" s="17"/>
    </row>
    <row r="997" spans="1:24" ht="12.75" x14ac:dyDescent="0.35">
      <c r="A997" s="71"/>
      <c r="C997" s="56"/>
      <c r="V997" s="1"/>
      <c r="W997" s="17"/>
      <c r="X997" s="17"/>
    </row>
    <row r="998" spans="1:24" ht="12.75" x14ac:dyDescent="0.35">
      <c r="A998" s="71"/>
      <c r="C998" s="56"/>
      <c r="V998" s="1"/>
      <c r="W998" s="17"/>
      <c r="X998" s="17"/>
    </row>
    <row r="999" spans="1:24" ht="12.75" x14ac:dyDescent="0.35">
      <c r="A999" s="71"/>
      <c r="C999" s="56"/>
      <c r="V999" s="1"/>
      <c r="W999" s="17"/>
      <c r="X999" s="17"/>
    </row>
    <row r="1000" spans="1:24" ht="12.75" x14ac:dyDescent="0.35">
      <c r="A1000" s="71"/>
      <c r="C1000" s="56"/>
      <c r="V1000" s="1"/>
      <c r="W1000" s="17"/>
      <c r="X1000" s="17"/>
    </row>
  </sheetData>
  <dataValidations count="1">
    <dataValidation type="list" allowBlank="1" showErrorMessage="1" sqref="Z2:AI215 AD216:AI230 AG231:AI232 AF233:AI233 AG234:AI291" xr:uid="{00000000-0002-0000-0100-000000000000}">
      <formula1>"ACEPTADO,ACEPTADA,CONSEJERA,CONSEJERO,EN ESPERA ,RECHAZADO,NINGUNO"</formula1>
    </dataValidation>
  </dataValidations>
  <printOptions horizontalCentered="1" gridLines="1"/>
  <pageMargins left="0.7" right="0.7" top="0.75" bottom="0.75" header="0" footer="0"/>
  <pageSetup fitToHeight="0" pageOrder="overThenDown" orientation="landscape" cellComments="atEnd"/>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RECLUTAMIENTO</vt:lpstr>
      <vt:lpstr>HOJA DE TRABAJO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Ernesto Gregori</cp:lastModifiedBy>
  <dcterms:created xsi:type="dcterms:W3CDTF">2026-06-22T23:25:42Z</dcterms:created>
  <dcterms:modified xsi:type="dcterms:W3CDTF">2026-06-22T23:25:42Z</dcterms:modified>
</cp:coreProperties>
</file>